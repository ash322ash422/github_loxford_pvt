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7.xml" ContentType="application/vnd.openxmlformats-officedocument.spreadsheetml.table+xml"/>
  <Override PartName="/xl/worksheets/sheet15.xml" ContentType="application/vnd.openxmlformats-officedocument.spreadsheetml.worksheet+xml"/>
  <Override PartName="/xl/tables/table8.xml" ContentType="application/vnd.openxmlformats-officedocument.spreadsheetml.table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data_bank_loan" sheetId="2" state="visible" r:id="rId2"/>
    <sheet xmlns:r="http://schemas.openxmlformats.org/officeDocument/2006/relationships" name="Bank Manager Dashboard" sheetId="3" state="visible" r:id="rId3"/>
    <sheet xmlns:r="http://schemas.openxmlformats.org/officeDocument/2006/relationships" name="Property Area Chart" sheetId="4" state="visible" r:id="rId4"/>
    <sheet xmlns:r="http://schemas.openxmlformats.org/officeDocument/2006/relationships" name="Dashboard Data" sheetId="5" state="hidden" r:id="rId5"/>
    <sheet xmlns:r="http://schemas.openxmlformats.org/officeDocument/2006/relationships" name="Raw Data" sheetId="6" state="visible" r:id="rId6"/>
    <sheet xmlns:r="http://schemas.openxmlformats.org/officeDocument/2006/relationships" name="Data Dictionary" sheetId="7" state="visible" r:id="rId7"/>
    <sheet xmlns:r="http://schemas.openxmlformats.org/officeDocument/2006/relationships" name="Data Quality" sheetId="8" state="visible" r:id="rId8"/>
    <sheet xmlns:r="http://schemas.openxmlformats.org/officeDocument/2006/relationships" name="KPI Summary" sheetId="9" state="visible" r:id="rId9"/>
    <sheet xmlns:r="http://schemas.openxmlformats.org/officeDocument/2006/relationships" name="Numerical Analysis" sheetId="10" state="visible" r:id="rId10"/>
    <sheet xmlns:r="http://schemas.openxmlformats.org/officeDocument/2006/relationships" name="Categorical Analysis" sheetId="11" state="visible" r:id="rId11"/>
    <sheet xmlns:r="http://schemas.openxmlformats.org/officeDocument/2006/relationships" name="Correlation Analysis" sheetId="12" state="visible" r:id="rId12"/>
    <sheet xmlns:r="http://schemas.openxmlformats.org/officeDocument/2006/relationships" name="Trend Analysis" sheetId="13" state="visible" r:id="rId13"/>
    <sheet xmlns:r="http://schemas.openxmlformats.org/officeDocument/2006/relationships" name="Segmentation Analysis" sheetId="14" state="visible" r:id="rId14"/>
    <sheet xmlns:r="http://schemas.openxmlformats.org/officeDocument/2006/relationships" name="Financial Analysis" sheetId="15" state="visible" r:id="rId15"/>
    <sheet xmlns:r="http://schemas.openxmlformats.org/officeDocument/2006/relationships" name="Pivot Tables" sheetId="16" state="visible" r:id="rId16"/>
  </sheets>
  <definedNames>
    <definedName name="_xlchart.v1.0" hidden="1">data_bank_loan!$G$1</definedName>
    <definedName name="_xlchart.v1.1" hidden="1">data_bank_loan!$G$2:$G$615</definedName>
  </definedNames>
  <calcPr calcId="191028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3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FFFFFF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20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color rgb="FFFFFFFF"/>
      <sz val="22"/>
      <scheme val="minor"/>
    </font>
    <font>
      <name val="Calibri"/>
      <family val="2"/>
      <i val="1"/>
      <color rgb="FF5B6573"/>
      <sz val="11"/>
      <scheme val="minor"/>
    </font>
    <font>
      <name val="Calibri"/>
      <family val="2"/>
      <b val="1"/>
      <color rgb="FF365F91"/>
      <sz val="11"/>
      <scheme val="minor"/>
    </font>
    <font>
      <name val="Calibri"/>
      <family val="2"/>
      <b val="1"/>
      <color rgb="FF17365D"/>
      <sz val="20"/>
      <scheme val="minor"/>
    </font>
    <font>
      <name val="Calibri"/>
      <family val="2"/>
      <color rgb="FF334155"/>
      <sz val="11"/>
      <scheme val="minor"/>
    </font>
    <font>
      <b val="1"/>
      <color rgb="00FFFFFF"/>
    </font>
    <font>
      <b val="1"/>
      <color rgb="00FFFFFF"/>
      <sz val="20"/>
    </font>
    <font>
      <b val="1"/>
      <color rgb="0017365D"/>
      <sz val="18"/>
    </font>
    <font>
      <b val="1"/>
      <color rgb="0017365D"/>
      <sz val="14"/>
    </font>
  </fonts>
  <fills count="4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17365D"/>
        <bgColor indexed="64"/>
      </patternFill>
    </fill>
    <fill>
      <patternFill patternType="solid">
        <fgColor rgb="FFF4F7FB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D9E5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0F7"/>
        <bgColor indexed="64"/>
      </patternFill>
    </fill>
    <fill>
      <patternFill patternType="solid">
        <fgColor rgb="0017365D"/>
      </patternFill>
    </fill>
    <fill>
      <patternFill patternType="solid">
        <fgColor rgb="002F5597"/>
      </patternFill>
    </fill>
    <fill>
      <patternFill patternType="solid">
        <fgColor rgb="00D9EAF7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0">
    <xf numFmtId="0" fontId="0" fillId="0" borderId="0" pivotButton="0" quotePrefix="0" xfId="0"/>
    <xf numFmtId="0" fontId="18" fillId="33" borderId="0" pivotButton="0" quotePrefix="0" xfId="0"/>
    <xf numFmtId="0" fontId="19" fillId="33" borderId="0" pivotButton="0" quotePrefix="0" xfId="0"/>
    <xf numFmtId="0" fontId="0" fillId="34" borderId="0" pivotButton="0" quotePrefix="0" xfId="0"/>
    <xf numFmtId="0" fontId="20" fillId="33" borderId="0" applyAlignment="1" pivotButton="0" quotePrefix="0" xfId="0">
      <alignment vertical="center"/>
    </xf>
    <xf numFmtId="0" fontId="19" fillId="35" borderId="0" pivotButton="0" quotePrefix="0" xfId="0"/>
    <xf numFmtId="3" fontId="0" fillId="34" borderId="0" pivotButton="0" quotePrefix="0" xfId="0"/>
    <xf numFmtId="0" fontId="21" fillId="33" borderId="0" applyAlignment="1" pivotButton="0" quotePrefix="0" xfId="0">
      <alignment vertical="center"/>
    </xf>
    <xf numFmtId="0" fontId="19" fillId="35" borderId="0" applyAlignment="1" pivotButton="0" quotePrefix="0" xfId="0">
      <alignment horizontal="center"/>
    </xf>
    <xf numFmtId="164" fontId="0" fillId="0" borderId="0" pivotButton="0" quotePrefix="0" xfId="0"/>
    <xf numFmtId="0" fontId="16" fillId="0" borderId="0" pivotButton="0" quotePrefix="0" xfId="0"/>
    <xf numFmtId="3" fontId="0" fillId="0" borderId="0" pivotButton="0" quotePrefix="0" xfId="0"/>
    <xf numFmtId="0" fontId="0" fillId="36" borderId="0" pivotButton="0" quotePrefix="0" xfId="0"/>
    <xf numFmtId="0" fontId="22" fillId="33" borderId="0" applyAlignment="1" pivotButton="0" quotePrefix="0" xfId="0">
      <alignment vertical="center"/>
    </xf>
    <xf numFmtId="0" fontId="25" fillId="38" borderId="0" applyAlignment="1" pivotButton="0" quotePrefix="0" xfId="0">
      <alignment horizontal="center" vertical="center"/>
    </xf>
    <xf numFmtId="3" fontId="25" fillId="38" borderId="0" applyAlignment="1" pivotButton="0" quotePrefix="0" xfId="0">
      <alignment horizontal="center" vertical="center"/>
    </xf>
    <xf numFmtId="164" fontId="25" fillId="38" borderId="0" applyAlignment="1" pivotButton="0" quotePrefix="0" xfId="0">
      <alignment horizontal="center" vertical="center"/>
    </xf>
    <xf numFmtId="165" fontId="25" fillId="38" borderId="0" applyAlignment="1" pivotButton="0" quotePrefix="0" xfId="0">
      <alignment horizontal="center" vertical="center"/>
    </xf>
    <xf numFmtId="0" fontId="26" fillId="38" borderId="0" applyAlignment="1" pivotButton="0" quotePrefix="0" xfId="0">
      <alignment vertical="center" wrapText="1"/>
    </xf>
    <xf numFmtId="0" fontId="26" fillId="39" borderId="0" applyAlignment="1" pivotButton="0" quotePrefix="0" xfId="0">
      <alignment vertical="center" wrapText="1"/>
    </xf>
    <xf numFmtId="0" fontId="23" fillId="0" borderId="0" pivotButton="0" quotePrefix="0" xfId="0"/>
    <xf numFmtId="0" fontId="24" fillId="37" borderId="0" pivotButton="0" quotePrefix="0" xfId="0"/>
    <xf numFmtId="0" fontId="19" fillId="33" borderId="0" pivotButton="0" quotePrefix="0" xfId="0"/>
    <xf numFmtId="0" fontId="21" fillId="33" borderId="0" pivotButton="0" quotePrefix="0" xfId="0"/>
    <xf numFmtId="0" fontId="28" fillId="40" borderId="0" applyAlignment="1" pivotButton="0" quotePrefix="0" xfId="0">
      <alignment horizontal="center" vertical="center"/>
    </xf>
    <xf numFmtId="0" fontId="27" fillId="41" borderId="0" applyAlignment="1" pivotButton="0" quotePrefix="0" xfId="0">
      <alignment horizontal="center"/>
    </xf>
    <xf numFmtId="0" fontId="29" fillId="42" borderId="0" applyAlignment="1" pivotButton="0" quotePrefix="0" xfId="0">
      <alignment horizontal="center"/>
    </xf>
    <xf numFmtId="164" fontId="29" fillId="42" borderId="0" applyAlignment="1" pivotButton="0" quotePrefix="0" xfId="0">
      <alignment horizontal="center"/>
    </xf>
    <xf numFmtId="0" fontId="30" fillId="0" borderId="0" pivotButton="0" quotePrefix="0" xfId="0"/>
    <xf numFmtId="0" fontId="27" fillId="40" borderId="0" applyAlignment="1" pivotButton="0" quotePrefix="0" xfId="0">
      <alignment horizontal="center" vertical="center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Application Outcomes</a:t>
            </a:r>
          </a:p>
        </rich>
      </tx>
    </title>
    <plotArea>
      <pieChart>
        <varyColors val="1"/>
        <ser>
          <idx val="0"/>
          <order val="0"/>
          <tx>
            <strRef>
              <f>'Executive Dashboard'!B20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Dashboard'!$A$21:$A$22</f>
            </numRef>
          </cat>
          <val>
            <numRef>
              <f>'Executive Dashboard'!$B$21:$B$22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Approval Rate by Property Area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Dashboard'!F20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Dashboard'!$E$21:$E$23</f>
            </numRef>
          </cat>
          <val>
            <numRef>
              <f>'Executive Dashboard'!$F$21:$F$23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Approval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Approval Rate by Credit History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Dashboard'!J20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Dashboard'!$I$21:$I$23</f>
            </numRef>
          </cat>
          <val>
            <numRef>
              <f>'Executive Dashboard'!$J$21:$J$23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Approval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Approval Rate by Credit History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'Dashboard Data'!$C$1</f>
              <strCache>
                <ptCount val="1"/>
                <pt idx="0">
                  <v>Approval Rate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.0%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Data'!$A$2:$A$4</f>
              <strCache>
                <ptCount val="3"/>
                <pt idx="0">
                  <v>Good (1)</v>
                </pt>
                <pt idx="1">
                  <v>Missing</v>
                </pt>
                <pt idx="2">
                  <v>Poor (0)</v>
                </pt>
              </strCache>
            </strRef>
          </cat>
          <val>
            <numRef>
              <f>'Dashboard Data'!$C$2:$C$4</f>
              <numCache>
                <formatCode>0.0%</formatCode>
                <ptCount val="3"/>
                <pt idx="0">
                  <v>0.7957894736842105</v>
                </pt>
                <pt idx="1">
                  <v>0.74</v>
                </pt>
                <pt idx="2">
                  <v>0.07865168539325842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267190791"/>
        <axId val="1375234055"/>
      </barChart>
      <catAx>
        <axId val="1267190791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Credit History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75234055"/>
        <crosses val="autoZero"/>
        <auto val="1"/>
        <lblAlgn val="ctr"/>
        <lblOffset val="100"/>
        <noMultiLvlLbl val="0"/>
      </catAx>
      <valAx>
        <axId val="1375234055"/>
        <scaling>
          <orientation val="minMax"/>
          <max val="1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Approval Rate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67190791"/>
        <crosses val="autoZero"/>
        <crossBetween val="between"/>
      </valAx>
    </plotArea>
    <plotVisOnly val="0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Approval Rate by Property Area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'Dashboard Data'!$G$1</f>
              <strCache>
                <ptCount val="1"/>
                <pt idx="0">
                  <v>Approval Rate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.0%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Data'!$E$2:$E$4</f>
              <strCache>
                <ptCount val="3"/>
                <pt idx="0">
                  <v>Semiurban</v>
                </pt>
                <pt idx="1">
                  <v>Urban</v>
                </pt>
                <pt idx="2">
                  <v>Rural</v>
                </pt>
              </strCache>
            </strRef>
          </cat>
          <val>
            <numRef>
              <f>'Dashboard Data'!$G$2:$G$4</f>
              <numCache>
                <formatCode>0.0%</formatCode>
                <ptCount val="3"/>
                <pt idx="0">
                  <v>0.7682403433476395</v>
                </pt>
                <pt idx="1">
                  <v>0.6584158415841584</v>
                </pt>
                <pt idx="2">
                  <v>0.6145251396648045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881210375"/>
        <axId val="1881280519"/>
      </barChart>
      <catAx>
        <axId val="1881210375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Property Area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81280519"/>
        <crosses val="autoZero"/>
        <auto val="1"/>
        <lblAlgn val="ctr"/>
        <lblOffset val="100"/>
        <noMultiLvlLbl val="0"/>
      </catAx>
      <valAx>
        <axId val="1881280519"/>
        <scaling>
          <orientation val="minMax"/>
          <max val="1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Approval Rate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81210375"/>
        <crosses val="autoZero"/>
        <crossBetween val="between"/>
      </valAx>
    </plotArea>
    <plotVisOnly val="0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Income vs Loan Amount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1"/>
          <order val="0"/>
          <tx>
            <v>Applications</v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xVal>
            <numRef>
              <f>'Dashboard Data'!$I$2:$I$615</f>
              <numCache>
                <formatCode>General</formatCode>
                <ptCount val="614"/>
                <pt idx="0">
                  <v>5849</v>
                </pt>
                <pt idx="1">
                  <v>6091</v>
                </pt>
                <pt idx="2">
                  <v>3000</v>
                </pt>
                <pt idx="3">
                  <v>4941</v>
                </pt>
                <pt idx="4">
                  <v>6000</v>
                </pt>
                <pt idx="5">
                  <v>9613</v>
                </pt>
                <pt idx="6">
                  <v>3849</v>
                </pt>
                <pt idx="7">
                  <v>5540</v>
                </pt>
                <pt idx="8">
                  <v>5532</v>
                </pt>
                <pt idx="9">
                  <v>23809</v>
                </pt>
                <pt idx="10">
                  <v>3900</v>
                </pt>
                <pt idx="11">
                  <v>4340</v>
                </pt>
                <pt idx="12">
                  <v>11179</v>
                </pt>
                <pt idx="13">
                  <v>4693</v>
                </pt>
                <pt idx="14">
                  <v>2385</v>
                </pt>
                <pt idx="15">
                  <v>4950</v>
                </pt>
                <pt idx="16">
                  <v>3596</v>
                </pt>
                <pt idx="17">
                  <v>3510</v>
                </pt>
                <pt idx="18">
                  <v>4887</v>
                </pt>
                <pt idx="19">
                  <v>6100</v>
                </pt>
                <pt idx="20">
                  <v>7660</v>
                </pt>
                <pt idx="21">
                  <v>11580</v>
                </pt>
                <pt idx="22">
                  <v>4511</v>
                </pt>
                <pt idx="23">
                  <v>5282</v>
                </pt>
                <pt idx="24">
                  <v>6642</v>
                </pt>
                <pt idx="25">
                  <v>9560</v>
                </pt>
                <pt idx="26">
                  <v>5052</v>
                </pt>
                <pt idx="27">
                  <v>5266</v>
                </pt>
                <pt idx="28">
                  <v>1442</v>
                </pt>
                <pt idx="29">
                  <v>5833</v>
                </pt>
                <pt idx="30">
                  <v>7535</v>
                </pt>
                <pt idx="31">
                  <v>3167</v>
                </pt>
                <pt idx="32">
                  <v>4692</v>
                </pt>
                <pt idx="33">
                  <v>5167</v>
                </pt>
                <pt idx="34">
                  <v>15500</v>
                </pt>
                <pt idx="35">
                  <v>4342</v>
                </pt>
                <pt idx="36">
                  <v>3158</v>
                </pt>
                <pt idx="37">
                  <v>5126</v>
                </pt>
                <pt idx="38">
                  <v>11376</v>
                </pt>
                <pt idx="39">
                  <v>5416</v>
                </pt>
                <pt idx="40">
                  <v>3600</v>
                </pt>
                <pt idx="41">
                  <v>3013</v>
                </pt>
                <pt idx="42">
                  <v>2400</v>
                </pt>
                <pt idx="43">
                  <v>6277</v>
                </pt>
                <pt idx="44">
                  <v>4695</v>
                </pt>
                <pt idx="45">
                  <v>3410</v>
                </pt>
                <pt idx="46">
                  <v>5649</v>
                </pt>
                <pt idx="47">
                  <v>5821</v>
                </pt>
                <pt idx="48">
                  <v>6085</v>
                </pt>
                <pt idx="49">
                  <v>6275</v>
                </pt>
                <pt idx="50">
                  <v>3572</v>
                </pt>
                <pt idx="51">
                  <v>3086</v>
                </pt>
                <pt idx="52">
                  <v>4230</v>
                </pt>
                <pt idx="53">
                  <v>4616</v>
                </pt>
                <pt idx="54">
                  <v>11500</v>
                </pt>
                <pt idx="55">
                  <v>3875</v>
                </pt>
                <pt idx="56">
                  <v>3723</v>
                </pt>
                <pt idx="57">
                  <v>5566</v>
                </pt>
                <pt idx="58">
                  <v>10330</v>
                </pt>
                <pt idx="59">
                  <v>6216</v>
                </pt>
                <pt idx="60">
                  <v>6296</v>
                </pt>
                <pt idx="61">
                  <v>3029</v>
                </pt>
                <pt idx="62">
                  <v>6058</v>
                </pt>
                <pt idx="63">
                  <v>4945</v>
                </pt>
                <pt idx="64">
                  <v>4166</v>
                </pt>
                <pt idx="65">
                  <v>10321</v>
                </pt>
                <pt idx="66">
                  <v>5454</v>
                </pt>
                <pt idx="67">
                  <v>10750</v>
                </pt>
                <pt idx="68">
                  <v>7100</v>
                </pt>
                <pt idx="69">
                  <v>4300</v>
                </pt>
                <pt idx="70">
                  <v>6274</v>
                </pt>
                <pt idx="71">
                  <v>3750</v>
                </pt>
                <pt idx="72">
                  <v>3500</v>
                </pt>
                <pt idx="73">
                  <v>4755</v>
                </pt>
                <pt idx="74">
                  <v>7040</v>
                </pt>
                <pt idx="75">
                  <v>3750</v>
                </pt>
                <pt idx="76">
                  <v>8500</v>
                </pt>
                <pt idx="77">
                  <v>4022</v>
                </pt>
                <pt idx="78">
                  <v>7167</v>
                </pt>
                <pt idx="79">
                  <v>5499</v>
                </pt>
                <pt idx="80">
                  <v>3846</v>
                </pt>
                <pt idx="81">
                  <v>2395</v>
                </pt>
                <pt idx="82">
                  <v>3259</v>
                </pt>
                <pt idx="83">
                  <v>8250</v>
                </pt>
                <pt idx="84">
                  <v>3988</v>
                </pt>
                <pt idx="85">
                  <v>4897</v>
                </pt>
                <pt idx="86">
                  <v>5333</v>
                </pt>
                <pt idx="87">
                  <v>4618</v>
                </pt>
                <pt idx="88">
                  <v>8566</v>
                </pt>
                <pt idx="89">
                  <v>9862</v>
                </pt>
                <pt idx="90">
                  <v>5858</v>
                </pt>
                <pt idx="91">
                  <v>11904</v>
                </pt>
                <pt idx="92">
                  <v>5093</v>
                </pt>
                <pt idx="93">
                  <v>4133</v>
                </pt>
                <pt idx="94">
                  <v>3620</v>
                </pt>
                <pt idx="95">
                  <v>6782</v>
                </pt>
                <pt idx="96">
                  <v>4786</v>
                </pt>
                <pt idx="97">
                  <v>2974</v>
                </pt>
                <pt idx="98">
                  <v>4188</v>
                </pt>
                <pt idx="99">
                  <v>5300</v>
                </pt>
                <pt idx="100">
                  <v>7551</v>
                </pt>
                <pt idx="101">
                  <v>8649</v>
                </pt>
                <pt idx="102">
                  <v>13650</v>
                </pt>
                <pt idx="103">
                  <v>8235</v>
                </pt>
                <pt idx="104">
                  <v>4570</v>
                </pt>
                <pt idx="105">
                  <v>4082</v>
                </pt>
                <pt idx="106">
                  <v>12543</v>
                </pt>
                <pt idx="107">
                  <v>7333</v>
                </pt>
                <pt idx="108">
                  <v>7400</v>
                </pt>
                <pt idx="109">
                  <v>2825</v>
                </pt>
                <pt idx="110">
                  <v>5316</v>
                </pt>
                <pt idx="111">
                  <v>5262</v>
                </pt>
                <pt idx="112">
                  <v>7686</v>
                </pt>
                <pt idx="113">
                  <v>7451</v>
                </pt>
                <pt idx="114">
                  <v>5050</v>
                </pt>
                <pt idx="115">
                  <v>14583</v>
                </pt>
                <pt idx="116">
                  <v>5450</v>
                </pt>
                <pt idx="117">
                  <v>3612</v>
                </pt>
                <pt idx="118">
                  <v>7710</v>
                </pt>
                <pt idx="119">
                  <v>10408</v>
                </pt>
                <pt idx="120">
                  <v>8334</v>
                </pt>
                <pt idx="121">
                  <v>4166</v>
                </pt>
                <pt idx="122">
                  <v>11117</v>
                </pt>
                <pt idx="123">
                  <v>2957</v>
                </pt>
                <pt idx="124">
                  <v>6314</v>
                </pt>
                <pt idx="125">
                  <v>3692</v>
                </pt>
                <pt idx="126">
                  <v>23803</v>
                </pt>
                <pt idx="127">
                  <v>5505</v>
                </pt>
                <pt idx="128">
                  <v>14363</v>
                </pt>
                <pt idx="129">
                  <v>8649</v>
                </pt>
                <pt idx="130">
                  <v>20166</v>
                </pt>
                <pt idx="131">
                  <v>3943</v>
                </pt>
                <pt idx="132">
                  <v>2718</v>
                </pt>
                <pt idx="133">
                  <v>3459</v>
                </pt>
                <pt idx="134">
                  <v>4895</v>
                </pt>
                <pt idx="135">
                  <v>11750</v>
                </pt>
                <pt idx="136">
                  <v>4583</v>
                </pt>
                <pt idx="137">
                  <v>6816</v>
                </pt>
                <pt idx="138">
                  <v>14999</v>
                </pt>
                <pt idx="139">
                  <v>5630</v>
                </pt>
                <pt idx="140">
                  <v>7125</v>
                </pt>
                <pt idx="141">
                  <v>5417</v>
                </pt>
                <pt idx="142">
                  <v>6950</v>
                </pt>
                <pt idx="143">
                  <v>4732</v>
                </pt>
                <pt idx="144">
                  <v>11757</v>
                </pt>
                <pt idx="145">
                  <v>6816</v>
                </pt>
                <pt idx="146">
                  <v>14866</v>
                </pt>
                <pt idx="147">
                  <v>2963</v>
                </pt>
                <pt idx="148">
                  <v>11666</v>
                </pt>
                <pt idx="149">
                  <v>5690</v>
                </pt>
                <pt idx="150">
                  <v>6277</v>
                </pt>
                <pt idx="151">
                  <v>6327</v>
                </pt>
                <pt idx="152">
                  <v>9166</v>
                </pt>
                <pt idx="153">
                  <v>2281</v>
                </pt>
                <pt idx="154">
                  <v>3254</v>
                </pt>
                <pt idx="155">
                  <v>39999</v>
                </pt>
                <pt idx="156">
                  <v>6000</v>
                </pt>
                <pt idx="157">
                  <v>9538</v>
                </pt>
                <pt idx="158">
                  <v>5063</v>
                </pt>
                <pt idx="159">
                  <v>10208</v>
                </pt>
                <pt idx="160">
                  <v>2904</v>
                </pt>
                <pt idx="161">
                  <v>7933</v>
                </pt>
                <pt idx="162">
                  <v>4369</v>
                </pt>
                <pt idx="163">
                  <v>5614</v>
                </pt>
                <pt idx="164">
                  <v>9323</v>
                </pt>
                <pt idx="165">
                  <v>6873</v>
                </pt>
                <pt idx="166">
                  <v>4583</v>
                </pt>
                <pt idx="167">
                  <v>5772</v>
                </pt>
                <pt idx="168">
                  <v>2237</v>
                </pt>
                <pt idx="169">
                  <v>8000</v>
                </pt>
                <pt idx="170">
                  <v>3589</v>
                </pt>
                <pt idx="171">
                  <v>51763</v>
                </pt>
                <pt idx="172">
                  <v>3522</v>
                </pt>
                <pt idx="173">
                  <v>11333</v>
                </pt>
                <pt idx="174">
                  <v>5080</v>
                </pt>
                <pt idx="175">
                  <v>5461</v>
                </pt>
                <pt idx="176">
                  <v>3664</v>
                </pt>
                <pt idx="177">
                  <v>16816</v>
                </pt>
                <pt idx="178">
                  <v>3750</v>
                </pt>
                <pt idx="179">
                  <v>3784</v>
                </pt>
                <pt idx="180">
                  <v>13650</v>
                </pt>
                <pt idx="181">
                  <v>6979</v>
                </pt>
                <pt idx="182">
                  <v>4600</v>
                </pt>
                <pt idx="183">
                  <v>33846</v>
                </pt>
                <pt idx="184">
                  <v>3625</v>
                </pt>
                <pt idx="185">
                  <v>43897</v>
                </pt>
                <pt idx="186">
                  <v>2178</v>
                </pt>
                <pt idx="187">
                  <v>4521</v>
                </pt>
                <pt idx="188">
                  <v>5970</v>
                </pt>
                <pt idx="189">
                  <v>9328</v>
                </pt>
                <pt idx="190">
                  <v>4885</v>
                </pt>
                <pt idx="191">
                  <v>12000</v>
                </pt>
                <pt idx="192">
                  <v>6033</v>
                </pt>
                <pt idx="193">
                  <v>3858</v>
                </pt>
                <pt idx="194">
                  <v>4191</v>
                </pt>
                <pt idx="195">
                  <v>5708</v>
                </pt>
                <pt idx="196">
                  <v>12083</v>
                </pt>
                <pt idx="197">
                  <v>4272</v>
                </pt>
                <pt idx="198">
                  <v>6232</v>
                </pt>
                <pt idx="199">
                  <v>11000</v>
                </pt>
                <pt idx="200">
                  <v>5100</v>
                </pt>
                <pt idx="201">
                  <v>4923</v>
                </pt>
                <pt idx="202">
                  <v>3992</v>
                </pt>
                <pt idx="203">
                  <v>4583</v>
                </pt>
                <pt idx="204">
                  <v>3917</v>
                </pt>
                <pt idx="205">
                  <v>4408</v>
                </pt>
                <pt idx="206">
                  <v>3244</v>
                </pt>
                <pt idx="207">
                  <v>6506</v>
                </pt>
                <pt idx="208">
                  <v>2479</v>
                </pt>
                <pt idx="209">
                  <v>3418</v>
                </pt>
                <pt idx="210">
                  <v>10000</v>
                </pt>
                <pt idx="211">
                  <v>4680</v>
                </pt>
                <pt idx="212">
                  <v>7787</v>
                </pt>
                <pt idx="213">
                  <v>5703</v>
                </pt>
                <pt idx="214">
                  <v>6194</v>
                </pt>
                <pt idx="215">
                  <v>4833</v>
                </pt>
                <pt idx="216">
                  <v>1950</v>
                </pt>
                <pt idx="217">
                  <v>5502</v>
                </pt>
                <pt idx="218">
                  <v>5000</v>
                </pt>
                <pt idx="219">
                  <v>6666</v>
                </pt>
                <pt idx="220">
                  <v>2221</v>
                </pt>
                <pt idx="221">
                  <v>5726</v>
                </pt>
                <pt idx="222">
                  <v>5762</v>
                </pt>
                <pt idx="223">
                  <v>8588</v>
                </pt>
                <pt idx="224">
                  <v>6250</v>
                </pt>
                <pt idx="225">
                  <v>3250</v>
                </pt>
                <pt idx="226">
                  <v>4735</v>
                </pt>
                <pt idx="227">
                  <v>7945</v>
                </pt>
                <pt idx="228">
                  <v>4758</v>
                </pt>
                <pt idx="229">
                  <v>6400</v>
                </pt>
                <pt idx="230">
                  <v>4545</v>
                </pt>
                <pt idx="231">
                  <v>3716</v>
                </pt>
                <pt idx="232">
                  <v>5787</v>
                </pt>
                <pt idx="233">
                  <v>8333</v>
                </pt>
                <pt idx="234">
                  <v>4934</v>
                </pt>
                <pt idx="235">
                  <v>6760</v>
                </pt>
                <pt idx="236">
                  <v>5746</v>
                </pt>
                <pt idx="237">
                  <v>3463</v>
                </pt>
                <pt idx="238">
                  <v>3812</v>
                </pt>
                <pt idx="239">
                  <v>3315</v>
                </pt>
                <pt idx="240">
                  <v>10819</v>
                </pt>
                <pt idx="241">
                  <v>4493</v>
                </pt>
                <pt idx="242">
                  <v>8666</v>
                </pt>
                <pt idx="243">
                  <v>7550</v>
                </pt>
                <pt idx="244">
                  <v>7823</v>
                </pt>
                <pt idx="245">
                  <v>10383</v>
                </pt>
                <pt idx="246">
                  <v>9703</v>
                </pt>
                <pt idx="247">
                  <v>6608</v>
                </pt>
                <pt idx="248">
                  <v>4725</v>
                </pt>
                <pt idx="249">
                  <v>3677</v>
                </pt>
                <pt idx="250">
                  <v>5558</v>
                </pt>
                <pt idx="251">
                  <v>3427</v>
                </pt>
                <pt idx="252">
                  <v>4750</v>
                </pt>
                <pt idx="253">
                  <v>9762</v>
                </pt>
                <pt idx="254">
                  <v>16250</v>
                </pt>
                <pt idx="255">
                  <v>3083</v>
                </pt>
                <pt idx="256">
                  <v>6045</v>
                </pt>
                <pt idx="257">
                  <v>5250</v>
                </pt>
                <pt idx="258">
                  <v>16783</v>
                </pt>
                <pt idx="259">
                  <v>4931</v>
                </pt>
                <pt idx="260">
                  <v>10333</v>
                </pt>
                <pt idx="261">
                  <v>4269</v>
                </pt>
                <pt idx="262">
                  <v>3481</v>
                </pt>
                <pt idx="263">
                  <v>7200</v>
                </pt>
                <pt idx="264">
                  <v>5166</v>
                </pt>
                <pt idx="265">
                  <v>7542</v>
                </pt>
                <pt idx="266">
                  <v>6095</v>
                </pt>
                <pt idx="267">
                  <v>6144</v>
                </pt>
                <pt idx="268">
                  <v>3418</v>
                </pt>
                <pt idx="269">
                  <v>4436</v>
                </pt>
                <pt idx="270">
                  <v>3237</v>
                </pt>
                <pt idx="271">
                  <v>11146</v>
                </pt>
                <pt idx="272">
                  <v>4690</v>
                </pt>
                <pt idx="273">
                  <v>4843</v>
                </pt>
                <pt idx="274">
                  <v>3900</v>
                </pt>
                <pt idx="275">
                  <v>4592</v>
                </pt>
                <pt idx="276">
                  <v>7267</v>
                </pt>
                <pt idx="277">
                  <v>4403</v>
                </pt>
                <pt idx="278">
                  <v>14583</v>
                </pt>
                <pt idx="279">
                  <v>4100</v>
                </pt>
                <pt idx="280">
                  <v>6479</v>
                </pt>
                <pt idx="281">
                  <v>4727</v>
                </pt>
                <pt idx="282">
                  <v>3286.7999878</v>
                </pt>
                <pt idx="283">
                  <v>3477</v>
                </pt>
                <pt idx="284">
                  <v>20667</v>
                </pt>
                <pt idx="285">
                  <v>6211</v>
                </pt>
                <pt idx="286">
                  <v>4317</v>
                </pt>
                <pt idx="287">
                  <v>5704</v>
                </pt>
                <pt idx="288">
                  <v>4124</v>
                </pt>
                <pt idx="289">
                  <v>9508</v>
                </pt>
                <pt idx="290">
                  <v>5491</v>
                </pt>
                <pt idx="291">
                  <v>4400</v>
                </pt>
                <pt idx="292">
                  <v>4713</v>
                </pt>
                <pt idx="293">
                  <v>5417</v>
                </pt>
                <pt idx="294">
                  <v>5717</v>
                </pt>
                <pt idx="295">
                  <v>5666</v>
                </pt>
                <pt idx="296">
                  <v>6875</v>
                </pt>
                <pt idx="297">
                  <v>4666</v>
                </pt>
                <pt idx="298">
                  <v>7541</v>
                </pt>
                <pt idx="299">
                  <v>4939</v>
                </pt>
                <pt idx="300">
                  <v>4734</v>
                </pt>
                <pt idx="301">
                  <v>4625</v>
                </pt>
                <pt idx="302">
                  <v>5000</v>
                </pt>
                <pt idx="303">
                  <v>3428</v>
                </pt>
                <pt idx="304">
                  <v>6500</v>
                </pt>
                <pt idx="305">
                  <v>2000</v>
                </pt>
                <pt idx="306">
                  <v>5428</v>
                </pt>
                <pt idx="307">
                  <v>4263</v>
                </pt>
                <pt idx="308">
                  <v>20233</v>
                </pt>
                <pt idx="309">
                  <v>7667</v>
                </pt>
                <pt idx="310">
                  <v>2917</v>
                </pt>
                <pt idx="311">
                  <v>5332</v>
                </pt>
                <pt idx="312">
                  <v>2507</v>
                </pt>
                <pt idx="313">
                  <v>5746</v>
                </pt>
                <pt idx="314">
                  <v>4316</v>
                </pt>
                <pt idx="315">
                  <v>5039</v>
                </pt>
                <pt idx="316">
                  <v>3717</v>
                </pt>
                <pt idx="317">
                  <v>4192</v>
                </pt>
                <pt idx="318">
                  <v>3541</v>
                </pt>
                <pt idx="319">
                  <v>10000</v>
                </pt>
                <pt idx="320">
                  <v>4567</v>
                </pt>
                <pt idx="321">
                  <v>4531</v>
                </pt>
                <pt idx="322">
                  <v>5191</v>
                </pt>
                <pt idx="323">
                  <v>6151</v>
                </pt>
                <pt idx="324">
                  <v>15000</v>
                </pt>
                <pt idx="325">
                  <v>13649</v>
                </pt>
                <pt idx="326">
                  <v>4917</v>
                </pt>
                <pt idx="327">
                  <v>7978</v>
                </pt>
                <pt idx="328">
                  <v>6784</v>
                </pt>
                <pt idx="329">
                  <v>2500</v>
                </pt>
                <pt idx="330">
                  <v>6177</v>
                </pt>
                <pt idx="331">
                  <v>2935</v>
                </pt>
                <pt idx="332">
                  <v>2833</v>
                </pt>
                <pt idx="333">
                  <v>63337</v>
                </pt>
                <pt idx="334">
                  <v>11666</v>
                </pt>
                <pt idx="335">
                  <v>9993</v>
                </pt>
                <pt idx="336">
                  <v>5938</v>
                </pt>
                <pt idx="337">
                  <v>7100</v>
                </pt>
                <pt idx="338">
                  <v>1830</v>
                </pt>
                <pt idx="339">
                  <v>4160</v>
                </pt>
                <pt idx="340">
                  <v>4234</v>
                </pt>
                <pt idx="341">
                  <v>2378</v>
                </pt>
                <pt idx="342">
                  <v>5783</v>
                </pt>
                <pt idx="343">
                  <v>3173</v>
                </pt>
                <pt idx="344">
                  <v>4913</v>
                </pt>
                <pt idx="345">
                  <v>4957</v>
                </pt>
                <pt idx="346">
                  <v>6753</v>
                </pt>
                <pt idx="347">
                  <v>5251</v>
                </pt>
                <pt idx="348">
                  <v>10916</v>
                </pt>
                <pt idx="349">
                  <v>8875</v>
                </pt>
                <pt idx="350">
                  <v>9083</v>
                </pt>
                <pt idx="351">
                  <v>12917</v>
                </pt>
                <pt idx="352">
                  <v>4749</v>
                </pt>
                <pt idx="353">
                  <v>5500</v>
                </pt>
                <pt idx="354">
                  <v>2928</v>
                </pt>
                <pt idx="355">
                  <v>3813</v>
                </pt>
                <pt idx="356">
                  <v>11500</v>
                </pt>
                <pt idx="357">
                  <v>3875</v>
                </pt>
                <pt idx="358">
                  <v>4666</v>
                </pt>
                <pt idx="359">
                  <v>8334</v>
                </pt>
                <pt idx="360">
                  <v>4723</v>
                </pt>
                <pt idx="361">
                  <v>8667</v>
                </pt>
                <pt idx="362">
                  <v>7083</v>
                </pt>
                <pt idx="363">
                  <v>6046</v>
                </pt>
                <pt idx="364">
                  <v>6822</v>
                </pt>
                <pt idx="365">
                  <v>6216</v>
                </pt>
                <pt idx="366">
                  <v>2500</v>
                </pt>
                <pt idx="367">
                  <v>5124</v>
                </pt>
                <pt idx="368">
                  <v>6325</v>
                </pt>
                <pt idx="369">
                  <v>24996</v>
                </pt>
                <pt idx="370">
                  <v>15759</v>
                </pt>
                <pt idx="371">
                  <v>5185</v>
                </pt>
                <pt idx="372">
                  <v>17196</v>
                </pt>
                <pt idx="373">
                  <v>5049</v>
                </pt>
                <pt idx="374">
                  <v>4223</v>
                </pt>
                <pt idx="375">
                  <v>5740</v>
                </pt>
                <pt idx="376">
                  <v>13746</v>
                </pt>
                <pt idx="377">
                  <v>4310</v>
                </pt>
                <pt idx="378">
                  <v>3069</v>
                </pt>
                <pt idx="379">
                  <v>5391</v>
                </pt>
                <pt idx="380">
                  <v>5833</v>
                </pt>
                <pt idx="381">
                  <v>10173</v>
                </pt>
                <pt idx="382">
                  <v>6000</v>
                </pt>
                <pt idx="383">
                  <v>7167</v>
                </pt>
                <pt idx="384">
                  <v>4566</v>
                </pt>
                <pt idx="385">
                  <v>3667</v>
                </pt>
                <pt idx="386">
                  <v>3946</v>
                </pt>
                <pt idx="387">
                  <v>6146</v>
                </pt>
                <pt idx="388">
                  <v>4750</v>
                </pt>
                <pt idx="389">
                  <v>5488</v>
                </pt>
                <pt idx="390">
                  <v>9167</v>
                </pt>
                <pt idx="391">
                  <v>9504</v>
                </pt>
                <pt idx="392">
                  <v>4698</v>
                </pt>
                <pt idx="393">
                  <v>3618</v>
                </pt>
                <pt idx="394">
                  <v>4500</v>
                </pt>
                <pt idx="395">
                  <v>3760</v>
                </pt>
                <pt idx="396">
                  <v>3180</v>
                </pt>
                <pt idx="397">
                  <v>4492</v>
                </pt>
                <pt idx="398">
                  <v>5568</v>
                </pt>
                <pt idx="399">
                  <v>3300</v>
                </pt>
                <pt idx="400">
                  <v>2889</v>
                </pt>
                <pt idx="401">
                  <v>2755</v>
                </pt>
                <pt idx="402">
                  <v>22500</v>
                </pt>
                <pt idx="403">
                  <v>1963</v>
                </pt>
                <pt idx="404">
                  <v>7441</v>
                </pt>
                <pt idx="405">
                  <v>4547</v>
                </pt>
                <pt idx="406">
                  <v>4567</v>
                </pt>
                <pt idx="407">
                  <v>2213</v>
                </pt>
                <pt idx="408">
                  <v>8300</v>
                </pt>
                <pt idx="409">
                  <v>81000</v>
                </pt>
                <pt idx="410">
                  <v>3867</v>
                </pt>
                <pt idx="411">
                  <v>6256</v>
                </pt>
                <pt idx="412">
                  <v>6096</v>
                </pt>
                <pt idx="413">
                  <v>4286</v>
                </pt>
                <pt idx="414">
                  <v>5386</v>
                </pt>
                <pt idx="415">
                  <v>2995</v>
                </pt>
                <pt idx="416">
                  <v>2600</v>
                </pt>
                <pt idx="417">
                  <v>21600</v>
                </pt>
                <pt idx="418">
                  <v>3798</v>
                </pt>
                <pt idx="419">
                  <v>4663</v>
                </pt>
                <pt idx="420">
                  <v>5829</v>
                </pt>
                <pt idx="421">
                  <v>2720</v>
                </pt>
                <pt idx="422">
                  <v>3539</v>
                </pt>
                <pt idx="423">
                  <v>8917</v>
                </pt>
                <pt idx="424">
                  <v>14880</v>
                </pt>
                <pt idx="425">
                  <v>6966</v>
                </pt>
                <pt idx="426">
                  <v>4606</v>
                </pt>
                <pt idx="427">
                  <v>5935</v>
                </pt>
                <pt idx="428">
                  <v>2936.12000084</v>
                </pt>
                <pt idx="429">
                  <v>2717</v>
                </pt>
                <pt idx="430">
                  <v>8624</v>
                </pt>
                <pt idx="431">
                  <v>6500</v>
                </pt>
                <pt idx="432">
                  <v>12876</v>
                </pt>
                <pt idx="433">
                  <v>4765</v>
                </pt>
                <pt idx="434">
                  <v>3750</v>
                </pt>
                <pt idx="435">
                  <v>10047</v>
                </pt>
                <pt idx="436">
                  <v>3777</v>
                </pt>
                <pt idx="437">
                  <v>3338</v>
                </pt>
                <pt idx="438">
                  <v>10416</v>
                </pt>
                <pt idx="439">
                  <v>7142</v>
                </pt>
                <pt idx="440">
                  <v>8724</v>
                </pt>
                <pt idx="441">
                  <v>9734</v>
                </pt>
                <pt idx="442">
                  <v>6700</v>
                </pt>
                <pt idx="443">
                  <v>37719</v>
                </pt>
                <pt idx="444">
                  <v>15666</v>
                </pt>
                <pt idx="445">
                  <v>4676</v>
                </pt>
                <pt idx="446">
                  <v>4652</v>
                </pt>
                <pt idx="447">
                  <v>4915</v>
                </pt>
                <pt idx="448">
                  <v>5050</v>
                </pt>
                <pt idx="449">
                  <v>4311</v>
                </pt>
                <pt idx="450">
                  <v>3564</v>
                </pt>
                <pt idx="451">
                  <v>3414</v>
                </pt>
                <pt idx="452">
                  <v>5681</v>
                </pt>
                <pt idx="453">
                  <v>4949</v>
                </pt>
                <pt idx="454">
                  <v>7085</v>
                </pt>
                <pt idx="455">
                  <v>3859</v>
                </pt>
                <pt idx="456">
                  <v>4301</v>
                </pt>
                <pt idx="457">
                  <v>6277</v>
                </pt>
                <pt idx="458">
                  <v>4354</v>
                </pt>
                <pt idx="459">
                  <v>8334</v>
                </pt>
                <pt idx="460">
                  <v>6166</v>
                </pt>
                <pt idx="461">
                  <v>7740</v>
                </pt>
                <pt idx="462">
                  <v>5203</v>
                </pt>
                <pt idx="463">
                  <v>5191</v>
                </pt>
                <pt idx="464">
                  <v>4166</v>
                </pt>
                <pt idx="465">
                  <v>6000</v>
                </pt>
                <pt idx="466">
                  <v>4611</v>
                </pt>
                <pt idx="467">
                  <v>16692</v>
                </pt>
                <pt idx="468">
                  <v>3127</v>
                </pt>
                <pt idx="469">
                  <v>6784</v>
                </pt>
                <pt idx="470">
                  <v>5529</v>
                </pt>
                <pt idx="471">
                  <v>4153</v>
                </pt>
                <pt idx="472">
                  <v>4691</v>
                </pt>
                <pt idx="473">
                  <v>2500</v>
                </pt>
                <pt idx="474">
                  <v>10180</v>
                </pt>
                <pt idx="475">
                  <v>17539</v>
                </pt>
                <pt idx="476">
                  <v>8450</v>
                </pt>
                <pt idx="477">
                  <v>4745</v>
                </pt>
                <pt idx="478">
                  <v>18917</v>
                </pt>
                <pt idx="479">
                  <v>4550</v>
                </pt>
                <pt idx="480">
                  <v>4350</v>
                </pt>
                <pt idx="481">
                  <v>3095</v>
                </pt>
                <pt idx="482">
                  <v>5233</v>
                </pt>
                <pt idx="483">
                  <v>10833</v>
                </pt>
                <pt idx="484">
                  <v>8333</v>
                </pt>
                <pt idx="485">
                  <v>4394</v>
                </pt>
                <pt idx="486">
                  <v>3547</v>
                </pt>
                <pt idx="487">
                  <v>18333</v>
                </pt>
                <pt idx="488">
                  <v>6666</v>
                </pt>
                <pt idx="489">
                  <v>2435</v>
                </pt>
                <pt idx="490">
                  <v>5484</v>
                </pt>
                <pt idx="491">
                  <v>6464</v>
                </pt>
                <pt idx="492">
                  <v>3691</v>
                </pt>
                <pt idx="493">
                  <v>17263</v>
                </pt>
                <pt idx="494">
                  <v>5754</v>
                </pt>
                <pt idx="495">
                  <v>4239</v>
                </pt>
                <pt idx="496">
                  <v>4300</v>
                </pt>
                <pt idx="497">
                  <v>7482</v>
                </pt>
                <pt idx="498">
                  <v>2895</v>
                </pt>
                <pt idx="499">
                  <v>10699</v>
                </pt>
                <pt idx="500">
                  <v>4328</v>
                </pt>
                <pt idx="501">
                  <v>3159</v>
                </pt>
                <pt idx="502">
                  <v>10489</v>
                </pt>
                <pt idx="503">
                  <v>9352</v>
                </pt>
                <pt idx="504">
                  <v>5297</v>
                </pt>
                <pt idx="505">
                  <v>7926</v>
                </pt>
                <pt idx="506">
                  <v>27500</v>
                </pt>
                <pt idx="507">
                  <v>3583</v>
                </pt>
                <pt idx="508">
                  <v>5492</v>
                </pt>
                <pt idx="509">
                  <v>13262</v>
                </pt>
                <pt idx="510">
                  <v>4885</v>
                </pt>
                <pt idx="511">
                  <v>8069</v>
                </pt>
                <pt idx="512">
                  <v>5318</v>
                </pt>
                <pt idx="513">
                  <v>8796</v>
                </pt>
                <pt idx="514">
                  <v>9481</v>
                </pt>
                <pt idx="515">
                  <v>6894</v>
                </pt>
                <pt idx="516">
                  <v>3663</v>
                </pt>
                <pt idx="517">
                  <v>4874</v>
                </pt>
                <pt idx="518">
                  <v>6598</v>
                </pt>
                <pt idx="519">
                  <v>3400</v>
                </pt>
                <pt idx="520">
                  <v>3934</v>
                </pt>
                <pt idx="521">
                  <v>2500</v>
                </pt>
                <pt idx="522">
                  <v>7101</v>
                </pt>
                <pt idx="523">
                  <v>15114</v>
                </pt>
                <pt idx="524">
                  <v>6767</v>
                </pt>
                <pt idx="525">
                  <v>17500</v>
                </pt>
                <pt idx="526">
                  <v>3775</v>
                </pt>
                <pt idx="527">
                  <v>6715</v>
                </pt>
                <pt idx="528">
                  <v>3981</v>
                </pt>
                <pt idx="529">
                  <v>6783</v>
                </pt>
                <pt idx="530">
                  <v>6525</v>
                </pt>
                <pt idx="531">
                  <v>4281</v>
                </pt>
                <pt idx="532">
                  <v>3588</v>
                </pt>
                <pt idx="533">
                  <v>11250</v>
                </pt>
                <pt idx="534">
                  <v>18165</v>
                </pt>
                <pt idx="535">
                  <v>4592</v>
                </pt>
                <pt idx="536">
                  <v>10039</v>
                </pt>
                <pt idx="537">
                  <v>3617</v>
                </pt>
                <pt idx="538">
                  <v>3453</v>
                </pt>
                <pt idx="539">
                  <v>6417</v>
                </pt>
                <pt idx="540">
                  <v>7453</v>
                </pt>
                <pt idx="541">
                  <v>2138</v>
                </pt>
                <pt idx="542">
                  <v>3652</v>
                </pt>
                <pt idx="543">
                  <v>4763</v>
                </pt>
                <pt idx="544">
                  <v>3680</v>
                </pt>
                <pt idx="545">
                  <v>4718</v>
                </pt>
                <pt idx="546">
                  <v>3358</v>
                </pt>
                <pt idx="547">
                  <v>4309</v>
                </pt>
                <pt idx="548">
                  <v>5000</v>
                </pt>
                <pt idx="549">
                  <v>4801</v>
                </pt>
                <pt idx="550">
                  <v>6633</v>
                </pt>
                <pt idx="551">
                  <v>4867</v>
                </pt>
                <pt idx="552">
                  <v>6583</v>
                </pt>
                <pt idx="553">
                  <v>4787</v>
                </pt>
                <pt idx="554">
                  <v>7859</v>
                </pt>
                <pt idx="555">
                  <v>6500</v>
                </pt>
                <pt idx="556">
                  <v>4292</v>
                </pt>
                <pt idx="557">
                  <v>10139</v>
                </pt>
                <pt idx="558">
                  <v>6556</v>
                </pt>
                <pt idx="559">
                  <v>6486</v>
                </pt>
                <pt idx="560">
                  <v>3917</v>
                </pt>
                <pt idx="561">
                  <v>19484</v>
                </pt>
                <pt idx="562">
                  <v>7977</v>
                </pt>
                <pt idx="563">
                  <v>5800</v>
                </pt>
                <pt idx="564">
                  <v>8799</v>
                </pt>
                <pt idx="565">
                  <v>4467</v>
                </pt>
                <pt idx="566">
                  <v>3333</v>
                </pt>
                <pt idx="567">
                  <v>5900</v>
                </pt>
                <pt idx="568">
                  <v>2378</v>
                </pt>
                <pt idx="569">
                  <v>5230</v>
                </pt>
                <pt idx="570">
                  <v>5167</v>
                </pt>
                <pt idx="571">
                  <v>6567</v>
                </pt>
                <pt idx="572">
                  <v>16666</v>
                </pt>
                <pt idx="573">
                  <v>7750</v>
                </pt>
                <pt idx="574">
                  <v>6406</v>
                </pt>
                <pt idx="575">
                  <v>3620</v>
                </pt>
                <pt idx="576">
                  <v>5297</v>
                </pt>
                <pt idx="577">
                  <v>5968</v>
                </pt>
                <pt idx="578">
                  <v>4014</v>
                </pt>
                <pt idx="579">
                  <v>6099</v>
                </pt>
                <pt idx="580">
                  <v>6540</v>
                </pt>
                <pt idx="581">
                  <v>35673</v>
                </pt>
                <pt idx="582">
                  <v>3166</v>
                </pt>
                <pt idx="583">
                  <v>1880</v>
                </pt>
                <pt idx="584">
                  <v>4704</v>
                </pt>
                <pt idx="585">
                  <v>7283</v>
                </pt>
                <pt idx="586">
                  <v>3819</v>
                </pt>
                <pt idx="587">
                  <v>2165</v>
                </pt>
                <pt idx="588">
                  <v>4750</v>
                </pt>
                <pt idx="589">
                  <v>2726</v>
                </pt>
                <pt idx="590">
                  <v>6416</v>
                </pt>
                <pt idx="591">
                  <v>6000</v>
                </pt>
                <pt idx="592">
                  <v>9357</v>
                </pt>
                <pt idx="593">
                  <v>7159</v>
                </pt>
                <pt idx="594">
                  <v>16120</v>
                </pt>
                <pt idx="595">
                  <v>3833</v>
                </pt>
                <pt idx="596">
                  <v>7383</v>
                </pt>
                <pt idx="597">
                  <v>2987</v>
                </pt>
                <pt idx="598">
                  <v>9963</v>
                </pt>
                <pt idx="599">
                  <v>5780</v>
                </pt>
                <pt idx="600">
                  <v>42083</v>
                </pt>
                <pt idx="601">
                  <v>5686</v>
                </pt>
                <pt idx="602">
                  <v>5703</v>
                </pt>
                <pt idx="603">
                  <v>7977</v>
                </pt>
                <pt idx="604">
                  <v>12000</v>
                </pt>
                <pt idx="605">
                  <v>6200</v>
                </pt>
                <pt idx="606">
                  <v>5900</v>
                </pt>
                <pt idx="607">
                  <v>5398</v>
                </pt>
                <pt idx="608">
                  <v>5182</v>
                </pt>
                <pt idx="609">
                  <v>2900</v>
                </pt>
                <pt idx="610">
                  <v>4106</v>
                </pt>
                <pt idx="611">
                  <v>8312</v>
                </pt>
                <pt idx="612">
                  <v>7583</v>
                </pt>
                <pt idx="613">
                  <v>4583</v>
                </pt>
              </numCache>
            </numRef>
          </xVal>
          <yVal>
            <numRef>
              <f>'Dashboard Data'!$J$2:$J$615</f>
              <numCache>
                <formatCode>General</formatCode>
                <ptCount val="614"/>
                <pt idx="0">
                  <v>#N/A</v>
                </pt>
                <pt idx="1">
                  <v>128</v>
                </pt>
                <pt idx="2">
                  <v>66</v>
                </pt>
                <pt idx="3">
                  <v>120</v>
                </pt>
                <pt idx="4">
                  <v>141</v>
                </pt>
                <pt idx="5">
                  <v>267</v>
                </pt>
                <pt idx="6">
                  <v>95</v>
                </pt>
                <pt idx="7">
                  <v>158</v>
                </pt>
                <pt idx="8">
                  <v>168</v>
                </pt>
                <pt idx="9">
                  <v>349</v>
                </pt>
                <pt idx="10">
                  <v>70</v>
                </pt>
                <pt idx="11">
                  <v>109</v>
                </pt>
                <pt idx="12">
                  <v>200</v>
                </pt>
                <pt idx="13">
                  <v>114</v>
                </pt>
                <pt idx="14">
                  <v>17</v>
                </pt>
                <pt idx="15">
                  <v>125</v>
                </pt>
                <pt idx="16">
                  <v>100</v>
                </pt>
                <pt idx="17">
                  <v>76</v>
                </pt>
                <pt idx="18">
                  <v>133</v>
                </pt>
                <pt idx="19">
                  <v>115</v>
                </pt>
                <pt idx="20">
                  <v>104</v>
                </pt>
                <pt idx="21">
                  <v>315</v>
                </pt>
                <pt idx="22">
                  <v>116</v>
                </pt>
                <pt idx="23">
                  <v>112</v>
                </pt>
                <pt idx="24">
                  <v>151</v>
                </pt>
                <pt idx="25">
                  <v>191</v>
                </pt>
                <pt idx="26">
                  <v>122</v>
                </pt>
                <pt idx="27">
                  <v>110</v>
                </pt>
                <pt idx="28">
                  <v>35</v>
                </pt>
                <pt idx="29">
                  <v>120</v>
                </pt>
                <pt idx="30">
                  <v>201</v>
                </pt>
                <pt idx="31">
                  <v>74</v>
                </pt>
                <pt idx="32">
                  <v>106</v>
                </pt>
                <pt idx="33">
                  <v>114</v>
                </pt>
                <pt idx="34">
                  <v>320</v>
                </pt>
                <pt idx="35">
                  <v>#N/A</v>
                </pt>
                <pt idx="36">
                  <v>100</v>
                </pt>
                <pt idx="37">
                  <v>144</v>
                </pt>
                <pt idx="38">
                  <v>184</v>
                </pt>
                <pt idx="39">
                  <v>110</v>
                </pt>
                <pt idx="40">
                  <v>80</v>
                </pt>
                <pt idx="41">
                  <v>47</v>
                </pt>
                <pt idx="42">
                  <v>75</v>
                </pt>
                <pt idx="43">
                  <v>134</v>
                </pt>
                <pt idx="44">
                  <v>96</v>
                </pt>
                <pt idx="45">
                  <v>88</v>
                </pt>
                <pt idx="46">
                  <v>44</v>
                </pt>
                <pt idx="47">
                  <v>144</v>
                </pt>
                <pt idx="48">
                  <v>120</v>
                </pt>
                <pt idx="49">
                  <v>144</v>
                </pt>
                <pt idx="50">
                  <v>100</v>
                </pt>
                <pt idx="51">
                  <v>120</v>
                </pt>
                <pt idx="52">
                  <v>112</v>
                </pt>
                <pt idx="53">
                  <v>134</v>
                </pt>
                <pt idx="54">
                  <v>286</v>
                </pt>
                <pt idx="55">
                  <v>97</v>
                </pt>
                <pt idx="56">
                  <v>96</v>
                </pt>
                <pt idx="57">
                  <v>135</v>
                </pt>
                <pt idx="58">
                  <v>180</v>
                </pt>
                <pt idx="59">
                  <v>144</v>
                </pt>
                <pt idx="60">
                  <v>120</v>
                </pt>
                <pt idx="61">
                  <v>99</v>
                </pt>
                <pt idx="62">
                  <v>165</v>
                </pt>
                <pt idx="63">
                  <v>#N/A</v>
                </pt>
                <pt idx="64">
                  <v>116</v>
                </pt>
                <pt idx="65">
                  <v>258</v>
                </pt>
                <pt idx="66">
                  <v>126</v>
                </pt>
                <pt idx="67">
                  <v>312</v>
                </pt>
                <pt idx="68">
                  <v>125</v>
                </pt>
                <pt idx="69">
                  <v>136</v>
                </pt>
                <pt idx="70">
                  <v>172</v>
                </pt>
                <pt idx="71">
                  <v>97</v>
                </pt>
                <pt idx="72">
                  <v>81</v>
                </pt>
                <pt idx="73">
                  <v>95</v>
                </pt>
                <pt idx="74">
                  <v>187</v>
                </pt>
                <pt idx="75">
                  <v>113</v>
                </pt>
                <pt idx="76">
                  <v>176</v>
                </pt>
                <pt idx="77">
                  <v>110</v>
                </pt>
                <pt idx="78">
                  <v>180</v>
                </pt>
                <pt idx="79">
                  <v>130</v>
                </pt>
                <pt idx="80">
                  <v>111</v>
                </pt>
                <pt idx="81">
                  <v>#N/A</v>
                </pt>
                <pt idx="82">
                  <v>167</v>
                </pt>
                <pt idx="83">
                  <v>265</v>
                </pt>
                <pt idx="84">
                  <v>50</v>
                </pt>
                <pt idx="85">
                  <v>136</v>
                </pt>
                <pt idx="86">
                  <v>99</v>
                </pt>
                <pt idx="87">
                  <v>104</v>
                </pt>
                <pt idx="88">
                  <v>210</v>
                </pt>
                <pt idx="89">
                  <v>175</v>
                </pt>
                <pt idx="90">
                  <v>131</v>
                </pt>
                <pt idx="91">
                  <v>188</v>
                </pt>
                <pt idx="92">
                  <v>81</v>
                </pt>
                <pt idx="93">
                  <v>122</v>
                </pt>
                <pt idx="94">
                  <v>25</v>
                </pt>
                <pt idx="95">
                  <v>#N/A</v>
                </pt>
                <pt idx="96">
                  <v>137</v>
                </pt>
                <pt idx="97">
                  <v>50</v>
                </pt>
                <pt idx="98">
                  <v>115</v>
                </pt>
                <pt idx="99">
                  <v>131</v>
                </pt>
                <pt idx="100">
                  <v>133</v>
                </pt>
                <pt idx="101">
                  <v>151</v>
                </pt>
                <pt idx="102">
                  <v>#N/A</v>
                </pt>
                <pt idx="103">
                  <v>#N/A</v>
                </pt>
                <pt idx="104">
                  <v>160</v>
                </pt>
                <pt idx="105">
                  <v>100</v>
                </pt>
                <pt idx="106">
                  <v>225</v>
                </pt>
                <pt idx="107">
                  <v>120</v>
                </pt>
                <pt idx="108">
                  <v>216</v>
                </pt>
                <pt idx="109">
                  <v>94</v>
                </pt>
                <pt idx="110">
                  <v>136</v>
                </pt>
                <pt idx="111">
                  <v>139</v>
                </pt>
                <pt idx="112">
                  <v>152</v>
                </pt>
                <pt idx="113">
                  <v>#N/A</v>
                </pt>
                <pt idx="114">
                  <v>118</v>
                </pt>
                <pt idx="115">
                  <v>185</v>
                </pt>
                <pt idx="116">
                  <v>154</v>
                </pt>
                <pt idx="117">
                  <v>85</v>
                </pt>
                <pt idx="118">
                  <v>175</v>
                </pt>
                <pt idx="119">
                  <v>259</v>
                </pt>
                <pt idx="120">
                  <v>180</v>
                </pt>
                <pt idx="121">
                  <v>44</v>
                </pt>
                <pt idx="122">
                  <v>137</v>
                </pt>
                <pt idx="123">
                  <v>81</v>
                </pt>
                <pt idx="124">
                  <v>194</v>
                </pt>
                <pt idx="125">
                  <v>93</v>
                </pt>
                <pt idx="126">
                  <v>370</v>
                </pt>
                <pt idx="127">
                  <v>#N/A</v>
                </pt>
                <pt idx="128">
                  <v>160</v>
                </pt>
                <pt idx="129">
                  <v>182</v>
                </pt>
                <pt idx="130">
                  <v>650</v>
                </pt>
                <pt idx="131">
                  <v>74</v>
                </pt>
                <pt idx="132">
                  <v>70</v>
                </pt>
                <pt idx="133">
                  <v>25</v>
                </pt>
                <pt idx="134">
                  <v>102</v>
                </pt>
                <pt idx="135">
                  <v>290</v>
                </pt>
                <pt idx="136">
                  <v>84</v>
                </pt>
                <pt idx="137">
                  <v>88</v>
                </pt>
                <pt idx="138">
                  <v>242</v>
                </pt>
                <pt idx="139">
                  <v>129</v>
                </pt>
                <pt idx="140">
                  <v>185</v>
                </pt>
                <pt idx="141">
                  <v>168</v>
                </pt>
                <pt idx="142">
                  <v>175</v>
                </pt>
                <pt idx="143">
                  <v>122</v>
                </pt>
                <pt idx="144">
                  <v>187</v>
                </pt>
                <pt idx="145">
                  <v>100</v>
                </pt>
                <pt idx="146">
                  <v>70</v>
                </pt>
                <pt idx="147">
                  <v>30</v>
                </pt>
                <pt idx="148">
                  <v>225</v>
                </pt>
                <pt idx="149">
                  <v>125</v>
                </pt>
                <pt idx="150">
                  <v>118</v>
                </pt>
                <pt idx="151">
                  <v>152</v>
                </pt>
                <pt idx="152">
                  <v>244</v>
                </pt>
                <pt idx="153">
                  <v>113</v>
                </pt>
                <pt idx="154">
                  <v>50</v>
                </pt>
                <pt idx="155">
                  <v>600</v>
                </pt>
                <pt idx="156">
                  <v>160</v>
                </pt>
                <pt idx="157">
                  <v>187</v>
                </pt>
                <pt idx="158">
                  <v>120</v>
                </pt>
                <pt idx="159">
                  <v>255</v>
                </pt>
                <pt idx="160">
                  <v>98</v>
                </pt>
                <pt idx="161">
                  <v>275</v>
                </pt>
                <pt idx="162">
                  <v>121</v>
                </pt>
                <pt idx="163">
                  <v>158</v>
                </pt>
                <pt idx="164">
                  <v>75</v>
                </pt>
                <pt idx="165">
                  <v>182</v>
                </pt>
                <pt idx="166">
                  <v>112</v>
                </pt>
                <pt idx="167">
                  <v>129</v>
                </pt>
                <pt idx="168">
                  <v>63</v>
                </pt>
                <pt idx="169">
                  <v>200</v>
                </pt>
                <pt idx="170">
                  <v>95</v>
                </pt>
                <pt idx="171">
                  <v>700</v>
                </pt>
                <pt idx="172">
                  <v>81</v>
                </pt>
                <pt idx="173">
                  <v>187</v>
                </pt>
                <pt idx="174">
                  <v>87</v>
                </pt>
                <pt idx="175">
                  <v>116</v>
                </pt>
                <pt idx="176">
                  <v>101</v>
                </pt>
                <pt idx="177">
                  <v>495</v>
                </pt>
                <pt idx="178">
                  <v>116</v>
                </pt>
                <pt idx="179">
                  <v>102</v>
                </pt>
                <pt idx="180">
                  <v>180</v>
                </pt>
                <pt idx="181">
                  <v>67</v>
                </pt>
                <pt idx="182">
                  <v>73</v>
                </pt>
                <pt idx="183">
                  <v>260</v>
                </pt>
                <pt idx="184">
                  <v>108</v>
                </pt>
                <pt idx="185">
                  <v>120</v>
                </pt>
                <pt idx="186">
                  <v>66</v>
                </pt>
                <pt idx="187">
                  <v>58</v>
                </pt>
                <pt idx="188">
                  <v>168</v>
                </pt>
                <pt idx="189">
                  <v>188</v>
                </pt>
                <pt idx="190">
                  <v>48</v>
                </pt>
                <pt idx="191">
                  <v>164</v>
                </pt>
                <pt idx="192">
                  <v>160</v>
                </pt>
                <pt idx="193">
                  <v>76</v>
                </pt>
                <pt idx="194">
                  <v>120</v>
                </pt>
                <pt idx="195">
                  <v>170</v>
                </pt>
                <pt idx="196">
                  <v>187</v>
                </pt>
                <pt idx="197">
                  <v>120</v>
                </pt>
                <pt idx="198">
                  <v>113</v>
                </pt>
                <pt idx="199">
                  <v>83</v>
                </pt>
                <pt idx="200">
                  <v>90</v>
                </pt>
                <pt idx="201">
                  <v>166</v>
                </pt>
                <pt idx="202">
                  <v>#N/A</v>
                </pt>
                <pt idx="203">
                  <v>135</v>
                </pt>
                <pt idx="204">
                  <v>124</v>
                </pt>
                <pt idx="205">
                  <v>120</v>
                </pt>
                <pt idx="206">
                  <v>80</v>
                </pt>
                <pt idx="207">
                  <v>55</v>
                </pt>
                <pt idx="208">
                  <v>59</v>
                </pt>
                <pt idx="209">
                  <v>127</v>
                </pt>
                <pt idx="210">
                  <v>214</v>
                </pt>
                <pt idx="211">
                  <v>128</v>
                </pt>
                <pt idx="212">
                  <v>240</v>
                </pt>
                <pt idx="213">
                  <v>130</v>
                </pt>
                <pt idx="214">
                  <v>137</v>
                </pt>
                <pt idx="215">
                  <v>100</v>
                </pt>
                <pt idx="216">
                  <v>135</v>
                </pt>
                <pt idx="217">
                  <v>131</v>
                </pt>
                <pt idx="218">
                  <v>72</v>
                </pt>
                <pt idx="219">
                  <v>127</v>
                </pt>
                <pt idx="220">
                  <v>60</v>
                </pt>
                <pt idx="221">
                  <v>116</v>
                </pt>
                <pt idx="222">
                  <v>144</v>
                </pt>
                <pt idx="223">
                  <v>175</v>
                </pt>
                <pt idx="224">
                  <v>128</v>
                </pt>
                <pt idx="225">
                  <v>170</v>
                </pt>
                <pt idx="226">
                  <v>138</v>
                </pt>
                <pt idx="227">
                  <v>210</v>
                </pt>
                <pt idx="228">
                  <v>158</v>
                </pt>
                <pt idx="229">
                  <v>200</v>
                </pt>
                <pt idx="230">
                  <v>104</v>
                </pt>
                <pt idx="231">
                  <v>42</v>
                </pt>
                <pt idx="232">
                  <v>120</v>
                </pt>
                <pt idx="233">
                  <v>280</v>
                </pt>
                <pt idx="234">
                  <v>140</v>
                </pt>
                <pt idx="235">
                  <v>170</v>
                </pt>
                <pt idx="236">
                  <v>255</v>
                </pt>
                <pt idx="237">
                  <v>122</v>
                </pt>
                <pt idx="238">
                  <v>112</v>
                </pt>
                <pt idx="239">
                  <v>96</v>
                </pt>
                <pt idx="240">
                  <v>120</v>
                </pt>
                <pt idx="241">
                  <v>140</v>
                </pt>
                <pt idx="242">
                  <v>155</v>
                </pt>
                <pt idx="243">
                  <v>108</v>
                </pt>
                <pt idx="244">
                  <v>123</v>
                </pt>
                <pt idx="245">
                  <v>120</v>
                </pt>
                <pt idx="246">
                  <v>112</v>
                </pt>
                <pt idx="247">
                  <v>137</v>
                </pt>
                <pt idx="248">
                  <v>123</v>
                </pt>
                <pt idx="249">
                  <v>90</v>
                </pt>
                <pt idx="250">
                  <v>201</v>
                </pt>
                <pt idx="251">
                  <v>138</v>
                </pt>
                <pt idx="252">
                  <v>104</v>
                </pt>
                <pt idx="253">
                  <v>279</v>
                </pt>
                <pt idx="254">
                  <v>192</v>
                </pt>
                <pt idx="255">
                  <v>255</v>
                </pt>
                <pt idx="256">
                  <v>115</v>
                </pt>
                <pt idx="257">
                  <v>94</v>
                </pt>
                <pt idx="258">
                  <v>304</v>
                </pt>
                <pt idx="259">
                  <v>128</v>
                </pt>
                <pt idx="260">
                  <v>330</v>
                </pt>
                <pt idx="261">
                  <v>134</v>
                </pt>
                <pt idx="262">
                  <v>155</v>
                </pt>
                <pt idx="263">
                  <v>120</v>
                </pt>
                <pt idx="264">
                  <v>128</v>
                </pt>
                <pt idx="265">
                  <v>151</v>
                </pt>
                <pt idx="266">
                  <v>150</v>
                </pt>
                <pt idx="267">
                  <v>160</v>
                </pt>
                <pt idx="268">
                  <v>135</v>
                </pt>
                <pt idx="269">
                  <v>90</v>
                </pt>
                <pt idx="270">
                  <v>30</v>
                </pt>
                <pt idx="271">
                  <v>136</v>
                </pt>
                <pt idx="272">
                  <v>126</v>
                </pt>
                <pt idx="273">
                  <v>150</v>
                </pt>
                <pt idx="274">
                  <v>90</v>
                </pt>
                <pt idx="275">
                  <v>115</v>
                </pt>
                <pt idx="276">
                  <v>207</v>
                </pt>
                <pt idx="277">
                  <v>80</v>
                </pt>
                <pt idx="278">
                  <v>436</v>
                </pt>
                <pt idx="279">
                  <v>124</v>
                </pt>
                <pt idx="280">
                  <v>158</v>
                </pt>
                <pt idx="281">
                  <v>112</v>
                </pt>
                <pt idx="282">
                  <v>78</v>
                </pt>
                <pt idx="283">
                  <v>54</v>
                </pt>
                <pt idx="284">
                  <v>#N/A</v>
                </pt>
                <pt idx="285">
                  <v>89</v>
                </pt>
                <pt idx="286">
                  <v>99</v>
                </pt>
                <pt idx="287">
                  <v>120</v>
                </pt>
                <pt idx="288">
                  <v>115</v>
                </pt>
                <pt idx="289">
                  <v>187</v>
                </pt>
                <pt idx="290">
                  <v>139</v>
                </pt>
                <pt idx="291">
                  <v>127</v>
                </pt>
                <pt idx="292">
                  <v>134</v>
                </pt>
                <pt idx="293">
                  <v>143</v>
                </pt>
                <pt idx="294">
                  <v>172</v>
                </pt>
                <pt idx="295">
                  <v>110</v>
                </pt>
                <pt idx="296">
                  <v>200</v>
                </pt>
                <pt idx="297">
                  <v>135</v>
                </pt>
                <pt idx="298">
                  <v>151</v>
                </pt>
                <pt idx="299">
                  <v>113</v>
                </pt>
                <pt idx="300">
                  <v>93</v>
                </pt>
                <pt idx="301">
                  <v>105</v>
                </pt>
                <pt idx="302">
                  <v>132</v>
                </pt>
                <pt idx="303">
                  <v>96</v>
                </pt>
                <pt idx="304">
                  <v>140</v>
                </pt>
                <pt idx="305">
                  <v>#N/A</v>
                </pt>
                <pt idx="306">
                  <v>135</v>
                </pt>
                <pt idx="307">
                  <v>104</v>
                </pt>
                <pt idx="308">
                  <v>480</v>
                </pt>
                <pt idx="309">
                  <v>185</v>
                </pt>
                <pt idx="310">
                  <v>84</v>
                </pt>
                <pt idx="311">
                  <v>111</v>
                </pt>
                <pt idx="312">
                  <v>56</v>
                </pt>
                <pt idx="313">
                  <v>144</v>
                </pt>
                <pt idx="314">
                  <v>159</v>
                </pt>
                <pt idx="315">
                  <v>111</v>
                </pt>
                <pt idx="316">
                  <v>120</v>
                </pt>
                <pt idx="317">
                  <v>88</v>
                </pt>
                <pt idx="318">
                  <v>112</v>
                </pt>
                <pt idx="319">
                  <v>155</v>
                </pt>
                <pt idx="320">
                  <v>115</v>
                </pt>
                <pt idx="321">
                  <v>124</v>
                </pt>
                <pt idx="322">
                  <v>#N/A</v>
                </pt>
                <pt idx="323">
                  <v>132</v>
                </pt>
                <pt idx="324">
                  <v>300</v>
                </pt>
                <pt idx="325">
                  <v>376</v>
                </pt>
                <pt idx="326">
                  <v>130</v>
                </pt>
                <pt idx="327">
                  <v>184</v>
                </pt>
                <pt idx="328">
                  <v>110</v>
                </pt>
                <pt idx="329">
                  <v>67</v>
                </pt>
                <pt idx="330">
                  <v>117</v>
                </pt>
                <pt idx="331">
                  <v>98</v>
                </pt>
                <pt idx="332">
                  <v>71</v>
                </pt>
                <pt idx="333">
                  <v>490</v>
                </pt>
                <pt idx="334">
                  <v>182</v>
                </pt>
                <pt idx="335">
                  <v>70</v>
                </pt>
                <pt idx="336">
                  <v>160</v>
                </pt>
                <pt idx="337">
                  <v>176</v>
                </pt>
                <pt idx="338">
                  <v>#N/A</v>
                </pt>
                <pt idx="339">
                  <v>71</v>
                </pt>
                <pt idx="340">
                  <v>173</v>
                </pt>
                <pt idx="341">
                  <v>46</v>
                </pt>
                <pt idx="342">
                  <v>158</v>
                </pt>
                <pt idx="343">
                  <v>74</v>
                </pt>
                <pt idx="344">
                  <v>125</v>
                </pt>
                <pt idx="345">
                  <v>160</v>
                </pt>
                <pt idx="346">
                  <v>152</v>
                </pt>
                <pt idx="347">
                  <v>126</v>
                </pt>
                <pt idx="348">
                  <v>259</v>
                </pt>
                <pt idx="349">
                  <v>187</v>
                </pt>
                <pt idx="350">
                  <v>228</v>
                </pt>
                <pt idx="351">
                  <v>308</v>
                </pt>
                <pt idx="352">
                  <v>95</v>
                </pt>
                <pt idx="353">
                  <v>105</v>
                </pt>
                <pt idx="354">
                  <v>130</v>
                </pt>
                <pt idx="355">
                  <v>116</v>
                </pt>
                <pt idx="356">
                  <v>165</v>
                </pt>
                <pt idx="357">
                  <v>67</v>
                </pt>
                <pt idx="358">
                  <v>100</v>
                </pt>
                <pt idx="359">
                  <v>200</v>
                </pt>
                <pt idx="360">
                  <v>81</v>
                </pt>
                <pt idx="361">
                  <v>236</v>
                </pt>
                <pt idx="362">
                  <v>130</v>
                </pt>
                <pt idx="363">
                  <v>95</v>
                </pt>
                <pt idx="364">
                  <v>141</v>
                </pt>
                <pt idx="365">
                  <v>133</v>
                </pt>
                <pt idx="366">
                  <v>96</v>
                </pt>
                <pt idx="367">
                  <v>124</v>
                </pt>
                <pt idx="368">
                  <v>175</v>
                </pt>
                <pt idx="369">
                  <v>570</v>
                </pt>
                <pt idx="370">
                  <v>55</v>
                </pt>
                <pt idx="371">
                  <v>155</v>
                </pt>
                <pt idx="372">
                  <v>380</v>
                </pt>
                <pt idx="373">
                  <v>111</v>
                </pt>
                <pt idx="374">
                  <v>110</v>
                </pt>
                <pt idx="375">
                  <v>120</v>
                </pt>
                <pt idx="376">
                  <v>130</v>
                </pt>
                <pt idx="377">
                  <v>130</v>
                </pt>
                <pt idx="378">
                  <v>71</v>
                </pt>
                <pt idx="379">
                  <v>130</v>
                </pt>
                <pt idx="380">
                  <v>128</v>
                </pt>
                <pt idx="381">
                  <v>296</v>
                </pt>
                <pt idx="382">
                  <v>156</v>
                </pt>
                <pt idx="383">
                  <v>128</v>
                </pt>
                <pt idx="384">
                  <v>100</v>
                </pt>
                <pt idx="385">
                  <v>113</v>
                </pt>
                <pt idx="386">
                  <v>132</v>
                </pt>
                <pt idx="387">
                  <v>#N/A</v>
                </pt>
                <pt idx="388">
                  <v>136</v>
                </pt>
                <pt idx="389">
                  <v>125</v>
                </pt>
                <pt idx="390">
                  <v>185</v>
                </pt>
                <pt idx="391">
                  <v>275</v>
                </pt>
                <pt idx="392">
                  <v>120</v>
                </pt>
                <pt idx="393">
                  <v>113</v>
                </pt>
                <pt idx="394">
                  <v>113</v>
                </pt>
                <pt idx="395">
                  <v>135</v>
                </pt>
                <pt idx="396">
                  <v>71</v>
                </pt>
                <pt idx="397">
                  <v>95</v>
                </pt>
                <pt idx="398">
                  <v>109</v>
                </pt>
                <pt idx="399">
                  <v>103</v>
                </pt>
                <pt idx="400">
                  <v>45</v>
                </pt>
                <pt idx="401">
                  <v>65</v>
                </pt>
                <pt idx="402">
                  <v>103</v>
                </pt>
                <pt idx="403">
                  <v>53</v>
                </pt>
                <pt idx="404">
                  <v>194</v>
                </pt>
                <pt idx="405">
                  <v>115</v>
                </pt>
                <pt idx="406">
                  <v>115</v>
                </pt>
                <pt idx="407">
                  <v>66</v>
                </pt>
                <pt idx="408">
                  <v>152</v>
                </pt>
                <pt idx="409">
                  <v>360</v>
                </pt>
                <pt idx="410">
                  <v>62</v>
                </pt>
                <pt idx="411">
                  <v>160</v>
                </pt>
                <pt idx="412">
                  <v>218</v>
                </pt>
                <pt idx="413">
                  <v>110</v>
                </pt>
                <pt idx="414">
                  <v>178</v>
                </pt>
                <pt idx="415">
                  <v>60</v>
                </pt>
                <pt idx="416">
                  <v>160</v>
                </pt>
                <pt idx="417">
                  <v>239</v>
                </pt>
                <pt idx="418">
                  <v>112</v>
                </pt>
                <pt idx="419">
                  <v>138</v>
                </pt>
                <pt idx="420">
                  <v>138</v>
                </pt>
                <pt idx="421">
                  <v>80</v>
                </pt>
                <pt idx="422">
                  <v>100</v>
                </pt>
                <pt idx="423">
                  <v>110</v>
                </pt>
                <pt idx="424">
                  <v>96</v>
                </pt>
                <pt idx="425">
                  <v>121</v>
                </pt>
                <pt idx="426">
                  <v>81</v>
                </pt>
                <pt idx="427">
                  <v>133</v>
                </pt>
                <pt idx="428">
                  <v>87</v>
                </pt>
                <pt idx="429">
                  <v>60</v>
                </pt>
                <pt idx="430">
                  <v>150</v>
                </pt>
                <pt idx="431">
                  <v>105</v>
                </pt>
                <pt idx="432">
                  <v>405</v>
                </pt>
                <pt idx="433">
                  <v>143</v>
                </pt>
                <pt idx="434">
                  <v>100</v>
                </pt>
                <pt idx="435">
                  <v>#N/A</v>
                </pt>
                <pt idx="436">
                  <v>50</v>
                </pt>
                <pt idx="437">
                  <v>#N/A</v>
                </pt>
                <pt idx="438">
                  <v>187</v>
                </pt>
                <pt idx="439">
                  <v>138</v>
                </pt>
                <pt idx="440">
                  <v>187</v>
                </pt>
                <pt idx="441">
                  <v>180</v>
                </pt>
                <pt idx="442">
                  <v>148</v>
                </pt>
                <pt idx="443">
                  <v>152</v>
                </pt>
                <pt idx="444">
                  <v>175</v>
                </pt>
                <pt idx="445">
                  <v>130</v>
                </pt>
                <pt idx="446">
                  <v>110</v>
                </pt>
                <pt idx="447">
                  <v>55</v>
                </pt>
                <pt idx="448">
                  <v>150</v>
                </pt>
                <pt idx="449">
                  <v>190</v>
                </pt>
                <pt idx="450">
                  <v>125</v>
                </pt>
                <pt idx="451">
                  <v>60</v>
                </pt>
                <pt idx="452">
                  <v>149</v>
                </pt>
                <pt idx="453">
                  <v>90</v>
                </pt>
                <pt idx="454">
                  <v>84</v>
                </pt>
                <pt idx="455">
                  <v>96</v>
                </pt>
                <pt idx="456">
                  <v>118</v>
                </pt>
                <pt idx="457">
                  <v>173</v>
                </pt>
                <pt idx="458">
                  <v>136</v>
                </pt>
                <pt idx="459">
                  <v>160</v>
                </pt>
                <pt idx="460">
                  <v>160</v>
                </pt>
                <pt idx="461">
                  <v>128</v>
                </pt>
                <pt idx="462">
                  <v>153</v>
                </pt>
                <pt idx="463">
                  <v>132</v>
                </pt>
                <pt idx="464">
                  <v>98</v>
                </pt>
                <pt idx="465">
                  <v>140</v>
                </pt>
                <pt idx="466">
                  <v>70</v>
                </pt>
                <pt idx="467">
                  <v>110</v>
                </pt>
                <pt idx="468">
                  <v>98</v>
                </pt>
                <pt idx="469">
                  <v>110</v>
                </pt>
                <pt idx="470">
                  <v>162</v>
                </pt>
                <pt idx="471">
                  <v>113</v>
                </pt>
                <pt idx="472">
                  <v>100</v>
                </pt>
                <pt idx="473">
                  <v>93</v>
                </pt>
                <pt idx="474">
                  <v>162</v>
                </pt>
                <pt idx="475">
                  <v>150</v>
                </pt>
                <pt idx="476">
                  <v>230</v>
                </pt>
                <pt idx="477">
                  <v>132</v>
                </pt>
                <pt idx="478">
                  <v>86</v>
                </pt>
                <pt idx="479">
                  <v>#N/A</v>
                </pt>
                <pt idx="480">
                  <v>154</v>
                </pt>
                <pt idx="481">
                  <v>113</v>
                </pt>
                <pt idx="482">
                  <v>128</v>
                </pt>
                <pt idx="483">
                  <v>234</v>
                </pt>
                <pt idx="484">
                  <v>246</v>
                </pt>
                <pt idx="485">
                  <v>131</v>
                </pt>
                <pt idx="486">
                  <v>80</v>
                </pt>
                <pt idx="487">
                  <v>500</v>
                </pt>
                <pt idx="488">
                  <v>160</v>
                </pt>
                <pt idx="489">
                  <v>75</v>
                </pt>
                <pt idx="490">
                  <v>96</v>
                </pt>
                <pt idx="491">
                  <v>186</v>
                </pt>
                <pt idx="492">
                  <v>110</v>
                </pt>
                <pt idx="493">
                  <v>225</v>
                </pt>
                <pt idx="494">
                  <v>119</v>
                </pt>
                <pt idx="495">
                  <v>105</v>
                </pt>
                <pt idx="496">
                  <v>107</v>
                </pt>
                <pt idx="497">
                  <v>111</v>
                </pt>
                <pt idx="498">
                  <v>95</v>
                </pt>
                <pt idx="499">
                  <v>209</v>
                </pt>
                <pt idx="500">
                  <v>113</v>
                </pt>
                <pt idx="501">
                  <v>100</v>
                </pt>
                <pt idx="502">
                  <v>208</v>
                </pt>
                <pt idx="503">
                  <v>138</v>
                </pt>
                <pt idx="504">
                  <v>124</v>
                </pt>
                <pt idx="505">
                  <v>243</v>
                </pt>
                <pt idx="506">
                  <v>480</v>
                </pt>
                <pt idx="507">
                  <v>96</v>
                </pt>
                <pt idx="508">
                  <v>188</v>
                </pt>
                <pt idx="509">
                  <v>40</v>
                </pt>
                <pt idx="510">
                  <v>100</v>
                </pt>
                <pt idx="511">
                  <v>250</v>
                </pt>
                <pt idx="512">
                  <v>148</v>
                </pt>
                <pt idx="513">
                  <v>70</v>
                </pt>
                <pt idx="514">
                  <v>311</v>
                </pt>
                <pt idx="515">
                  <v>150</v>
                </pt>
                <pt idx="516">
                  <v>113</v>
                </pt>
                <pt idx="517">
                  <v>123</v>
                </pt>
                <pt idx="518">
                  <v>185</v>
                </pt>
                <pt idx="519">
                  <v>95</v>
                </pt>
                <pt idx="520">
                  <v>45</v>
                </pt>
                <pt idx="521">
                  <v>55</v>
                </pt>
                <pt idx="522">
                  <v>100</v>
                </pt>
                <pt idx="523">
                  <v>480</v>
                </pt>
                <pt idx="524">
                  <v>#N/A</v>
                </pt>
                <pt idx="525">
                  <v>400</v>
                </pt>
                <pt idx="526">
                  <v>110</v>
                </pt>
                <pt idx="527">
                  <v>161</v>
                </pt>
                <pt idx="528">
                  <v>94</v>
                </pt>
                <pt idx="529">
                  <v>130</v>
                </pt>
                <pt idx="530">
                  <v>216</v>
                </pt>
                <pt idx="531">
                  <v>100</v>
                </pt>
                <pt idx="532">
                  <v>110</v>
                </pt>
                <pt idx="533">
                  <v>196</v>
                </pt>
                <pt idx="534">
                  <v>125</v>
                </pt>
                <pt idx="535">
                  <v>126</v>
                </pt>
                <pt idx="536">
                  <v>324</v>
                </pt>
                <pt idx="537">
                  <v>107</v>
                </pt>
                <pt idx="538">
                  <v>66</v>
                </pt>
                <pt idx="539">
                  <v>157</v>
                </pt>
                <pt idx="540">
                  <v>140</v>
                </pt>
                <pt idx="541">
                  <v>99</v>
                </pt>
                <pt idx="542">
                  <v>95</v>
                </pt>
                <pt idx="543">
                  <v>128</v>
                </pt>
                <pt idx="544">
                  <v>102</v>
                </pt>
                <pt idx="545">
                  <v>155</v>
                </pt>
                <pt idx="546">
                  <v>80</v>
                </pt>
                <pt idx="547">
                  <v>145</v>
                </pt>
                <pt idx="548">
                  <v>103</v>
                </pt>
                <pt idx="549">
                  <v>110</v>
                </pt>
                <pt idx="550">
                  <v>#N/A</v>
                </pt>
                <pt idx="551">
                  <v>#N/A</v>
                </pt>
                <pt idx="552">
                  <v>158</v>
                </pt>
                <pt idx="553">
                  <v>181</v>
                </pt>
                <pt idx="554">
                  <v>132</v>
                </pt>
                <pt idx="555">
                  <v>26</v>
                </pt>
                <pt idx="556">
                  <v>84</v>
                </pt>
                <pt idx="557">
                  <v>260</v>
                </pt>
                <pt idx="558">
                  <v>162</v>
                </pt>
                <pt idx="559">
                  <v>182</v>
                </pt>
                <pt idx="560">
                  <v>108</v>
                </pt>
                <pt idx="561">
                  <v>600</v>
                </pt>
                <pt idx="562">
                  <v>211</v>
                </pt>
                <pt idx="563">
                  <v>132</v>
                </pt>
                <pt idx="564">
                  <v>258</v>
                </pt>
                <pt idx="565">
                  <v>120</v>
                </pt>
                <pt idx="566">
                  <v>70</v>
                </pt>
                <pt idx="567">
                  <v>123</v>
                </pt>
                <pt idx="568">
                  <v>9</v>
                </pt>
                <pt idx="569">
                  <v>104</v>
                </pt>
                <pt idx="570">
                  <v>186</v>
                </pt>
                <pt idx="571">
                  <v>165</v>
                </pt>
                <pt idx="572">
                  <v>275</v>
                </pt>
                <pt idx="573">
                  <v>187</v>
                </pt>
                <pt idx="574">
                  <v>150</v>
                </pt>
                <pt idx="575">
                  <v>108</v>
                </pt>
                <pt idx="576">
                  <v>136</v>
                </pt>
                <pt idx="577">
                  <v>110</v>
                </pt>
                <pt idx="578">
                  <v>107</v>
                </pt>
                <pt idx="579">
                  <v>161</v>
                </pt>
                <pt idx="580">
                  <v>205</v>
                </pt>
                <pt idx="581">
                  <v>90</v>
                </pt>
                <pt idx="582">
                  <v>36</v>
                </pt>
                <pt idx="583">
                  <v>61</v>
                </pt>
                <pt idx="584">
                  <v>146</v>
                </pt>
                <pt idx="585">
                  <v>172</v>
                </pt>
                <pt idx="586">
                  <v>104</v>
                </pt>
                <pt idx="587">
                  <v>70</v>
                </pt>
                <pt idx="588">
                  <v>94</v>
                </pt>
                <pt idx="589">
                  <v>106</v>
                </pt>
                <pt idx="590">
                  <v>56</v>
                </pt>
                <pt idx="591">
                  <v>205</v>
                </pt>
                <pt idx="592">
                  <v>292</v>
                </pt>
                <pt idx="593">
                  <v>142</v>
                </pt>
                <pt idx="594">
                  <v>260</v>
                </pt>
                <pt idx="595">
                  <v>110</v>
                </pt>
                <pt idx="596">
                  <v>187</v>
                </pt>
                <pt idx="597">
                  <v>88</v>
                </pt>
                <pt idx="598">
                  <v>180</v>
                </pt>
                <pt idx="599">
                  <v>192</v>
                </pt>
                <pt idx="600">
                  <v>350</v>
                </pt>
                <pt idx="601">
                  <v>155</v>
                </pt>
                <pt idx="602">
                  <v>128</v>
                </pt>
                <pt idx="603">
                  <v>172</v>
                </pt>
                <pt idx="604">
                  <v>496</v>
                </pt>
                <pt idx="605">
                  <v>#N/A</v>
                </pt>
                <pt idx="606">
                  <v>173</v>
                </pt>
                <pt idx="607">
                  <v>157</v>
                </pt>
                <pt idx="608">
                  <v>108</v>
                </pt>
                <pt idx="609">
                  <v>71</v>
                </pt>
                <pt idx="610">
                  <v>40</v>
                </pt>
                <pt idx="611">
                  <v>253</v>
                </pt>
                <pt idx="612">
                  <v>187</v>
                </pt>
                <pt idx="613">
                  <v>133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66264071"/>
        <axId val="1266270215"/>
      </scatterChart>
      <valAx>
        <axId val="1266264071"/>
        <scaling>
          <orientation val="minMax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Monthly Income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66270215"/>
        <crosses val="autoZero"/>
        <crossBetween val="midCat"/>
      </valAx>
      <valAx>
        <axId val="1266270215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Loan Amount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66264071"/>
        <crosses val="autoZero"/>
        <crossBetween val="midCat"/>
      </valAx>
    </plotArea>
    <plotVisOnly val="0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Loan Applicants by Property Area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'Property Area Chart'!$B$4</f>
              <strCache>
                <ptCount val="1"/>
                <pt idx="0">
                  <v>Applicant Count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'Property Area Chart'!$A$5:$A$7</f>
              <strCache>
                <ptCount val="3"/>
                <pt idx="0">
                  <v>Semiurban</v>
                </pt>
                <pt idx="1">
                  <v>Urban</v>
                </pt>
                <pt idx="2">
                  <v>Rural</v>
                </pt>
              </strCache>
            </strRef>
          </cat>
          <val>
            <numRef>
              <f>'Property Area Chart'!$B$5:$B$7</f>
              <numCache>
                <formatCode>#,##0</formatCode>
                <ptCount val="3"/>
                <pt idx="0">
                  <v>233</v>
                </pt>
                <pt idx="1">
                  <v>202</v>
                </pt>
                <pt idx="2">
                  <v>179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222702599"/>
        <axId val="1881188359"/>
      </barChart>
      <catAx>
        <axId val="1222702599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Property Area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81188359"/>
        <crosses val="autoZero"/>
        <auto val="1"/>
        <lblAlgn val="ctr"/>
        <lblOffset val="100"/>
        <noMultiLvlLbl val="0"/>
      </catAx>
      <valAx>
        <axId val="1881188359"/>
        <scaling>
          <orientation val="minMax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Applicants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2270259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Loan Approval Rate by Property Area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'Property Area Chart'!$I$28</f>
              <strCache>
                <ptCount val="1"/>
                <pt idx="0">
                  <v>Approval Rate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.0%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'Property Area Chart'!$F$29:$F$31</f>
              <strCache>
                <ptCount val="3"/>
                <pt idx="0">
                  <v>Semiurban</v>
                </pt>
                <pt idx="1">
                  <v>Urban</v>
                </pt>
                <pt idx="2">
                  <v>Rural</v>
                </pt>
              </strCache>
            </strRef>
          </cat>
          <val>
            <numRef>
              <f>'Property Area Chart'!$I$29:$I$31</f>
              <numCache>
                <formatCode>0.0%</formatCode>
                <ptCount val="3"/>
                <pt idx="0">
                  <v>0.7682403433476395</v>
                </pt>
                <pt idx="1">
                  <v>0.6584158415841584</v>
                </pt>
                <pt idx="2">
                  <v>0.6145251396648045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883123207"/>
        <axId val="1883155975"/>
      </barChart>
      <catAx>
        <axId val="1883123207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Property Area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83155975"/>
        <crosses val="autoZero"/>
        <auto val="1"/>
        <lblAlgn val="ctr"/>
        <lblOffset val="100"/>
        <noMultiLvlLbl val="0"/>
      </catAx>
      <valAx>
        <axId val="1883155975"/>
        <scaling>
          <orientation val="minMax"/>
          <max val="1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Approval Rate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83123207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7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23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twoCellAnchor>
    <from>
      <col>0</col>
      <colOff>0</colOff>
      <row>8</row>
      <rowOff>0</rowOff>
    </from>
    <to>
      <col>9</col>
      <colOff>0</colOff>
      <row>25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8</row>
      <rowOff>0</rowOff>
    </from>
    <to>
      <col>18</col>
      <colOff>0</colOff>
      <row>25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9</col>
      <colOff>0</colOff>
      <row>26</row>
      <rowOff>0</rowOff>
    </from>
    <to>
      <col>18</col>
      <colOff>0</colOff>
      <row>45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3</col>
      <colOff>0</colOff>
      <row>3</row>
      <rowOff>0</rowOff>
    </from>
    <to>
      <col>10</col>
      <colOff>0</colOff>
      <row>22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33</row>
      <rowOff>0</rowOff>
    </from>
    <to>
      <col>10</col>
      <colOff>0</colOff>
      <row>52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RawDataTable" displayName="RawDataTable" ref="A1:N615" headerRowCount="1">
  <autoFilter ref="A1:N615"/>
  <tableColumns count="14">
    <tableColumn id="1" name="Loan_ID"/>
    <tableColumn id="2" name="Gender"/>
    <tableColumn id="3" name="Married"/>
    <tableColumn id="4" name="Dependents"/>
    <tableColumn id="5" name="Education"/>
    <tableColumn id="6" name="Self_Employed"/>
    <tableColumn id="7" name="ApplicantIncome"/>
    <tableColumn id="8" name="CoapplicantIncome"/>
    <tableColumn id="9" name="LoanAmount"/>
    <tableColumn id="10" name="Loan_Amount_Term"/>
    <tableColumn id="11" name="Credit_History"/>
    <tableColumn id="12" name="Property_Area"/>
    <tableColumn id="13" name="Loan_Status"/>
    <tableColumn id="14" name="Risk_Category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DataDictionaryTable" displayName="DataDictionaryTable" ref="A1:F15" headerRowCount="1">
  <autoFilter ref="A1:F15"/>
  <tableColumns count="6">
    <tableColumn id="1" name="Column Name"/>
    <tableColumn id="2" name="Data Type"/>
    <tableColumn id="3" name="Description"/>
    <tableColumn id="4" name="Missing Values"/>
    <tableColumn id="5" name="Unique Values"/>
    <tableColumn id="6" name="Comment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DataQualityTable" displayName="DataQualityTable" ref="A1:F15" headerRowCount="1">
  <autoFilter ref="A1:F15"/>
  <tableColumns count="6">
    <tableColumn id="1" name="Issue"/>
    <tableColumn id="2" name="Affected Field"/>
    <tableColumn id="3" name="Count"/>
    <tableColumn id="4" name="Percentage"/>
    <tableColumn id="5" name="Business Impact"/>
    <tableColumn id="6" name="Recommended Actio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KPITable" displayName="KPITable" ref="A1:E12" headerRowCount="1">
  <autoFilter ref="A1:E12"/>
  <tableColumns count="5">
    <tableColumn id="1" name="KPI"/>
    <tableColumn id="2" name="Definition / Formula"/>
    <tableColumn id="3" name="Calculated Value"/>
    <tableColumn id="4" name="Business Interpretation"/>
    <tableColumn id="5" name="Limitation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NumericalTable" displayName="NumericalTable" ref="A1:N6" headerRowCount="1">
  <autoFilter ref="A1:N6"/>
  <tableColumns count="14">
    <tableColumn id="1" name="Field"/>
    <tableColumn id="2" name="Count"/>
    <tableColumn id="3" name="Missing Count"/>
    <tableColumn id="4" name="Mean"/>
    <tableColumn id="5" name="Median"/>
    <tableColumn id="6" name="Mode"/>
    <tableColumn id="7" name="Minimum"/>
    <tableColumn id="8" name="Maximum"/>
    <tableColumn id="9" name="Range"/>
    <tableColumn id="10" name="Variance"/>
    <tableColumn id="11" name="Std Dev"/>
    <tableColumn id="12" name="Q1"/>
    <tableColumn id="13" name="Q3"/>
    <tableColumn id="14" name="IQR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CategoricalTable" displayName="CategoricalTable" ref="A1:E639" headerRowCount="1">
  <autoFilter ref="A1:E639"/>
  <tableColumns count="5">
    <tableColumn id="1" name="Field"/>
    <tableColumn id="2" name="Category"/>
    <tableColumn id="3" name="Frequency"/>
    <tableColumn id="4" name="Percentage"/>
    <tableColumn id="5" name="Rank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SegmentTable" displayName="SegmentTable" ref="A1:H21" headerRowCount="1">
  <autoFilter ref="A1:H21"/>
  <tableColumns count="8">
    <tableColumn id="1" name="Dimension"/>
    <tableColumn id="2" name="Segment"/>
    <tableColumn id="3" name="Applications"/>
    <tableColumn id="4" name="Approved"/>
    <tableColumn id="5" name="Rejected"/>
    <tableColumn id="6" name="Approval Rate"/>
    <tableColumn id="7" name="Rejection Rate"/>
    <tableColumn id="8" name="Sample Flag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FinancialTable" displayName="FinancialTable" ref="A1:D11" headerRowCount="1">
  <autoFilter ref="A1:D11"/>
  <tableColumns count="4">
    <tableColumn id="1" name="Metric"/>
    <tableColumn id="2" name="Value"/>
    <tableColumn id="3" name="Definition"/>
    <tableColumn id="4" name="Interpretation / Limita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24" t="inlineStr">
        <is>
          <t>LOAN PORTFOLIO EXECUTIVE DASHBOARD</t>
        </is>
      </c>
    </row>
    <row r="2"/>
    <row r="4">
      <c r="A4" s="25" t="inlineStr">
        <is>
          <t>Total Applications</t>
        </is>
      </c>
      <c r="D4" s="25" t="inlineStr">
        <is>
          <t>Approval Rate</t>
        </is>
      </c>
      <c r="G4" s="25" t="inlineStr">
        <is>
          <t>Avg Applicant Income</t>
        </is>
      </c>
      <c r="J4" s="25" t="inlineStr">
        <is>
          <t>Avg Loan Amount</t>
        </is>
      </c>
    </row>
    <row r="5">
      <c r="A5" s="26" t="n">
        <v>614</v>
      </c>
      <c r="D5" s="27" t="n">
        <v>0.6872964169381107</v>
      </c>
      <c r="G5" s="26" t="n">
        <v>5403.459283387622</v>
      </c>
      <c r="J5" s="26" t="n">
        <v>146.4121621621622</v>
      </c>
    </row>
    <row r="20">
      <c r="A20" t="inlineStr">
        <is>
          <t>Outcome</t>
        </is>
      </c>
      <c r="B20" t="inlineStr">
        <is>
          <t>Applications</t>
        </is>
      </c>
      <c r="E20" t="inlineStr">
        <is>
          <t>Property Area</t>
        </is>
      </c>
      <c r="F20" t="inlineStr">
        <is>
          <t>Approval Rate</t>
        </is>
      </c>
      <c r="I20" t="inlineStr">
        <is>
          <t>Credit History</t>
        </is>
      </c>
      <c r="J20" t="inlineStr">
        <is>
          <t>Approval Rate</t>
        </is>
      </c>
    </row>
    <row r="21">
      <c r="A21" t="inlineStr">
        <is>
          <t>Approved</t>
        </is>
      </c>
      <c r="B21" t="n">
        <v>422</v>
      </c>
      <c r="E21" t="inlineStr">
        <is>
          <t>Rural</t>
        </is>
      </c>
      <c r="F21" t="n">
        <v>0.6145251396648045</v>
      </c>
      <c r="I21" t="inlineStr">
        <is>
          <t>0</t>
        </is>
      </c>
      <c r="J21" t="n">
        <v>0.07865168539325842</v>
      </c>
    </row>
    <row r="22">
      <c r="A22" t="inlineStr">
        <is>
          <t>Rejected</t>
        </is>
      </c>
      <c r="B22" t="n">
        <v>192</v>
      </c>
      <c r="E22" t="inlineStr">
        <is>
          <t>Semiurban</t>
        </is>
      </c>
      <c r="F22" t="n">
        <v>0.7682403433476395</v>
      </c>
      <c r="I22" t="inlineStr">
        <is>
          <t>1</t>
        </is>
      </c>
      <c r="J22" t="n">
        <v>0.7957894736842105</v>
      </c>
    </row>
    <row r="23">
      <c r="E23" t="inlineStr">
        <is>
          <t>Urban</t>
        </is>
      </c>
      <c r="F23" t="n">
        <v>0.6584158415841584</v>
      </c>
      <c r="I23" t="inlineStr">
        <is>
          <t>Missing</t>
        </is>
      </c>
      <c r="J23" t="n">
        <v>0.74</v>
      </c>
    </row>
    <row r="24">
      <c r="G24" s="28" t="inlineStr">
        <is>
          <t>Management Observations</t>
        </is>
      </c>
    </row>
    <row r="25">
      <c r="G25" t="inlineStr">
        <is>
          <t>• Credit history is the strongest observed separator of application decisions.</t>
        </is>
      </c>
    </row>
    <row r="26">
      <c r="G26" t="inlineStr">
        <is>
          <t>• Semiurban has the highest observed approval rate.</t>
        </is>
      </c>
    </row>
    <row r="27">
      <c r="G27" t="inlineStr">
        <is>
          <t>• Rejection is not evidence of default.</t>
        </is>
      </c>
    </row>
    <row r="28">
      <c r="G28" t="inlineStr">
        <is>
          <t>• No date fields: trend analysis unavailable.</t>
        </is>
      </c>
    </row>
    <row r="29">
      <c r="G29" t="inlineStr">
        <is>
          <t>• Income and loan units are undocumented.</t>
        </is>
      </c>
    </row>
  </sheetData>
  <mergeCells count="1">
    <mergeCell ref="A1:L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615"/>
  <sheetViews>
    <sheetView topLeftCell="M1" workbookViewId="0">
      <selection activeCell="V5" sqref="V5"/>
    </sheetView>
  </sheetViews>
  <sheetFormatPr baseColWidth="8" defaultRowHeight="15"/>
  <cols>
    <col width="13.85546875" bestFit="1" customWidth="1" min="14" max="14"/>
    <col width="11.42578125" customWidth="1" min="16" max="16"/>
    <col width="15.5703125" bestFit="1" customWidth="1" min="19" max="19"/>
    <col width="10" bestFit="1" customWidth="1" min="20" max="20"/>
  </cols>
  <sheetData>
    <row r="1">
      <c r="A1" t="inlineStr">
        <is>
          <t>Loan_ID</t>
        </is>
      </c>
      <c r="B1" t="inlineStr">
        <is>
          <t>Gender</t>
        </is>
      </c>
      <c r="C1" t="inlineStr">
        <is>
          <t>Married</t>
        </is>
      </c>
      <c r="D1" t="inlineStr">
        <is>
          <t>Dependents</t>
        </is>
      </c>
      <c r="E1" t="inlineStr">
        <is>
          <t>Education</t>
        </is>
      </c>
      <c r="F1" t="inlineStr">
        <is>
          <t>Self_Employed</t>
        </is>
      </c>
      <c r="G1" t="inlineStr">
        <is>
          <t>ApplicantIncome</t>
        </is>
      </c>
      <c r="H1" t="inlineStr">
        <is>
          <t>CoapplicantIncome</t>
        </is>
      </c>
      <c r="I1" t="inlineStr">
        <is>
          <t>LoanAmount</t>
        </is>
      </c>
      <c r="J1" t="inlineStr">
        <is>
          <t>Loan_Amount_Term</t>
        </is>
      </c>
      <c r="K1" t="inlineStr">
        <is>
          <t>Credit_History</t>
        </is>
      </c>
      <c r="L1" t="inlineStr">
        <is>
          <t>Property_Area</t>
        </is>
      </c>
      <c r="M1" t="inlineStr">
        <is>
          <t>Loan_Status</t>
        </is>
      </c>
      <c r="N1" s="22" t="inlineStr">
        <is>
          <t>Risk_Category</t>
        </is>
      </c>
    </row>
    <row r="2">
      <c r="A2" t="inlineStr">
        <is>
          <t>LP001002</t>
        </is>
      </c>
      <c r="B2" t="inlineStr">
        <is>
          <t>Male</t>
        </is>
      </c>
      <c r="C2" t="inlineStr">
        <is>
          <t>No</t>
        </is>
      </c>
      <c r="D2" t="n">
        <v>0</v>
      </c>
      <c r="E2" t="inlineStr">
        <is>
          <t>Graduate</t>
        </is>
      </c>
      <c r="F2" t="inlineStr">
        <is>
          <t>No</t>
        </is>
      </c>
      <c r="G2" t="n">
        <v>5849</v>
      </c>
      <c r="H2" t="n">
        <v>0</v>
      </c>
      <c r="J2" t="n">
        <v>360</v>
      </c>
      <c r="K2" t="n">
        <v>1</v>
      </c>
      <c r="L2" t="inlineStr">
        <is>
          <t>Urban</t>
        </is>
      </c>
      <c r="M2" t="inlineStr">
        <is>
          <t>Y</t>
        </is>
      </c>
      <c r="N2">
        <f>IF(AND(K2=1,M2="Y"),"Lower Risk",IF(AND(K2=0,M2="N"),"High Risk","Medium Risk"))</f>
        <v/>
      </c>
    </row>
    <row r="3">
      <c r="A3" t="inlineStr">
        <is>
          <t>LP001003</t>
        </is>
      </c>
      <c r="B3" t="inlineStr">
        <is>
          <t>Male</t>
        </is>
      </c>
      <c r="C3" t="inlineStr">
        <is>
          <t>Yes</t>
        </is>
      </c>
      <c r="D3" t="n">
        <v>1</v>
      </c>
      <c r="E3" t="inlineStr">
        <is>
          <t>Graduate</t>
        </is>
      </c>
      <c r="F3" t="inlineStr">
        <is>
          <t>No</t>
        </is>
      </c>
      <c r="G3" t="n">
        <v>4583</v>
      </c>
      <c r="H3" t="n">
        <v>1508</v>
      </c>
      <c r="I3" t="n">
        <v>128</v>
      </c>
      <c r="J3" t="n">
        <v>360</v>
      </c>
      <c r="K3" t="n">
        <v>1</v>
      </c>
      <c r="L3" t="inlineStr">
        <is>
          <t>Rural</t>
        </is>
      </c>
      <c r="M3" t="inlineStr">
        <is>
          <t>N</t>
        </is>
      </c>
      <c r="N3">
        <f>IF(AND(K3=1,M3="Y"),"Lower Risk",IF(AND(K3=0,M3="N"),"High Risk","Medium Risk"))</f>
        <v/>
      </c>
      <c r="P3" s="22" t="n"/>
      <c r="Q3" s="22" t="n"/>
    </row>
    <row r="4">
      <c r="A4" t="inlineStr">
        <is>
          <t>LP001005</t>
        </is>
      </c>
      <c r="B4" t="inlineStr">
        <is>
          <t>Male</t>
        </is>
      </c>
      <c r="C4" t="inlineStr">
        <is>
          <t>Yes</t>
        </is>
      </c>
      <c r="D4" t="n">
        <v>0</v>
      </c>
      <c r="E4" t="inlineStr">
        <is>
          <t>Graduate</t>
        </is>
      </c>
      <c r="F4" t="inlineStr">
        <is>
          <t>Yes</t>
        </is>
      </c>
      <c r="G4" t="n">
        <v>3000</v>
      </c>
      <c r="H4" t="n">
        <v>0</v>
      </c>
      <c r="I4" t="n">
        <v>66</v>
      </c>
      <c r="J4" t="n">
        <v>360</v>
      </c>
      <c r="K4" t="n">
        <v>1</v>
      </c>
      <c r="L4" t="inlineStr">
        <is>
          <t>Urban</t>
        </is>
      </c>
      <c r="M4" t="inlineStr">
        <is>
          <t>Y</t>
        </is>
      </c>
      <c r="N4">
        <f>IF(AND(K4=1,M4="Y"),"Lower Risk",IF(AND(K4=0,M4="N"),"High Risk","Medium Risk"))</f>
        <v/>
      </c>
    </row>
    <row r="5">
      <c r="A5" t="inlineStr">
        <is>
          <t>LP001006</t>
        </is>
      </c>
      <c r="B5" t="inlineStr">
        <is>
          <t>Male</t>
        </is>
      </c>
      <c r="C5" t="inlineStr">
        <is>
          <t>Yes</t>
        </is>
      </c>
      <c r="D5" t="n">
        <v>0</v>
      </c>
      <c r="E5" t="inlineStr">
        <is>
          <t>Not Graduate</t>
        </is>
      </c>
      <c r="F5" t="inlineStr">
        <is>
          <t>No</t>
        </is>
      </c>
      <c r="G5" t="n">
        <v>2583</v>
      </c>
      <c r="H5" t="n">
        <v>2358</v>
      </c>
      <c r="I5" t="n">
        <v>120</v>
      </c>
      <c r="J5" t="n">
        <v>360</v>
      </c>
      <c r="K5" t="n">
        <v>1</v>
      </c>
      <c r="L5" t="inlineStr">
        <is>
          <t>Urban</t>
        </is>
      </c>
      <c r="M5" t="inlineStr">
        <is>
          <t>Y</t>
        </is>
      </c>
      <c r="N5">
        <f>IF(AND(K5=1,M5="Y"),"Lower Risk",IF(AND(K5=0,M5="N"),"High Risk","Medium Risk"))</f>
        <v/>
      </c>
    </row>
    <row r="6">
      <c r="A6" t="inlineStr">
        <is>
          <t>LP001008</t>
        </is>
      </c>
      <c r="B6" t="inlineStr">
        <is>
          <t>Male</t>
        </is>
      </c>
      <c r="C6" t="inlineStr">
        <is>
          <t>No</t>
        </is>
      </c>
      <c r="D6" t="n">
        <v>0</v>
      </c>
      <c r="E6" t="inlineStr">
        <is>
          <t>Graduate</t>
        </is>
      </c>
      <c r="F6" t="inlineStr">
        <is>
          <t>No</t>
        </is>
      </c>
      <c r="G6" t="n">
        <v>6000</v>
      </c>
      <c r="H6" t="n">
        <v>0</v>
      </c>
      <c r="I6" t="n">
        <v>141</v>
      </c>
      <c r="J6" t="n">
        <v>360</v>
      </c>
      <c r="K6" t="n">
        <v>1</v>
      </c>
      <c r="L6" t="inlineStr">
        <is>
          <t>Urban</t>
        </is>
      </c>
      <c r="M6" t="inlineStr">
        <is>
          <t>Y</t>
        </is>
      </c>
      <c r="N6">
        <f>IF(AND(K6=1,M6="Y"),"Lower Risk",IF(AND(K6=0,M6="N"),"High Risk","Medium Risk"))</f>
        <v/>
      </c>
    </row>
    <row r="7">
      <c r="A7" t="inlineStr">
        <is>
          <t>LP001011</t>
        </is>
      </c>
      <c r="B7" t="inlineStr">
        <is>
          <t>Male</t>
        </is>
      </c>
      <c r="C7" t="inlineStr">
        <is>
          <t>Yes</t>
        </is>
      </c>
      <c r="D7" t="n">
        <v>2</v>
      </c>
      <c r="E7" t="inlineStr">
        <is>
          <t>Graduate</t>
        </is>
      </c>
      <c r="F7" t="inlineStr">
        <is>
          <t>Yes</t>
        </is>
      </c>
      <c r="G7" t="n">
        <v>5417</v>
      </c>
      <c r="H7" t="n">
        <v>4196</v>
      </c>
      <c r="I7" t="n">
        <v>267</v>
      </c>
      <c r="J7" t="n">
        <v>360</v>
      </c>
      <c r="K7" t="n">
        <v>1</v>
      </c>
      <c r="L7" t="inlineStr">
        <is>
          <t>Urban</t>
        </is>
      </c>
      <c r="M7" t="inlineStr">
        <is>
          <t>Y</t>
        </is>
      </c>
      <c r="N7">
        <f>IF(AND(K7=1,M7="Y"),"Lower Risk",IF(AND(K7=0,M7="N"),"High Risk","Medium Risk"))</f>
        <v/>
      </c>
    </row>
    <row r="8">
      <c r="A8" t="inlineStr">
        <is>
          <t>LP001013</t>
        </is>
      </c>
      <c r="B8" t="inlineStr">
        <is>
          <t>Male</t>
        </is>
      </c>
      <c r="C8" t="inlineStr">
        <is>
          <t>Yes</t>
        </is>
      </c>
      <c r="D8" t="n">
        <v>0</v>
      </c>
      <c r="E8" t="inlineStr">
        <is>
          <t>Not Graduate</t>
        </is>
      </c>
      <c r="F8" t="inlineStr">
        <is>
          <t>No</t>
        </is>
      </c>
      <c r="G8" t="n">
        <v>2333</v>
      </c>
      <c r="H8" t="n">
        <v>1516</v>
      </c>
      <c r="I8" t="n">
        <v>95</v>
      </c>
      <c r="J8" t="n">
        <v>360</v>
      </c>
      <c r="K8" t="n">
        <v>1</v>
      </c>
      <c r="L8" t="inlineStr">
        <is>
          <t>Urban</t>
        </is>
      </c>
      <c r="M8" t="inlineStr">
        <is>
          <t>Y</t>
        </is>
      </c>
      <c r="N8">
        <f>IF(AND(K8=1,M8="Y"),"Lower Risk",IF(AND(K8=0,M8="N"),"High Risk","Medium Risk"))</f>
        <v/>
      </c>
    </row>
    <row r="9">
      <c r="A9" t="inlineStr">
        <is>
          <t>LP001014</t>
        </is>
      </c>
      <c r="B9" t="inlineStr">
        <is>
          <t>Male</t>
        </is>
      </c>
      <c r="C9" t="inlineStr">
        <is>
          <t>Yes</t>
        </is>
      </c>
      <c r="D9" t="inlineStr">
        <is>
          <t>3+</t>
        </is>
      </c>
      <c r="E9" t="inlineStr">
        <is>
          <t>Graduate</t>
        </is>
      </c>
      <c r="F9" t="inlineStr">
        <is>
          <t>No</t>
        </is>
      </c>
      <c r="G9" t="n">
        <v>3036</v>
      </c>
      <c r="H9" t="n">
        <v>2504</v>
      </c>
      <c r="I9" t="n">
        <v>158</v>
      </c>
      <c r="J9" t="n">
        <v>360</v>
      </c>
      <c r="K9" t="n">
        <v>0</v>
      </c>
      <c r="L9" t="inlineStr">
        <is>
          <t>Semiurban</t>
        </is>
      </c>
      <c r="M9" t="inlineStr">
        <is>
          <t>N</t>
        </is>
      </c>
      <c r="N9">
        <f>IF(AND(K9=1,M9="Y"),"Lower Risk",IF(AND(K9=0,M9="N"),"High Risk","Medium Risk"))</f>
        <v/>
      </c>
    </row>
    <row r="10">
      <c r="A10" t="inlineStr">
        <is>
          <t>LP001018</t>
        </is>
      </c>
      <c r="B10" t="inlineStr">
        <is>
          <t>Male</t>
        </is>
      </c>
      <c r="C10" t="inlineStr">
        <is>
          <t>Yes</t>
        </is>
      </c>
      <c r="D10" t="n">
        <v>2</v>
      </c>
      <c r="E10" t="inlineStr">
        <is>
          <t>Graduate</t>
        </is>
      </c>
      <c r="F10" t="inlineStr">
        <is>
          <t>No</t>
        </is>
      </c>
      <c r="G10" t="n">
        <v>4006</v>
      </c>
      <c r="H10" t="n">
        <v>1526</v>
      </c>
      <c r="I10" t="n">
        <v>168</v>
      </c>
      <c r="J10" t="n">
        <v>360</v>
      </c>
      <c r="K10" t="n">
        <v>1</v>
      </c>
      <c r="L10" t="inlineStr">
        <is>
          <t>Urban</t>
        </is>
      </c>
      <c r="M10" t="inlineStr">
        <is>
          <t>Y</t>
        </is>
      </c>
      <c r="N10">
        <f>IF(AND(K10=1,M10="Y"),"Lower Risk",IF(AND(K10=0,M10="N"),"High Risk","Medium Risk"))</f>
        <v/>
      </c>
    </row>
    <row r="11">
      <c r="A11" t="inlineStr">
        <is>
          <t>LP001020</t>
        </is>
      </c>
      <c r="B11" t="inlineStr">
        <is>
          <t>Male</t>
        </is>
      </c>
      <c r="C11" t="inlineStr">
        <is>
          <t>Yes</t>
        </is>
      </c>
      <c r="D11" t="n">
        <v>1</v>
      </c>
      <c r="E11" t="inlineStr">
        <is>
          <t>Graduate</t>
        </is>
      </c>
      <c r="F11" t="inlineStr">
        <is>
          <t>No</t>
        </is>
      </c>
      <c r="G11" t="n">
        <v>12841</v>
      </c>
      <c r="H11" t="n">
        <v>10968</v>
      </c>
      <c r="I11" t="n">
        <v>349</v>
      </c>
      <c r="J11" t="n">
        <v>360</v>
      </c>
      <c r="K11" t="n">
        <v>1</v>
      </c>
      <c r="L11" t="inlineStr">
        <is>
          <t>Semiurban</t>
        </is>
      </c>
      <c r="M11" t="inlineStr">
        <is>
          <t>N</t>
        </is>
      </c>
      <c r="N11">
        <f>IF(AND(K11=1,M11="Y"),"Lower Risk",IF(AND(K11=0,M11="N"),"High Risk","Medium Risk"))</f>
        <v/>
      </c>
    </row>
    <row r="12">
      <c r="A12" t="inlineStr">
        <is>
          <t>LP001024</t>
        </is>
      </c>
      <c r="B12" t="inlineStr">
        <is>
          <t>Male</t>
        </is>
      </c>
      <c r="C12" t="inlineStr">
        <is>
          <t>Yes</t>
        </is>
      </c>
      <c r="D12" t="n">
        <v>2</v>
      </c>
      <c r="E12" t="inlineStr">
        <is>
          <t>Graduate</t>
        </is>
      </c>
      <c r="F12" t="inlineStr">
        <is>
          <t>No</t>
        </is>
      </c>
      <c r="G12" t="n">
        <v>3200</v>
      </c>
      <c r="H12" t="n">
        <v>700</v>
      </c>
      <c r="I12" t="n">
        <v>70</v>
      </c>
      <c r="J12" t="n">
        <v>360</v>
      </c>
      <c r="K12" t="n">
        <v>1</v>
      </c>
      <c r="L12" t="inlineStr">
        <is>
          <t>Urban</t>
        </is>
      </c>
      <c r="M12" t="inlineStr">
        <is>
          <t>Y</t>
        </is>
      </c>
      <c r="N12">
        <f>IF(AND(K12=1,M12="Y"),"Lower Risk",IF(AND(K12=0,M12="N"),"High Risk","Medium Risk"))</f>
        <v/>
      </c>
    </row>
    <row r="13">
      <c r="A13" t="inlineStr">
        <is>
          <t>LP001027</t>
        </is>
      </c>
      <c r="B13" t="inlineStr">
        <is>
          <t>Male</t>
        </is>
      </c>
      <c r="C13" t="inlineStr">
        <is>
          <t>Yes</t>
        </is>
      </c>
      <c r="D13" t="n">
        <v>2</v>
      </c>
      <c r="E13" t="inlineStr">
        <is>
          <t>Graduate</t>
        </is>
      </c>
      <c r="G13" t="n">
        <v>2500</v>
      </c>
      <c r="H13" t="n">
        <v>1840</v>
      </c>
      <c r="I13" t="n">
        <v>109</v>
      </c>
      <c r="J13" t="n">
        <v>360</v>
      </c>
      <c r="K13" t="n">
        <v>1</v>
      </c>
      <c r="L13" t="inlineStr">
        <is>
          <t>Urban</t>
        </is>
      </c>
      <c r="M13" t="inlineStr">
        <is>
          <t>Y</t>
        </is>
      </c>
      <c r="N13">
        <f>IF(AND(K13=1,M13="Y"),"Lower Risk",IF(AND(K13=0,M13="N"),"High Risk","Medium Risk"))</f>
        <v/>
      </c>
    </row>
    <row r="14">
      <c r="A14" t="inlineStr">
        <is>
          <t>LP001028</t>
        </is>
      </c>
      <c r="B14" t="inlineStr">
        <is>
          <t>Male</t>
        </is>
      </c>
      <c r="C14" t="inlineStr">
        <is>
          <t>Yes</t>
        </is>
      </c>
      <c r="D14" t="n">
        <v>2</v>
      </c>
      <c r="E14" t="inlineStr">
        <is>
          <t>Graduate</t>
        </is>
      </c>
      <c r="F14" t="inlineStr">
        <is>
          <t>No</t>
        </is>
      </c>
      <c r="G14" t="n">
        <v>3073</v>
      </c>
      <c r="H14" t="n">
        <v>8106</v>
      </c>
      <c r="I14" t="n">
        <v>200</v>
      </c>
      <c r="J14" t="n">
        <v>360</v>
      </c>
      <c r="K14" t="n">
        <v>1</v>
      </c>
      <c r="L14" t="inlineStr">
        <is>
          <t>Urban</t>
        </is>
      </c>
      <c r="M14" t="inlineStr">
        <is>
          <t>Y</t>
        </is>
      </c>
      <c r="N14">
        <f>IF(AND(K14=1,M14="Y"),"Lower Risk",IF(AND(K14=0,M14="N"),"High Risk","Medium Risk"))</f>
        <v/>
      </c>
    </row>
    <row r="15">
      <c r="A15" t="inlineStr">
        <is>
          <t>LP001029</t>
        </is>
      </c>
      <c r="B15" t="inlineStr">
        <is>
          <t>Male</t>
        </is>
      </c>
      <c r="C15" t="inlineStr">
        <is>
          <t>No</t>
        </is>
      </c>
      <c r="D15" t="n">
        <v>0</v>
      </c>
      <c r="E15" t="inlineStr">
        <is>
          <t>Graduate</t>
        </is>
      </c>
      <c r="F15" t="inlineStr">
        <is>
          <t>No</t>
        </is>
      </c>
      <c r="G15" t="n">
        <v>1853</v>
      </c>
      <c r="H15" t="n">
        <v>2840</v>
      </c>
      <c r="I15" t="n">
        <v>114</v>
      </c>
      <c r="J15" t="n">
        <v>360</v>
      </c>
      <c r="K15" t="n">
        <v>1</v>
      </c>
      <c r="L15" t="inlineStr">
        <is>
          <t>Rural</t>
        </is>
      </c>
      <c r="M15" t="inlineStr">
        <is>
          <t>N</t>
        </is>
      </c>
      <c r="N15">
        <f>IF(AND(K15=1,M15="Y"),"Lower Risk",IF(AND(K15=0,M15="N"),"High Risk","Medium Risk"))</f>
        <v/>
      </c>
    </row>
    <row r="16">
      <c r="A16" t="inlineStr">
        <is>
          <t>LP001030</t>
        </is>
      </c>
      <c r="B16" t="inlineStr">
        <is>
          <t>Male</t>
        </is>
      </c>
      <c r="C16" t="inlineStr">
        <is>
          <t>Yes</t>
        </is>
      </c>
      <c r="D16" t="n">
        <v>2</v>
      </c>
      <c r="E16" t="inlineStr">
        <is>
          <t>Graduate</t>
        </is>
      </c>
      <c r="F16" t="inlineStr">
        <is>
          <t>No</t>
        </is>
      </c>
      <c r="G16" t="n">
        <v>1299</v>
      </c>
      <c r="H16" t="n">
        <v>1086</v>
      </c>
      <c r="I16" t="n">
        <v>17</v>
      </c>
      <c r="J16" t="n">
        <v>120</v>
      </c>
      <c r="K16" t="n">
        <v>1</v>
      </c>
      <c r="L16" t="inlineStr">
        <is>
          <t>Urban</t>
        </is>
      </c>
      <c r="M16" t="inlineStr">
        <is>
          <t>Y</t>
        </is>
      </c>
      <c r="N16">
        <f>IF(AND(K16=1,M16="Y"),"Lower Risk",IF(AND(K16=0,M16="N"),"High Risk","Medium Risk"))</f>
        <v/>
      </c>
    </row>
    <row r="17">
      <c r="A17" t="inlineStr">
        <is>
          <t>LP001032</t>
        </is>
      </c>
      <c r="B17" t="inlineStr">
        <is>
          <t>Male</t>
        </is>
      </c>
      <c r="C17" t="inlineStr">
        <is>
          <t>No</t>
        </is>
      </c>
      <c r="D17" t="n">
        <v>0</v>
      </c>
      <c r="E17" t="inlineStr">
        <is>
          <t>Graduate</t>
        </is>
      </c>
      <c r="F17" t="inlineStr">
        <is>
          <t>No</t>
        </is>
      </c>
      <c r="G17" t="n">
        <v>4950</v>
      </c>
      <c r="H17" t="n">
        <v>0</v>
      </c>
      <c r="I17" t="n">
        <v>125</v>
      </c>
      <c r="J17" t="n">
        <v>360</v>
      </c>
      <c r="K17" t="n">
        <v>1</v>
      </c>
      <c r="L17" t="inlineStr">
        <is>
          <t>Urban</t>
        </is>
      </c>
      <c r="M17" t="inlineStr">
        <is>
          <t>Y</t>
        </is>
      </c>
      <c r="N17">
        <f>IF(AND(K17=1,M17="Y"),"Lower Risk",IF(AND(K17=0,M17="N"),"High Risk","Medium Risk"))</f>
        <v/>
      </c>
    </row>
    <row r="18">
      <c r="A18" t="inlineStr">
        <is>
          <t>LP001034</t>
        </is>
      </c>
      <c r="B18" t="inlineStr">
        <is>
          <t>Male</t>
        </is>
      </c>
      <c r="C18" t="inlineStr">
        <is>
          <t>No</t>
        </is>
      </c>
      <c r="D18" t="n">
        <v>1</v>
      </c>
      <c r="E18" t="inlineStr">
        <is>
          <t>Not Graduate</t>
        </is>
      </c>
      <c r="F18" t="inlineStr">
        <is>
          <t>No</t>
        </is>
      </c>
      <c r="G18" t="n">
        <v>3596</v>
      </c>
      <c r="H18" t="n">
        <v>0</v>
      </c>
      <c r="I18" t="n">
        <v>100</v>
      </c>
      <c r="J18" t="n">
        <v>240</v>
      </c>
      <c r="L18" t="inlineStr">
        <is>
          <t>Urban</t>
        </is>
      </c>
      <c r="M18" t="inlineStr">
        <is>
          <t>Y</t>
        </is>
      </c>
      <c r="N18">
        <f>IF(AND(K18=1,M18="Y"),"Lower Risk",IF(AND(K18=0,M18="N"),"High Risk","Medium Risk"))</f>
        <v/>
      </c>
    </row>
    <row r="19">
      <c r="A19" t="inlineStr">
        <is>
          <t>LP001036</t>
        </is>
      </c>
      <c r="B19" t="inlineStr">
        <is>
          <t>Female</t>
        </is>
      </c>
      <c r="C19" t="inlineStr">
        <is>
          <t>No</t>
        </is>
      </c>
      <c r="D19" t="n">
        <v>0</v>
      </c>
      <c r="E19" t="inlineStr">
        <is>
          <t>Graduate</t>
        </is>
      </c>
      <c r="F19" t="inlineStr">
        <is>
          <t>No</t>
        </is>
      </c>
      <c r="G19" t="n">
        <v>3510</v>
      </c>
      <c r="H19" t="n">
        <v>0</v>
      </c>
      <c r="I19" t="n">
        <v>76</v>
      </c>
      <c r="J19" t="n">
        <v>360</v>
      </c>
      <c r="K19" t="n">
        <v>0</v>
      </c>
      <c r="L19" t="inlineStr">
        <is>
          <t>Urban</t>
        </is>
      </c>
      <c r="M19" t="inlineStr">
        <is>
          <t>N</t>
        </is>
      </c>
      <c r="N19">
        <f>IF(AND(K19=1,M19="Y"),"Lower Risk",IF(AND(K19=0,M19="N"),"High Risk","Medium Risk"))</f>
        <v/>
      </c>
    </row>
    <row r="20">
      <c r="A20" t="inlineStr">
        <is>
          <t>LP001038</t>
        </is>
      </c>
      <c r="B20" t="inlineStr">
        <is>
          <t>Male</t>
        </is>
      </c>
      <c r="C20" t="inlineStr">
        <is>
          <t>Yes</t>
        </is>
      </c>
      <c r="D20" t="n">
        <v>0</v>
      </c>
      <c r="E20" t="inlineStr">
        <is>
          <t>Not Graduate</t>
        </is>
      </c>
      <c r="F20" t="inlineStr">
        <is>
          <t>No</t>
        </is>
      </c>
      <c r="G20" t="n">
        <v>4887</v>
      </c>
      <c r="H20" t="n">
        <v>0</v>
      </c>
      <c r="I20" t="n">
        <v>133</v>
      </c>
      <c r="J20" t="n">
        <v>360</v>
      </c>
      <c r="K20" t="n">
        <v>1</v>
      </c>
      <c r="L20" t="inlineStr">
        <is>
          <t>Rural</t>
        </is>
      </c>
      <c r="M20" t="inlineStr">
        <is>
          <t>N</t>
        </is>
      </c>
      <c r="N20">
        <f>IF(AND(K20=1,M20="Y"),"Lower Risk",IF(AND(K20=0,M20="N"),"High Risk","Medium Risk"))</f>
        <v/>
      </c>
    </row>
    <row r="21">
      <c r="A21" t="inlineStr">
        <is>
          <t>LP001041</t>
        </is>
      </c>
      <c r="B21" t="inlineStr">
        <is>
          <t>Male</t>
        </is>
      </c>
      <c r="C21" t="inlineStr">
        <is>
          <t>Yes</t>
        </is>
      </c>
      <c r="D21" t="n">
        <v>0</v>
      </c>
      <c r="E21" t="inlineStr">
        <is>
          <t>Graduate</t>
        </is>
      </c>
      <c r="G21" t="n">
        <v>2600</v>
      </c>
      <c r="H21" t="n">
        <v>3500</v>
      </c>
      <c r="I21" t="n">
        <v>115</v>
      </c>
      <c r="K21" t="n">
        <v>1</v>
      </c>
      <c r="L21" t="inlineStr">
        <is>
          <t>Urban</t>
        </is>
      </c>
      <c r="M21" t="inlineStr">
        <is>
          <t>Y</t>
        </is>
      </c>
      <c r="N21">
        <f>IF(AND(K21=1,M21="Y"),"Lower Risk",IF(AND(K21=0,M21="N"),"High Risk","Medium Risk"))</f>
        <v/>
      </c>
    </row>
    <row r="22">
      <c r="A22" t="inlineStr">
        <is>
          <t>LP001043</t>
        </is>
      </c>
      <c r="B22" t="inlineStr">
        <is>
          <t>Male</t>
        </is>
      </c>
      <c r="C22" t="inlineStr">
        <is>
          <t>Yes</t>
        </is>
      </c>
      <c r="D22" t="n">
        <v>0</v>
      </c>
      <c r="E22" t="inlineStr">
        <is>
          <t>Not Graduate</t>
        </is>
      </c>
      <c r="F22" t="inlineStr">
        <is>
          <t>No</t>
        </is>
      </c>
      <c r="G22" t="n">
        <v>7660</v>
      </c>
      <c r="H22" t="n">
        <v>0</v>
      </c>
      <c r="I22" t="n">
        <v>104</v>
      </c>
      <c r="J22" t="n">
        <v>360</v>
      </c>
      <c r="K22" t="n">
        <v>0</v>
      </c>
      <c r="L22" t="inlineStr">
        <is>
          <t>Urban</t>
        </is>
      </c>
      <c r="M22" t="inlineStr">
        <is>
          <t>N</t>
        </is>
      </c>
      <c r="N22">
        <f>IF(AND(K22=1,M22="Y"),"Lower Risk",IF(AND(K22=0,M22="N"),"High Risk","Medium Risk"))</f>
        <v/>
      </c>
    </row>
    <row r="23">
      <c r="A23" t="inlineStr">
        <is>
          <t>LP001046</t>
        </is>
      </c>
      <c r="B23" t="inlineStr">
        <is>
          <t>Male</t>
        </is>
      </c>
      <c r="C23" t="inlineStr">
        <is>
          <t>Yes</t>
        </is>
      </c>
      <c r="D23" t="n">
        <v>1</v>
      </c>
      <c r="E23" t="inlineStr">
        <is>
          <t>Graduate</t>
        </is>
      </c>
      <c r="F23" t="inlineStr">
        <is>
          <t>No</t>
        </is>
      </c>
      <c r="G23" t="n">
        <v>5955</v>
      </c>
      <c r="H23" t="n">
        <v>5625</v>
      </c>
      <c r="I23" t="n">
        <v>315</v>
      </c>
      <c r="J23" t="n">
        <v>360</v>
      </c>
      <c r="K23" t="n">
        <v>1</v>
      </c>
      <c r="L23" t="inlineStr">
        <is>
          <t>Urban</t>
        </is>
      </c>
      <c r="M23" t="inlineStr">
        <is>
          <t>Y</t>
        </is>
      </c>
      <c r="N23">
        <f>IF(AND(K23=1,M23="Y"),"Lower Risk",IF(AND(K23=0,M23="N"),"High Risk","Medium Risk"))</f>
        <v/>
      </c>
    </row>
    <row r="24">
      <c r="A24" t="inlineStr">
        <is>
          <t>LP001047</t>
        </is>
      </c>
      <c r="B24" t="inlineStr">
        <is>
          <t>Male</t>
        </is>
      </c>
      <c r="C24" t="inlineStr">
        <is>
          <t>Yes</t>
        </is>
      </c>
      <c r="D24" t="n">
        <v>0</v>
      </c>
      <c r="E24" t="inlineStr">
        <is>
          <t>Not Graduate</t>
        </is>
      </c>
      <c r="F24" t="inlineStr">
        <is>
          <t>No</t>
        </is>
      </c>
      <c r="G24" t="n">
        <v>2600</v>
      </c>
      <c r="H24" t="n">
        <v>1911</v>
      </c>
      <c r="I24" t="n">
        <v>116</v>
      </c>
      <c r="J24" t="n">
        <v>360</v>
      </c>
      <c r="K24" t="n">
        <v>0</v>
      </c>
      <c r="L24" t="inlineStr">
        <is>
          <t>Semiurban</t>
        </is>
      </c>
      <c r="M24" t="inlineStr">
        <is>
          <t>N</t>
        </is>
      </c>
      <c r="N24">
        <f>IF(AND(K24=1,M24="Y"),"Lower Risk",IF(AND(K24=0,M24="N"),"High Risk","Medium Risk"))</f>
        <v/>
      </c>
    </row>
    <row r="25">
      <c r="A25" t="inlineStr">
        <is>
          <t>LP001050</t>
        </is>
      </c>
      <c r="C25" t="inlineStr">
        <is>
          <t>Yes</t>
        </is>
      </c>
      <c r="D25" t="n">
        <v>2</v>
      </c>
      <c r="E25" t="inlineStr">
        <is>
          <t>Not Graduate</t>
        </is>
      </c>
      <c r="F25" t="inlineStr">
        <is>
          <t>No</t>
        </is>
      </c>
      <c r="G25" t="n">
        <v>3365</v>
      </c>
      <c r="H25" t="n">
        <v>1917</v>
      </c>
      <c r="I25" t="n">
        <v>112</v>
      </c>
      <c r="J25" t="n">
        <v>360</v>
      </c>
      <c r="K25" t="n">
        <v>0</v>
      </c>
      <c r="L25" t="inlineStr">
        <is>
          <t>Rural</t>
        </is>
      </c>
      <c r="M25" t="inlineStr">
        <is>
          <t>N</t>
        </is>
      </c>
      <c r="N25">
        <f>IF(AND(K25=1,M25="Y"),"Lower Risk",IF(AND(K25=0,M25="N"),"High Risk","Medium Risk"))</f>
        <v/>
      </c>
    </row>
    <row r="26">
      <c r="A26" t="inlineStr">
        <is>
          <t>LP001052</t>
        </is>
      </c>
      <c r="B26" t="inlineStr">
        <is>
          <t>Male</t>
        </is>
      </c>
      <c r="C26" t="inlineStr">
        <is>
          <t>Yes</t>
        </is>
      </c>
      <c r="D26" t="n">
        <v>1</v>
      </c>
      <c r="E26" t="inlineStr">
        <is>
          <t>Graduate</t>
        </is>
      </c>
      <c r="G26" t="n">
        <v>3717</v>
      </c>
      <c r="H26" t="n">
        <v>2925</v>
      </c>
      <c r="I26" t="n">
        <v>151</v>
      </c>
      <c r="J26" t="n">
        <v>360</v>
      </c>
      <c r="L26" t="inlineStr">
        <is>
          <t>Semiurban</t>
        </is>
      </c>
      <c r="M26" t="inlineStr">
        <is>
          <t>N</t>
        </is>
      </c>
      <c r="N26">
        <f>IF(AND(K26=1,M26="Y"),"Lower Risk",IF(AND(K26=0,M26="N"),"High Risk","Medium Risk"))</f>
        <v/>
      </c>
    </row>
    <row r="27">
      <c r="A27" t="inlineStr">
        <is>
          <t>LP001066</t>
        </is>
      </c>
      <c r="B27" t="inlineStr">
        <is>
          <t>Male</t>
        </is>
      </c>
      <c r="C27" t="inlineStr">
        <is>
          <t>Yes</t>
        </is>
      </c>
      <c r="D27" t="n">
        <v>0</v>
      </c>
      <c r="E27" t="inlineStr">
        <is>
          <t>Graduate</t>
        </is>
      </c>
      <c r="F27" t="inlineStr">
        <is>
          <t>Yes</t>
        </is>
      </c>
      <c r="G27" t="n">
        <v>9560</v>
      </c>
      <c r="H27" t="n">
        <v>0</v>
      </c>
      <c r="I27" t="n">
        <v>191</v>
      </c>
      <c r="J27" t="n">
        <v>360</v>
      </c>
      <c r="K27" t="n">
        <v>1</v>
      </c>
      <c r="L27" t="inlineStr">
        <is>
          <t>Semiurban</t>
        </is>
      </c>
      <c r="M27" t="inlineStr">
        <is>
          <t>Y</t>
        </is>
      </c>
      <c r="N27">
        <f>IF(AND(K27=1,M27="Y"),"Lower Risk",IF(AND(K27=0,M27="N"),"High Risk","Medium Risk"))</f>
        <v/>
      </c>
    </row>
    <row r="28">
      <c r="A28" t="inlineStr">
        <is>
          <t>LP001068</t>
        </is>
      </c>
      <c r="B28" t="inlineStr">
        <is>
          <t>Male</t>
        </is>
      </c>
      <c r="C28" t="inlineStr">
        <is>
          <t>Yes</t>
        </is>
      </c>
      <c r="D28" t="n">
        <v>0</v>
      </c>
      <c r="E28" t="inlineStr">
        <is>
          <t>Graduate</t>
        </is>
      </c>
      <c r="F28" t="inlineStr">
        <is>
          <t>No</t>
        </is>
      </c>
      <c r="G28" t="n">
        <v>2799</v>
      </c>
      <c r="H28" t="n">
        <v>2253</v>
      </c>
      <c r="I28" t="n">
        <v>122</v>
      </c>
      <c r="J28" t="n">
        <v>360</v>
      </c>
      <c r="K28" t="n">
        <v>1</v>
      </c>
      <c r="L28" t="inlineStr">
        <is>
          <t>Semiurban</t>
        </is>
      </c>
      <c r="M28" t="inlineStr">
        <is>
          <t>Y</t>
        </is>
      </c>
      <c r="N28">
        <f>IF(AND(K28=1,M28="Y"),"Lower Risk",IF(AND(K28=0,M28="N"),"High Risk","Medium Risk"))</f>
        <v/>
      </c>
    </row>
    <row r="29">
      <c r="A29" t="inlineStr">
        <is>
          <t>LP001073</t>
        </is>
      </c>
      <c r="B29" t="inlineStr">
        <is>
          <t>Male</t>
        </is>
      </c>
      <c r="C29" t="inlineStr">
        <is>
          <t>Yes</t>
        </is>
      </c>
      <c r="D29" t="n">
        <v>2</v>
      </c>
      <c r="E29" t="inlineStr">
        <is>
          <t>Not Graduate</t>
        </is>
      </c>
      <c r="F29" t="inlineStr">
        <is>
          <t>No</t>
        </is>
      </c>
      <c r="G29" t="n">
        <v>4226</v>
      </c>
      <c r="H29" t="n">
        <v>1040</v>
      </c>
      <c r="I29" t="n">
        <v>110</v>
      </c>
      <c r="J29" t="n">
        <v>360</v>
      </c>
      <c r="K29" t="n">
        <v>1</v>
      </c>
      <c r="L29" t="inlineStr">
        <is>
          <t>Urban</t>
        </is>
      </c>
      <c r="M29" t="inlineStr">
        <is>
          <t>Y</t>
        </is>
      </c>
      <c r="N29">
        <f>IF(AND(K29=1,M29="Y"),"Lower Risk",IF(AND(K29=0,M29="N"),"High Risk","Medium Risk"))</f>
        <v/>
      </c>
    </row>
    <row r="30">
      <c r="A30" t="inlineStr">
        <is>
          <t>LP001086</t>
        </is>
      </c>
      <c r="B30" t="inlineStr">
        <is>
          <t>Male</t>
        </is>
      </c>
      <c r="C30" t="inlineStr">
        <is>
          <t>No</t>
        </is>
      </c>
      <c r="D30" t="n">
        <v>0</v>
      </c>
      <c r="E30" t="inlineStr">
        <is>
          <t>Not Graduate</t>
        </is>
      </c>
      <c r="F30" t="inlineStr">
        <is>
          <t>No</t>
        </is>
      </c>
      <c r="G30" t="n">
        <v>1442</v>
      </c>
      <c r="H30" t="n">
        <v>0</v>
      </c>
      <c r="I30" t="n">
        <v>35</v>
      </c>
      <c r="J30" t="n">
        <v>360</v>
      </c>
      <c r="K30" t="n">
        <v>1</v>
      </c>
      <c r="L30" t="inlineStr">
        <is>
          <t>Urban</t>
        </is>
      </c>
      <c r="M30" t="inlineStr">
        <is>
          <t>N</t>
        </is>
      </c>
      <c r="N30">
        <f>IF(AND(K30=1,M30="Y"),"Lower Risk",IF(AND(K30=0,M30="N"),"High Risk","Medium Risk"))</f>
        <v/>
      </c>
    </row>
    <row r="31">
      <c r="A31" t="inlineStr">
        <is>
          <t>LP001087</t>
        </is>
      </c>
      <c r="B31" t="inlineStr">
        <is>
          <t>Female</t>
        </is>
      </c>
      <c r="C31" t="inlineStr">
        <is>
          <t>No</t>
        </is>
      </c>
      <c r="D31" t="n">
        <v>2</v>
      </c>
      <c r="E31" t="inlineStr">
        <is>
          <t>Graduate</t>
        </is>
      </c>
      <c r="G31" t="n">
        <v>3750</v>
      </c>
      <c r="H31" t="n">
        <v>2083</v>
      </c>
      <c r="I31" t="n">
        <v>120</v>
      </c>
      <c r="J31" t="n">
        <v>360</v>
      </c>
      <c r="K31" t="n">
        <v>1</v>
      </c>
      <c r="L31" t="inlineStr">
        <is>
          <t>Semiurban</t>
        </is>
      </c>
      <c r="M31" t="inlineStr">
        <is>
          <t>Y</t>
        </is>
      </c>
      <c r="N31">
        <f>IF(AND(K31=1,M31="Y"),"Lower Risk",IF(AND(K31=0,M31="N"),"High Risk","Medium Risk"))</f>
        <v/>
      </c>
    </row>
    <row r="32">
      <c r="A32" t="inlineStr">
        <is>
          <t>LP001091</t>
        </is>
      </c>
      <c r="B32" t="inlineStr">
        <is>
          <t>Male</t>
        </is>
      </c>
      <c r="C32" t="inlineStr">
        <is>
          <t>Yes</t>
        </is>
      </c>
      <c r="D32" t="n">
        <v>1</v>
      </c>
      <c r="E32" t="inlineStr">
        <is>
          <t>Graduate</t>
        </is>
      </c>
      <c r="G32" t="n">
        <v>4166</v>
      </c>
      <c r="H32" t="n">
        <v>3369</v>
      </c>
      <c r="I32" t="n">
        <v>201</v>
      </c>
      <c r="J32" t="n">
        <v>360</v>
      </c>
      <c r="L32" t="inlineStr">
        <is>
          <t>Urban</t>
        </is>
      </c>
      <c r="M32" t="inlineStr">
        <is>
          <t>N</t>
        </is>
      </c>
      <c r="N32">
        <f>IF(AND(K32=1,M32="Y"),"Lower Risk",IF(AND(K32=0,M32="N"),"High Risk","Medium Risk"))</f>
        <v/>
      </c>
    </row>
    <row r="33">
      <c r="A33" t="inlineStr">
        <is>
          <t>LP001095</t>
        </is>
      </c>
      <c r="B33" t="inlineStr">
        <is>
          <t>Male</t>
        </is>
      </c>
      <c r="C33" t="inlineStr">
        <is>
          <t>No</t>
        </is>
      </c>
      <c r="D33" t="n">
        <v>0</v>
      </c>
      <c r="E33" t="inlineStr">
        <is>
          <t>Graduate</t>
        </is>
      </c>
      <c r="F33" t="inlineStr">
        <is>
          <t>No</t>
        </is>
      </c>
      <c r="G33" t="n">
        <v>3167</v>
      </c>
      <c r="H33" t="n">
        <v>0</v>
      </c>
      <c r="I33" t="n">
        <v>74</v>
      </c>
      <c r="J33" t="n">
        <v>360</v>
      </c>
      <c r="K33" t="n">
        <v>1</v>
      </c>
      <c r="L33" t="inlineStr">
        <is>
          <t>Urban</t>
        </is>
      </c>
      <c r="M33" t="inlineStr">
        <is>
          <t>N</t>
        </is>
      </c>
      <c r="N33">
        <f>IF(AND(K33=1,M33="Y"),"Lower Risk",IF(AND(K33=0,M33="N"),"High Risk","Medium Risk"))</f>
        <v/>
      </c>
    </row>
    <row r="34">
      <c r="A34" t="inlineStr">
        <is>
          <t>LP001097</t>
        </is>
      </c>
      <c r="B34" t="inlineStr">
        <is>
          <t>Male</t>
        </is>
      </c>
      <c r="C34" t="inlineStr">
        <is>
          <t>No</t>
        </is>
      </c>
      <c r="D34" t="n">
        <v>1</v>
      </c>
      <c r="E34" t="inlineStr">
        <is>
          <t>Graduate</t>
        </is>
      </c>
      <c r="F34" t="inlineStr">
        <is>
          <t>Yes</t>
        </is>
      </c>
      <c r="G34" t="n">
        <v>4692</v>
      </c>
      <c r="H34" t="n">
        <v>0</v>
      </c>
      <c r="I34" t="n">
        <v>106</v>
      </c>
      <c r="J34" t="n">
        <v>360</v>
      </c>
      <c r="K34" t="n">
        <v>1</v>
      </c>
      <c r="L34" t="inlineStr">
        <is>
          <t>Rural</t>
        </is>
      </c>
      <c r="M34" t="inlineStr">
        <is>
          <t>N</t>
        </is>
      </c>
      <c r="N34">
        <f>IF(AND(K34=1,M34="Y"),"Lower Risk",IF(AND(K34=0,M34="N"),"High Risk","Medium Risk"))</f>
        <v/>
      </c>
    </row>
    <row r="35">
      <c r="A35" t="inlineStr">
        <is>
          <t>LP001098</t>
        </is>
      </c>
      <c r="B35" t="inlineStr">
        <is>
          <t>Male</t>
        </is>
      </c>
      <c r="C35" t="inlineStr">
        <is>
          <t>Yes</t>
        </is>
      </c>
      <c r="D35" t="n">
        <v>0</v>
      </c>
      <c r="E35" t="inlineStr">
        <is>
          <t>Graduate</t>
        </is>
      </c>
      <c r="F35" t="inlineStr">
        <is>
          <t>No</t>
        </is>
      </c>
      <c r="G35" t="n">
        <v>3500</v>
      </c>
      <c r="H35" t="n">
        <v>1667</v>
      </c>
      <c r="I35" t="n">
        <v>114</v>
      </c>
      <c r="J35" t="n">
        <v>360</v>
      </c>
      <c r="K35" t="n">
        <v>1</v>
      </c>
      <c r="L35" t="inlineStr">
        <is>
          <t>Semiurban</t>
        </is>
      </c>
      <c r="M35" t="inlineStr">
        <is>
          <t>Y</t>
        </is>
      </c>
      <c r="N35">
        <f>IF(AND(K35=1,M35="Y"),"Lower Risk",IF(AND(K35=0,M35="N"),"High Risk","Medium Risk"))</f>
        <v/>
      </c>
    </row>
    <row r="36">
      <c r="A36" t="inlineStr">
        <is>
          <t>LP001100</t>
        </is>
      </c>
      <c r="B36" t="inlineStr">
        <is>
          <t>Male</t>
        </is>
      </c>
      <c r="C36" t="inlineStr">
        <is>
          <t>No</t>
        </is>
      </c>
      <c r="D36" t="inlineStr">
        <is>
          <t>3+</t>
        </is>
      </c>
      <c r="E36" t="inlineStr">
        <is>
          <t>Graduate</t>
        </is>
      </c>
      <c r="F36" t="inlineStr">
        <is>
          <t>No</t>
        </is>
      </c>
      <c r="G36" t="n">
        <v>12500</v>
      </c>
      <c r="H36" t="n">
        <v>3000</v>
      </c>
      <c r="I36" t="n">
        <v>320</v>
      </c>
      <c r="J36" t="n">
        <v>360</v>
      </c>
      <c r="K36" t="n">
        <v>1</v>
      </c>
      <c r="L36" t="inlineStr">
        <is>
          <t>Rural</t>
        </is>
      </c>
      <c r="M36" t="inlineStr">
        <is>
          <t>N</t>
        </is>
      </c>
      <c r="N36">
        <f>IF(AND(K36=1,M36="Y"),"Lower Risk",IF(AND(K36=0,M36="N"),"High Risk","Medium Risk"))</f>
        <v/>
      </c>
    </row>
    <row r="37">
      <c r="A37" t="inlineStr">
        <is>
          <t>LP001106</t>
        </is>
      </c>
      <c r="B37" t="inlineStr">
        <is>
          <t>Male</t>
        </is>
      </c>
      <c r="C37" t="inlineStr">
        <is>
          <t>Yes</t>
        </is>
      </c>
      <c r="D37" t="n">
        <v>0</v>
      </c>
      <c r="E37" t="inlineStr">
        <is>
          <t>Graduate</t>
        </is>
      </c>
      <c r="F37" t="inlineStr">
        <is>
          <t>No</t>
        </is>
      </c>
      <c r="G37" t="n">
        <v>2275</v>
      </c>
      <c r="H37" t="n">
        <v>2067</v>
      </c>
      <c r="J37" t="n">
        <v>360</v>
      </c>
      <c r="K37" t="n">
        <v>1</v>
      </c>
      <c r="L37" t="inlineStr">
        <is>
          <t>Urban</t>
        </is>
      </c>
      <c r="M37" t="inlineStr">
        <is>
          <t>Y</t>
        </is>
      </c>
      <c r="N37">
        <f>IF(AND(K37=1,M37="Y"),"Lower Risk",IF(AND(K37=0,M37="N"),"High Risk","Medium Risk"))</f>
        <v/>
      </c>
    </row>
    <row r="38">
      <c r="A38" t="inlineStr">
        <is>
          <t>LP001109</t>
        </is>
      </c>
      <c r="B38" t="inlineStr">
        <is>
          <t>Male</t>
        </is>
      </c>
      <c r="C38" t="inlineStr">
        <is>
          <t>Yes</t>
        </is>
      </c>
      <c r="D38" t="n">
        <v>0</v>
      </c>
      <c r="E38" t="inlineStr">
        <is>
          <t>Graduate</t>
        </is>
      </c>
      <c r="F38" t="inlineStr">
        <is>
          <t>No</t>
        </is>
      </c>
      <c r="G38" t="n">
        <v>1828</v>
      </c>
      <c r="H38" t="n">
        <v>1330</v>
      </c>
      <c r="I38" t="n">
        <v>100</v>
      </c>
      <c r="K38" t="n">
        <v>0</v>
      </c>
      <c r="L38" t="inlineStr">
        <is>
          <t>Urban</t>
        </is>
      </c>
      <c r="M38" t="inlineStr">
        <is>
          <t>N</t>
        </is>
      </c>
      <c r="N38">
        <f>IF(AND(K38=1,M38="Y"),"Lower Risk",IF(AND(K38=0,M38="N"),"High Risk","Medium Risk"))</f>
        <v/>
      </c>
    </row>
    <row r="39">
      <c r="A39" t="inlineStr">
        <is>
          <t>LP001112</t>
        </is>
      </c>
      <c r="B39" t="inlineStr">
        <is>
          <t>Female</t>
        </is>
      </c>
      <c r="C39" t="inlineStr">
        <is>
          <t>Yes</t>
        </is>
      </c>
      <c r="D39" t="n">
        <v>0</v>
      </c>
      <c r="E39" t="inlineStr">
        <is>
          <t>Graduate</t>
        </is>
      </c>
      <c r="F39" t="inlineStr">
        <is>
          <t>No</t>
        </is>
      </c>
      <c r="G39" t="n">
        <v>3667</v>
      </c>
      <c r="H39" t="n">
        <v>1459</v>
      </c>
      <c r="I39" t="n">
        <v>144</v>
      </c>
      <c r="J39" t="n">
        <v>360</v>
      </c>
      <c r="K39" t="n">
        <v>1</v>
      </c>
      <c r="L39" t="inlineStr">
        <is>
          <t>Semiurban</t>
        </is>
      </c>
      <c r="M39" t="inlineStr">
        <is>
          <t>Y</t>
        </is>
      </c>
      <c r="N39">
        <f>IF(AND(K39=1,M39="Y"),"Lower Risk",IF(AND(K39=0,M39="N"),"High Risk","Medium Risk"))</f>
        <v/>
      </c>
    </row>
    <row r="40">
      <c r="A40" t="inlineStr">
        <is>
          <t>LP001114</t>
        </is>
      </c>
      <c r="B40" t="inlineStr">
        <is>
          <t>Male</t>
        </is>
      </c>
      <c r="C40" t="inlineStr">
        <is>
          <t>No</t>
        </is>
      </c>
      <c r="D40" t="n">
        <v>0</v>
      </c>
      <c r="E40" t="inlineStr">
        <is>
          <t>Graduate</t>
        </is>
      </c>
      <c r="F40" t="inlineStr">
        <is>
          <t>No</t>
        </is>
      </c>
      <c r="G40" t="n">
        <v>4166</v>
      </c>
      <c r="H40" t="n">
        <v>7210</v>
      </c>
      <c r="I40" t="n">
        <v>184</v>
      </c>
      <c r="J40" t="n">
        <v>360</v>
      </c>
      <c r="K40" t="n">
        <v>1</v>
      </c>
      <c r="L40" t="inlineStr">
        <is>
          <t>Urban</t>
        </is>
      </c>
      <c r="M40" t="inlineStr">
        <is>
          <t>Y</t>
        </is>
      </c>
      <c r="N40">
        <f>IF(AND(K40=1,M40="Y"),"Lower Risk",IF(AND(K40=0,M40="N"),"High Risk","Medium Risk"))</f>
        <v/>
      </c>
    </row>
    <row r="41">
      <c r="A41" t="inlineStr">
        <is>
          <t>LP001116</t>
        </is>
      </c>
      <c r="B41" t="inlineStr">
        <is>
          <t>Male</t>
        </is>
      </c>
      <c r="C41" t="inlineStr">
        <is>
          <t>No</t>
        </is>
      </c>
      <c r="D41" t="n">
        <v>0</v>
      </c>
      <c r="E41" t="inlineStr">
        <is>
          <t>Not Graduate</t>
        </is>
      </c>
      <c r="F41" t="inlineStr">
        <is>
          <t>No</t>
        </is>
      </c>
      <c r="G41" t="n">
        <v>3748</v>
      </c>
      <c r="H41" t="n">
        <v>1668</v>
      </c>
      <c r="I41" t="n">
        <v>110</v>
      </c>
      <c r="J41" t="n">
        <v>360</v>
      </c>
      <c r="K41" t="n">
        <v>1</v>
      </c>
      <c r="L41" t="inlineStr">
        <is>
          <t>Semiurban</t>
        </is>
      </c>
      <c r="M41" t="inlineStr">
        <is>
          <t>Y</t>
        </is>
      </c>
      <c r="N41">
        <f>IF(AND(K41=1,M41="Y"),"Lower Risk",IF(AND(K41=0,M41="N"),"High Risk","Medium Risk"))</f>
        <v/>
      </c>
    </row>
    <row r="42">
      <c r="A42" t="inlineStr">
        <is>
          <t>LP001119</t>
        </is>
      </c>
      <c r="B42" t="inlineStr">
        <is>
          <t>Male</t>
        </is>
      </c>
      <c r="C42" t="inlineStr">
        <is>
          <t>No</t>
        </is>
      </c>
      <c r="D42" t="n">
        <v>0</v>
      </c>
      <c r="E42" t="inlineStr">
        <is>
          <t>Graduate</t>
        </is>
      </c>
      <c r="F42" t="inlineStr">
        <is>
          <t>No</t>
        </is>
      </c>
      <c r="G42" t="n">
        <v>3600</v>
      </c>
      <c r="H42" t="n">
        <v>0</v>
      </c>
      <c r="I42" t="n">
        <v>80</v>
      </c>
      <c r="J42" t="n">
        <v>360</v>
      </c>
      <c r="K42" t="n">
        <v>1</v>
      </c>
      <c r="L42" t="inlineStr">
        <is>
          <t>Urban</t>
        </is>
      </c>
      <c r="M42" t="inlineStr">
        <is>
          <t>N</t>
        </is>
      </c>
      <c r="N42">
        <f>IF(AND(K42=1,M42="Y"),"Lower Risk",IF(AND(K42=0,M42="N"),"High Risk","Medium Risk"))</f>
        <v/>
      </c>
    </row>
    <row r="43">
      <c r="A43" t="inlineStr">
        <is>
          <t>LP001120</t>
        </is>
      </c>
      <c r="B43" t="inlineStr">
        <is>
          <t>Male</t>
        </is>
      </c>
      <c r="C43" t="inlineStr">
        <is>
          <t>No</t>
        </is>
      </c>
      <c r="D43" t="n">
        <v>0</v>
      </c>
      <c r="E43" t="inlineStr">
        <is>
          <t>Graduate</t>
        </is>
      </c>
      <c r="F43" t="inlineStr">
        <is>
          <t>No</t>
        </is>
      </c>
      <c r="G43" t="n">
        <v>1800</v>
      </c>
      <c r="H43" t="n">
        <v>1213</v>
      </c>
      <c r="I43" t="n">
        <v>47</v>
      </c>
      <c r="J43" t="n">
        <v>360</v>
      </c>
      <c r="K43" t="n">
        <v>1</v>
      </c>
      <c r="L43" t="inlineStr">
        <is>
          <t>Urban</t>
        </is>
      </c>
      <c r="M43" t="inlineStr">
        <is>
          <t>Y</t>
        </is>
      </c>
      <c r="N43">
        <f>IF(AND(K43=1,M43="Y"),"Lower Risk",IF(AND(K43=0,M43="N"),"High Risk","Medium Risk"))</f>
        <v/>
      </c>
    </row>
    <row r="44">
      <c r="A44" t="inlineStr">
        <is>
          <t>LP001123</t>
        </is>
      </c>
      <c r="B44" t="inlineStr">
        <is>
          <t>Male</t>
        </is>
      </c>
      <c r="C44" t="inlineStr">
        <is>
          <t>Yes</t>
        </is>
      </c>
      <c r="D44" t="n">
        <v>0</v>
      </c>
      <c r="E44" t="inlineStr">
        <is>
          <t>Graduate</t>
        </is>
      </c>
      <c r="F44" t="inlineStr">
        <is>
          <t>No</t>
        </is>
      </c>
      <c r="G44" t="n">
        <v>2400</v>
      </c>
      <c r="H44" t="n">
        <v>0</v>
      </c>
      <c r="I44" t="n">
        <v>75</v>
      </c>
      <c r="J44" t="n">
        <v>360</v>
      </c>
      <c r="L44" t="inlineStr">
        <is>
          <t>Urban</t>
        </is>
      </c>
      <c r="M44" t="inlineStr">
        <is>
          <t>Y</t>
        </is>
      </c>
      <c r="N44">
        <f>IF(AND(K44=1,M44="Y"),"Lower Risk",IF(AND(K44=0,M44="N"),"High Risk","Medium Risk"))</f>
        <v/>
      </c>
    </row>
    <row r="45">
      <c r="A45" t="inlineStr">
        <is>
          <t>LP001131</t>
        </is>
      </c>
      <c r="B45" t="inlineStr">
        <is>
          <t>Male</t>
        </is>
      </c>
      <c r="C45" t="inlineStr">
        <is>
          <t>Yes</t>
        </is>
      </c>
      <c r="D45" t="n">
        <v>0</v>
      </c>
      <c r="E45" t="inlineStr">
        <is>
          <t>Graduate</t>
        </is>
      </c>
      <c r="F45" t="inlineStr">
        <is>
          <t>No</t>
        </is>
      </c>
      <c r="G45" t="n">
        <v>3941</v>
      </c>
      <c r="H45" t="n">
        <v>2336</v>
      </c>
      <c r="I45" t="n">
        <v>134</v>
      </c>
      <c r="J45" t="n">
        <v>360</v>
      </c>
      <c r="K45" t="n">
        <v>1</v>
      </c>
      <c r="L45" t="inlineStr">
        <is>
          <t>Semiurban</t>
        </is>
      </c>
      <c r="M45" t="inlineStr">
        <is>
          <t>Y</t>
        </is>
      </c>
      <c r="N45">
        <f>IF(AND(K45=1,M45="Y"),"Lower Risk",IF(AND(K45=0,M45="N"),"High Risk","Medium Risk"))</f>
        <v/>
      </c>
    </row>
    <row r="46">
      <c r="A46" t="inlineStr">
        <is>
          <t>LP001136</t>
        </is>
      </c>
      <c r="B46" t="inlineStr">
        <is>
          <t>Male</t>
        </is>
      </c>
      <c r="C46" t="inlineStr">
        <is>
          <t>Yes</t>
        </is>
      </c>
      <c r="D46" t="n">
        <v>0</v>
      </c>
      <c r="E46" t="inlineStr">
        <is>
          <t>Not Graduate</t>
        </is>
      </c>
      <c r="F46" t="inlineStr">
        <is>
          <t>Yes</t>
        </is>
      </c>
      <c r="G46" t="n">
        <v>4695</v>
      </c>
      <c r="H46" t="n">
        <v>0</v>
      </c>
      <c r="I46" t="n">
        <v>96</v>
      </c>
      <c r="K46" t="n">
        <v>1</v>
      </c>
      <c r="L46" t="inlineStr">
        <is>
          <t>Urban</t>
        </is>
      </c>
      <c r="M46" t="inlineStr">
        <is>
          <t>Y</t>
        </is>
      </c>
      <c r="N46">
        <f>IF(AND(K46=1,M46="Y"),"Lower Risk",IF(AND(K46=0,M46="N"),"High Risk","Medium Risk"))</f>
        <v/>
      </c>
    </row>
    <row r="47">
      <c r="A47" t="inlineStr">
        <is>
          <t>LP001137</t>
        </is>
      </c>
      <c r="B47" t="inlineStr">
        <is>
          <t>Female</t>
        </is>
      </c>
      <c r="C47" t="inlineStr">
        <is>
          <t>No</t>
        </is>
      </c>
      <c r="D47" t="n">
        <v>0</v>
      </c>
      <c r="E47" t="inlineStr">
        <is>
          <t>Graduate</t>
        </is>
      </c>
      <c r="F47" t="inlineStr">
        <is>
          <t>No</t>
        </is>
      </c>
      <c r="G47" t="n">
        <v>3410</v>
      </c>
      <c r="H47" t="n">
        <v>0</v>
      </c>
      <c r="I47" t="n">
        <v>88</v>
      </c>
      <c r="K47" t="n">
        <v>1</v>
      </c>
      <c r="L47" t="inlineStr">
        <is>
          <t>Urban</t>
        </is>
      </c>
      <c r="M47" t="inlineStr">
        <is>
          <t>Y</t>
        </is>
      </c>
      <c r="N47">
        <f>IF(AND(K47=1,M47="Y"),"Lower Risk",IF(AND(K47=0,M47="N"),"High Risk","Medium Risk"))</f>
        <v/>
      </c>
    </row>
    <row r="48">
      <c r="A48" t="inlineStr">
        <is>
          <t>LP001138</t>
        </is>
      </c>
      <c r="B48" t="inlineStr">
        <is>
          <t>Male</t>
        </is>
      </c>
      <c r="C48" t="inlineStr">
        <is>
          <t>Yes</t>
        </is>
      </c>
      <c r="D48" t="n">
        <v>1</v>
      </c>
      <c r="E48" t="inlineStr">
        <is>
          <t>Graduate</t>
        </is>
      </c>
      <c r="F48" t="inlineStr">
        <is>
          <t>No</t>
        </is>
      </c>
      <c r="G48" t="n">
        <v>5649</v>
      </c>
      <c r="H48" t="n">
        <v>0</v>
      </c>
      <c r="I48" t="n">
        <v>44</v>
      </c>
      <c r="J48" t="n">
        <v>360</v>
      </c>
      <c r="K48" t="n">
        <v>1</v>
      </c>
      <c r="L48" t="inlineStr">
        <is>
          <t>Urban</t>
        </is>
      </c>
      <c r="M48" t="inlineStr">
        <is>
          <t>Y</t>
        </is>
      </c>
      <c r="N48">
        <f>IF(AND(K48=1,M48="Y"),"Lower Risk",IF(AND(K48=0,M48="N"),"High Risk","Medium Risk"))</f>
        <v/>
      </c>
    </row>
    <row r="49">
      <c r="A49" t="inlineStr">
        <is>
          <t>LP001144</t>
        </is>
      </c>
      <c r="B49" t="inlineStr">
        <is>
          <t>Male</t>
        </is>
      </c>
      <c r="C49" t="inlineStr">
        <is>
          <t>Yes</t>
        </is>
      </c>
      <c r="D49" t="n">
        <v>0</v>
      </c>
      <c r="E49" t="inlineStr">
        <is>
          <t>Graduate</t>
        </is>
      </c>
      <c r="F49" t="inlineStr">
        <is>
          <t>No</t>
        </is>
      </c>
      <c r="G49" t="n">
        <v>5821</v>
      </c>
      <c r="H49" t="n">
        <v>0</v>
      </c>
      <c r="I49" t="n">
        <v>144</v>
      </c>
      <c r="J49" t="n">
        <v>360</v>
      </c>
      <c r="K49" t="n">
        <v>1</v>
      </c>
      <c r="L49" t="inlineStr">
        <is>
          <t>Urban</t>
        </is>
      </c>
      <c r="M49" t="inlineStr">
        <is>
          <t>Y</t>
        </is>
      </c>
      <c r="N49">
        <f>IF(AND(K49=1,M49="Y"),"Lower Risk",IF(AND(K49=0,M49="N"),"High Risk","Medium Risk"))</f>
        <v/>
      </c>
    </row>
    <row r="50">
      <c r="A50" t="inlineStr">
        <is>
          <t>LP001146</t>
        </is>
      </c>
      <c r="B50" t="inlineStr">
        <is>
          <t>Female</t>
        </is>
      </c>
      <c r="C50" t="inlineStr">
        <is>
          <t>Yes</t>
        </is>
      </c>
      <c r="D50" t="n">
        <v>0</v>
      </c>
      <c r="E50" t="inlineStr">
        <is>
          <t>Graduate</t>
        </is>
      </c>
      <c r="F50" t="inlineStr">
        <is>
          <t>No</t>
        </is>
      </c>
      <c r="G50" t="n">
        <v>2645</v>
      </c>
      <c r="H50" t="n">
        <v>3440</v>
      </c>
      <c r="I50" t="n">
        <v>120</v>
      </c>
      <c r="J50" t="n">
        <v>360</v>
      </c>
      <c r="K50" t="n">
        <v>0</v>
      </c>
      <c r="L50" t="inlineStr">
        <is>
          <t>Urban</t>
        </is>
      </c>
      <c r="M50" t="inlineStr">
        <is>
          <t>N</t>
        </is>
      </c>
      <c r="N50">
        <f>IF(AND(K50=1,M50="Y"),"Lower Risk",IF(AND(K50=0,M50="N"),"High Risk","Medium Risk"))</f>
        <v/>
      </c>
    </row>
    <row r="51">
      <c r="A51" t="inlineStr">
        <is>
          <t>LP001151</t>
        </is>
      </c>
      <c r="B51" t="inlineStr">
        <is>
          <t>Female</t>
        </is>
      </c>
      <c r="C51" t="inlineStr">
        <is>
          <t>No</t>
        </is>
      </c>
      <c r="D51" t="n">
        <v>0</v>
      </c>
      <c r="E51" t="inlineStr">
        <is>
          <t>Graduate</t>
        </is>
      </c>
      <c r="F51" t="inlineStr">
        <is>
          <t>No</t>
        </is>
      </c>
      <c r="G51" t="n">
        <v>4000</v>
      </c>
      <c r="H51" t="n">
        <v>2275</v>
      </c>
      <c r="I51" t="n">
        <v>144</v>
      </c>
      <c r="J51" t="n">
        <v>360</v>
      </c>
      <c r="K51" t="n">
        <v>1</v>
      </c>
      <c r="L51" t="inlineStr">
        <is>
          <t>Semiurban</t>
        </is>
      </c>
      <c r="M51" t="inlineStr">
        <is>
          <t>Y</t>
        </is>
      </c>
      <c r="N51">
        <f>IF(AND(K51=1,M51="Y"),"Lower Risk",IF(AND(K51=0,M51="N"),"High Risk","Medium Risk"))</f>
        <v/>
      </c>
    </row>
    <row r="52">
      <c r="A52" t="inlineStr">
        <is>
          <t>LP001155</t>
        </is>
      </c>
      <c r="B52" t="inlineStr">
        <is>
          <t>Female</t>
        </is>
      </c>
      <c r="C52" t="inlineStr">
        <is>
          <t>Yes</t>
        </is>
      </c>
      <c r="D52" t="n">
        <v>0</v>
      </c>
      <c r="E52" t="inlineStr">
        <is>
          <t>Not Graduate</t>
        </is>
      </c>
      <c r="F52" t="inlineStr">
        <is>
          <t>No</t>
        </is>
      </c>
      <c r="G52" t="n">
        <v>1928</v>
      </c>
      <c r="H52" t="n">
        <v>1644</v>
      </c>
      <c r="I52" t="n">
        <v>100</v>
      </c>
      <c r="J52" t="n">
        <v>360</v>
      </c>
      <c r="K52" t="n">
        <v>1</v>
      </c>
      <c r="L52" t="inlineStr">
        <is>
          <t>Semiurban</t>
        </is>
      </c>
      <c r="M52" t="inlineStr">
        <is>
          <t>Y</t>
        </is>
      </c>
      <c r="N52">
        <f>IF(AND(K52=1,M52="Y"),"Lower Risk",IF(AND(K52=0,M52="N"),"High Risk","Medium Risk"))</f>
        <v/>
      </c>
    </row>
    <row r="53">
      <c r="A53" t="inlineStr">
        <is>
          <t>LP001157</t>
        </is>
      </c>
      <c r="B53" t="inlineStr">
        <is>
          <t>Female</t>
        </is>
      </c>
      <c r="C53" t="inlineStr">
        <is>
          <t>No</t>
        </is>
      </c>
      <c r="D53" t="n">
        <v>0</v>
      </c>
      <c r="E53" t="inlineStr">
        <is>
          <t>Graduate</t>
        </is>
      </c>
      <c r="F53" t="inlineStr">
        <is>
          <t>No</t>
        </is>
      </c>
      <c r="G53" t="n">
        <v>3086</v>
      </c>
      <c r="H53" t="n">
        <v>0</v>
      </c>
      <c r="I53" t="n">
        <v>120</v>
      </c>
      <c r="J53" t="n">
        <v>360</v>
      </c>
      <c r="K53" t="n">
        <v>1</v>
      </c>
      <c r="L53" t="inlineStr">
        <is>
          <t>Semiurban</t>
        </is>
      </c>
      <c r="M53" t="inlineStr">
        <is>
          <t>Y</t>
        </is>
      </c>
      <c r="N53">
        <f>IF(AND(K53=1,M53="Y"),"Lower Risk",IF(AND(K53=0,M53="N"),"High Risk","Medium Risk"))</f>
        <v/>
      </c>
    </row>
    <row r="54">
      <c r="A54" t="inlineStr">
        <is>
          <t>LP001164</t>
        </is>
      </c>
      <c r="B54" t="inlineStr">
        <is>
          <t>Female</t>
        </is>
      </c>
      <c r="C54" t="inlineStr">
        <is>
          <t>No</t>
        </is>
      </c>
      <c r="D54" t="n">
        <v>0</v>
      </c>
      <c r="E54" t="inlineStr">
        <is>
          <t>Graduate</t>
        </is>
      </c>
      <c r="F54" t="inlineStr">
        <is>
          <t>No</t>
        </is>
      </c>
      <c r="G54" t="n">
        <v>4230</v>
      </c>
      <c r="H54" t="n">
        <v>0</v>
      </c>
      <c r="I54" t="n">
        <v>112</v>
      </c>
      <c r="J54" t="n">
        <v>360</v>
      </c>
      <c r="K54" t="n">
        <v>1</v>
      </c>
      <c r="L54" t="inlineStr">
        <is>
          <t>Semiurban</t>
        </is>
      </c>
      <c r="M54" t="inlineStr">
        <is>
          <t>N</t>
        </is>
      </c>
      <c r="N54">
        <f>IF(AND(K54=1,M54="Y"),"Lower Risk",IF(AND(K54=0,M54="N"),"High Risk","Medium Risk"))</f>
        <v/>
      </c>
    </row>
    <row r="55">
      <c r="A55" t="inlineStr">
        <is>
          <t>LP001179</t>
        </is>
      </c>
      <c r="B55" t="inlineStr">
        <is>
          <t>Male</t>
        </is>
      </c>
      <c r="C55" t="inlineStr">
        <is>
          <t>Yes</t>
        </is>
      </c>
      <c r="D55" t="n">
        <v>2</v>
      </c>
      <c r="E55" t="inlineStr">
        <is>
          <t>Graduate</t>
        </is>
      </c>
      <c r="F55" t="inlineStr">
        <is>
          <t>No</t>
        </is>
      </c>
      <c r="G55" t="n">
        <v>4616</v>
      </c>
      <c r="H55" t="n">
        <v>0</v>
      </c>
      <c r="I55" t="n">
        <v>134</v>
      </c>
      <c r="J55" t="n">
        <v>360</v>
      </c>
      <c r="K55" t="n">
        <v>1</v>
      </c>
      <c r="L55" t="inlineStr">
        <is>
          <t>Urban</t>
        </is>
      </c>
      <c r="M55" t="inlineStr">
        <is>
          <t>N</t>
        </is>
      </c>
      <c r="N55">
        <f>IF(AND(K55=1,M55="Y"),"Lower Risk",IF(AND(K55=0,M55="N"),"High Risk","Medium Risk"))</f>
        <v/>
      </c>
    </row>
    <row r="56">
      <c r="A56" t="inlineStr">
        <is>
          <t>LP001186</t>
        </is>
      </c>
      <c r="B56" t="inlineStr">
        <is>
          <t>Female</t>
        </is>
      </c>
      <c r="C56" t="inlineStr">
        <is>
          <t>Yes</t>
        </is>
      </c>
      <c r="D56" t="n">
        <v>1</v>
      </c>
      <c r="E56" t="inlineStr">
        <is>
          <t>Graduate</t>
        </is>
      </c>
      <c r="F56" t="inlineStr">
        <is>
          <t>Yes</t>
        </is>
      </c>
      <c r="G56" t="n">
        <v>11500</v>
      </c>
      <c r="H56" t="n">
        <v>0</v>
      </c>
      <c r="I56" t="n">
        <v>286</v>
      </c>
      <c r="J56" t="n">
        <v>360</v>
      </c>
      <c r="K56" t="n">
        <v>0</v>
      </c>
      <c r="L56" t="inlineStr">
        <is>
          <t>Urban</t>
        </is>
      </c>
      <c r="M56" t="inlineStr">
        <is>
          <t>N</t>
        </is>
      </c>
      <c r="N56">
        <f>IF(AND(K56=1,M56="Y"),"Lower Risk",IF(AND(K56=0,M56="N"),"High Risk","Medium Risk"))</f>
        <v/>
      </c>
    </row>
    <row r="57">
      <c r="A57" t="inlineStr">
        <is>
          <t>LP001194</t>
        </is>
      </c>
      <c r="B57" t="inlineStr">
        <is>
          <t>Male</t>
        </is>
      </c>
      <c r="C57" t="inlineStr">
        <is>
          <t>Yes</t>
        </is>
      </c>
      <c r="D57" t="n">
        <v>2</v>
      </c>
      <c r="E57" t="inlineStr">
        <is>
          <t>Graduate</t>
        </is>
      </c>
      <c r="F57" t="inlineStr">
        <is>
          <t>No</t>
        </is>
      </c>
      <c r="G57" t="n">
        <v>2708</v>
      </c>
      <c r="H57" t="n">
        <v>1167</v>
      </c>
      <c r="I57" t="n">
        <v>97</v>
      </c>
      <c r="J57" t="n">
        <v>360</v>
      </c>
      <c r="K57" t="n">
        <v>1</v>
      </c>
      <c r="L57" t="inlineStr">
        <is>
          <t>Semiurban</t>
        </is>
      </c>
      <c r="M57" t="inlineStr">
        <is>
          <t>Y</t>
        </is>
      </c>
      <c r="N57">
        <f>IF(AND(K57=1,M57="Y"),"Lower Risk",IF(AND(K57=0,M57="N"),"High Risk","Medium Risk"))</f>
        <v/>
      </c>
    </row>
    <row r="58">
      <c r="A58" t="inlineStr">
        <is>
          <t>LP001195</t>
        </is>
      </c>
      <c r="B58" t="inlineStr">
        <is>
          <t>Male</t>
        </is>
      </c>
      <c r="C58" t="inlineStr">
        <is>
          <t>Yes</t>
        </is>
      </c>
      <c r="D58" t="n">
        <v>0</v>
      </c>
      <c r="E58" t="inlineStr">
        <is>
          <t>Graduate</t>
        </is>
      </c>
      <c r="F58" t="inlineStr">
        <is>
          <t>No</t>
        </is>
      </c>
      <c r="G58" t="n">
        <v>2132</v>
      </c>
      <c r="H58" t="n">
        <v>1591</v>
      </c>
      <c r="I58" t="n">
        <v>96</v>
      </c>
      <c r="J58" t="n">
        <v>360</v>
      </c>
      <c r="K58" t="n">
        <v>1</v>
      </c>
      <c r="L58" t="inlineStr">
        <is>
          <t>Semiurban</t>
        </is>
      </c>
      <c r="M58" t="inlineStr">
        <is>
          <t>Y</t>
        </is>
      </c>
      <c r="N58">
        <f>IF(AND(K58=1,M58="Y"),"Lower Risk",IF(AND(K58=0,M58="N"),"High Risk","Medium Risk"))</f>
        <v/>
      </c>
    </row>
    <row r="59">
      <c r="A59" t="inlineStr">
        <is>
          <t>LP001197</t>
        </is>
      </c>
      <c r="B59" t="inlineStr">
        <is>
          <t>Male</t>
        </is>
      </c>
      <c r="C59" t="inlineStr">
        <is>
          <t>Yes</t>
        </is>
      </c>
      <c r="D59" t="n">
        <v>0</v>
      </c>
      <c r="E59" t="inlineStr">
        <is>
          <t>Graduate</t>
        </is>
      </c>
      <c r="F59" t="inlineStr">
        <is>
          <t>No</t>
        </is>
      </c>
      <c r="G59" t="n">
        <v>3366</v>
      </c>
      <c r="H59" t="n">
        <v>2200</v>
      </c>
      <c r="I59" t="n">
        <v>135</v>
      </c>
      <c r="J59" t="n">
        <v>360</v>
      </c>
      <c r="K59" t="n">
        <v>1</v>
      </c>
      <c r="L59" t="inlineStr">
        <is>
          <t>Rural</t>
        </is>
      </c>
      <c r="M59" t="inlineStr">
        <is>
          <t>N</t>
        </is>
      </c>
      <c r="N59">
        <f>IF(AND(K59=1,M59="Y"),"Lower Risk",IF(AND(K59=0,M59="N"),"High Risk","Medium Risk"))</f>
        <v/>
      </c>
    </row>
    <row r="60">
      <c r="A60" t="inlineStr">
        <is>
          <t>LP001198</t>
        </is>
      </c>
      <c r="B60" t="inlineStr">
        <is>
          <t>Male</t>
        </is>
      </c>
      <c r="C60" t="inlineStr">
        <is>
          <t>Yes</t>
        </is>
      </c>
      <c r="D60" t="n">
        <v>1</v>
      </c>
      <c r="E60" t="inlineStr">
        <is>
          <t>Graduate</t>
        </is>
      </c>
      <c r="F60" t="inlineStr">
        <is>
          <t>No</t>
        </is>
      </c>
      <c r="G60" t="n">
        <v>8080</v>
      </c>
      <c r="H60" t="n">
        <v>2250</v>
      </c>
      <c r="I60" t="n">
        <v>180</v>
      </c>
      <c r="J60" t="n">
        <v>360</v>
      </c>
      <c r="K60" t="n">
        <v>1</v>
      </c>
      <c r="L60" t="inlineStr">
        <is>
          <t>Urban</t>
        </is>
      </c>
      <c r="M60" t="inlineStr">
        <is>
          <t>Y</t>
        </is>
      </c>
      <c r="N60">
        <f>IF(AND(K60=1,M60="Y"),"Lower Risk",IF(AND(K60=0,M60="N"),"High Risk","Medium Risk"))</f>
        <v/>
      </c>
    </row>
    <row r="61">
      <c r="A61" t="inlineStr">
        <is>
          <t>LP001199</t>
        </is>
      </c>
      <c r="B61" t="inlineStr">
        <is>
          <t>Male</t>
        </is>
      </c>
      <c r="C61" t="inlineStr">
        <is>
          <t>Yes</t>
        </is>
      </c>
      <c r="D61" t="n">
        <v>2</v>
      </c>
      <c r="E61" t="inlineStr">
        <is>
          <t>Not Graduate</t>
        </is>
      </c>
      <c r="F61" t="inlineStr">
        <is>
          <t>No</t>
        </is>
      </c>
      <c r="G61" t="n">
        <v>3357</v>
      </c>
      <c r="H61" t="n">
        <v>2859</v>
      </c>
      <c r="I61" t="n">
        <v>144</v>
      </c>
      <c r="J61" t="n">
        <v>360</v>
      </c>
      <c r="K61" t="n">
        <v>1</v>
      </c>
      <c r="L61" t="inlineStr">
        <is>
          <t>Urban</t>
        </is>
      </c>
      <c r="M61" t="inlineStr">
        <is>
          <t>Y</t>
        </is>
      </c>
      <c r="N61">
        <f>IF(AND(K61=1,M61="Y"),"Lower Risk",IF(AND(K61=0,M61="N"),"High Risk","Medium Risk"))</f>
        <v/>
      </c>
    </row>
    <row r="62">
      <c r="A62" t="inlineStr">
        <is>
          <t>LP001205</t>
        </is>
      </c>
      <c r="B62" t="inlineStr">
        <is>
          <t>Male</t>
        </is>
      </c>
      <c r="C62" t="inlineStr">
        <is>
          <t>Yes</t>
        </is>
      </c>
      <c r="D62" t="n">
        <v>0</v>
      </c>
      <c r="E62" t="inlineStr">
        <is>
          <t>Graduate</t>
        </is>
      </c>
      <c r="F62" t="inlineStr">
        <is>
          <t>No</t>
        </is>
      </c>
      <c r="G62" t="n">
        <v>2500</v>
      </c>
      <c r="H62" t="n">
        <v>3796</v>
      </c>
      <c r="I62" t="n">
        <v>120</v>
      </c>
      <c r="J62" t="n">
        <v>360</v>
      </c>
      <c r="K62" t="n">
        <v>1</v>
      </c>
      <c r="L62" t="inlineStr">
        <is>
          <t>Urban</t>
        </is>
      </c>
      <c r="M62" t="inlineStr">
        <is>
          <t>Y</t>
        </is>
      </c>
      <c r="N62">
        <f>IF(AND(K62=1,M62="Y"),"Lower Risk",IF(AND(K62=0,M62="N"),"High Risk","Medium Risk"))</f>
        <v/>
      </c>
    </row>
    <row r="63">
      <c r="A63" t="inlineStr">
        <is>
          <t>LP001206</t>
        </is>
      </c>
      <c r="B63" t="inlineStr">
        <is>
          <t>Male</t>
        </is>
      </c>
      <c r="C63" t="inlineStr">
        <is>
          <t>Yes</t>
        </is>
      </c>
      <c r="D63" t="inlineStr">
        <is>
          <t>3+</t>
        </is>
      </c>
      <c r="E63" t="inlineStr">
        <is>
          <t>Graduate</t>
        </is>
      </c>
      <c r="F63" t="inlineStr">
        <is>
          <t>No</t>
        </is>
      </c>
      <c r="G63" t="n">
        <v>3029</v>
      </c>
      <c r="H63" t="n">
        <v>0</v>
      </c>
      <c r="I63" t="n">
        <v>99</v>
      </c>
      <c r="J63" t="n">
        <v>360</v>
      </c>
      <c r="K63" t="n">
        <v>1</v>
      </c>
      <c r="L63" t="inlineStr">
        <is>
          <t>Urban</t>
        </is>
      </c>
      <c r="M63" t="inlineStr">
        <is>
          <t>Y</t>
        </is>
      </c>
      <c r="N63">
        <f>IF(AND(K63=1,M63="Y"),"Lower Risk",IF(AND(K63=0,M63="N"),"High Risk","Medium Risk"))</f>
        <v/>
      </c>
    </row>
    <row r="64">
      <c r="A64" t="inlineStr">
        <is>
          <t>LP001207</t>
        </is>
      </c>
      <c r="B64" t="inlineStr">
        <is>
          <t>Male</t>
        </is>
      </c>
      <c r="C64" t="inlineStr">
        <is>
          <t>Yes</t>
        </is>
      </c>
      <c r="D64" t="n">
        <v>0</v>
      </c>
      <c r="E64" t="inlineStr">
        <is>
          <t>Not Graduate</t>
        </is>
      </c>
      <c r="F64" t="inlineStr">
        <is>
          <t>Yes</t>
        </is>
      </c>
      <c r="G64" t="n">
        <v>2609</v>
      </c>
      <c r="H64" t="n">
        <v>3449</v>
      </c>
      <c r="I64" t="n">
        <v>165</v>
      </c>
      <c r="J64" t="n">
        <v>180</v>
      </c>
      <c r="K64" t="n">
        <v>0</v>
      </c>
      <c r="L64" t="inlineStr">
        <is>
          <t>Rural</t>
        </is>
      </c>
      <c r="M64" t="inlineStr">
        <is>
          <t>N</t>
        </is>
      </c>
      <c r="N64">
        <f>IF(AND(K64=1,M64="Y"),"Lower Risk",IF(AND(K64=0,M64="N"),"High Risk","Medium Risk"))</f>
        <v/>
      </c>
    </row>
    <row r="65">
      <c r="A65" t="inlineStr">
        <is>
          <t>LP001213</t>
        </is>
      </c>
      <c r="B65" t="inlineStr">
        <is>
          <t>Male</t>
        </is>
      </c>
      <c r="C65" t="inlineStr">
        <is>
          <t>Yes</t>
        </is>
      </c>
      <c r="D65" t="n">
        <v>1</v>
      </c>
      <c r="E65" t="inlineStr">
        <is>
          <t>Graduate</t>
        </is>
      </c>
      <c r="F65" t="inlineStr">
        <is>
          <t>No</t>
        </is>
      </c>
      <c r="G65" t="n">
        <v>4945</v>
      </c>
      <c r="H65" t="n">
        <v>0</v>
      </c>
      <c r="J65" t="n">
        <v>360</v>
      </c>
      <c r="K65" t="n">
        <v>0</v>
      </c>
      <c r="L65" t="inlineStr">
        <is>
          <t>Rural</t>
        </is>
      </c>
      <c r="M65" t="inlineStr">
        <is>
          <t>N</t>
        </is>
      </c>
      <c r="N65">
        <f>IF(AND(K65=1,M65="Y"),"Lower Risk",IF(AND(K65=0,M65="N"),"High Risk","Medium Risk"))</f>
        <v/>
      </c>
    </row>
    <row r="66">
      <c r="A66" t="inlineStr">
        <is>
          <t>LP001222</t>
        </is>
      </c>
      <c r="B66" t="inlineStr">
        <is>
          <t>Female</t>
        </is>
      </c>
      <c r="C66" t="inlineStr">
        <is>
          <t>No</t>
        </is>
      </c>
      <c r="D66" t="n">
        <v>0</v>
      </c>
      <c r="E66" t="inlineStr">
        <is>
          <t>Graduate</t>
        </is>
      </c>
      <c r="F66" t="inlineStr">
        <is>
          <t>No</t>
        </is>
      </c>
      <c r="G66" t="n">
        <v>4166</v>
      </c>
      <c r="H66" t="n">
        <v>0</v>
      </c>
      <c r="I66" t="n">
        <v>116</v>
      </c>
      <c r="J66" t="n">
        <v>360</v>
      </c>
      <c r="K66" t="n">
        <v>0</v>
      </c>
      <c r="L66" t="inlineStr">
        <is>
          <t>Semiurban</t>
        </is>
      </c>
      <c r="M66" t="inlineStr">
        <is>
          <t>N</t>
        </is>
      </c>
      <c r="N66">
        <f>IF(AND(K66=1,M66="Y"),"Lower Risk",IF(AND(K66=0,M66="N"),"High Risk","Medium Risk"))</f>
        <v/>
      </c>
    </row>
    <row r="67">
      <c r="A67" t="inlineStr">
        <is>
          <t>LP001225</t>
        </is>
      </c>
      <c r="B67" t="inlineStr">
        <is>
          <t>Male</t>
        </is>
      </c>
      <c r="C67" t="inlineStr">
        <is>
          <t>Yes</t>
        </is>
      </c>
      <c r="D67" t="n">
        <v>0</v>
      </c>
      <c r="E67" t="inlineStr">
        <is>
          <t>Graduate</t>
        </is>
      </c>
      <c r="F67" t="inlineStr">
        <is>
          <t>No</t>
        </is>
      </c>
      <c r="G67" t="n">
        <v>5726</v>
      </c>
      <c r="H67" t="n">
        <v>4595</v>
      </c>
      <c r="I67" t="n">
        <v>258</v>
      </c>
      <c r="J67" t="n">
        <v>360</v>
      </c>
      <c r="K67" t="n">
        <v>1</v>
      </c>
      <c r="L67" t="inlineStr">
        <is>
          <t>Semiurban</t>
        </is>
      </c>
      <c r="M67" t="inlineStr">
        <is>
          <t>N</t>
        </is>
      </c>
      <c r="N67">
        <f>IF(AND(K67=1,M67="Y"),"Lower Risk",IF(AND(K67=0,M67="N"),"High Risk","Medium Risk"))</f>
        <v/>
      </c>
    </row>
    <row r="68">
      <c r="A68" t="inlineStr">
        <is>
          <t>LP001228</t>
        </is>
      </c>
      <c r="B68" t="inlineStr">
        <is>
          <t>Male</t>
        </is>
      </c>
      <c r="C68" t="inlineStr">
        <is>
          <t>No</t>
        </is>
      </c>
      <c r="D68" t="n">
        <v>0</v>
      </c>
      <c r="E68" t="inlineStr">
        <is>
          <t>Not Graduate</t>
        </is>
      </c>
      <c r="F68" t="inlineStr">
        <is>
          <t>No</t>
        </is>
      </c>
      <c r="G68" t="n">
        <v>3200</v>
      </c>
      <c r="H68" t="n">
        <v>2254</v>
      </c>
      <c r="I68" t="n">
        <v>126</v>
      </c>
      <c r="J68" t="n">
        <v>180</v>
      </c>
      <c r="K68" t="n">
        <v>0</v>
      </c>
      <c r="L68" t="inlineStr">
        <is>
          <t>Urban</t>
        </is>
      </c>
      <c r="M68" t="inlineStr">
        <is>
          <t>N</t>
        </is>
      </c>
      <c r="N68">
        <f>IF(AND(K68=1,M68="Y"),"Lower Risk",IF(AND(K68=0,M68="N"),"High Risk","Medium Risk"))</f>
        <v/>
      </c>
    </row>
    <row r="69">
      <c r="A69" t="inlineStr">
        <is>
          <t>LP001233</t>
        </is>
      </c>
      <c r="B69" t="inlineStr">
        <is>
          <t>Male</t>
        </is>
      </c>
      <c r="C69" t="inlineStr">
        <is>
          <t>Yes</t>
        </is>
      </c>
      <c r="D69" t="n">
        <v>1</v>
      </c>
      <c r="E69" t="inlineStr">
        <is>
          <t>Graduate</t>
        </is>
      </c>
      <c r="F69" t="inlineStr">
        <is>
          <t>No</t>
        </is>
      </c>
      <c r="G69" t="n">
        <v>10750</v>
      </c>
      <c r="H69" t="n">
        <v>0</v>
      </c>
      <c r="I69" t="n">
        <v>312</v>
      </c>
      <c r="J69" t="n">
        <v>360</v>
      </c>
      <c r="K69" t="n">
        <v>1</v>
      </c>
      <c r="L69" t="inlineStr">
        <is>
          <t>Urban</t>
        </is>
      </c>
      <c r="M69" t="inlineStr">
        <is>
          <t>Y</t>
        </is>
      </c>
      <c r="N69">
        <f>IF(AND(K69=1,M69="Y"),"Lower Risk",IF(AND(K69=0,M69="N"),"High Risk","Medium Risk"))</f>
        <v/>
      </c>
    </row>
    <row r="70">
      <c r="A70" t="inlineStr">
        <is>
          <t>LP001238</t>
        </is>
      </c>
      <c r="B70" t="inlineStr">
        <is>
          <t>Male</t>
        </is>
      </c>
      <c r="C70" t="inlineStr">
        <is>
          <t>Yes</t>
        </is>
      </c>
      <c r="D70" t="inlineStr">
        <is>
          <t>3+</t>
        </is>
      </c>
      <c r="E70" t="inlineStr">
        <is>
          <t>Not Graduate</t>
        </is>
      </c>
      <c r="F70" t="inlineStr">
        <is>
          <t>Yes</t>
        </is>
      </c>
      <c r="G70" t="n">
        <v>7100</v>
      </c>
      <c r="H70" t="n">
        <v>0</v>
      </c>
      <c r="I70" t="n">
        <v>125</v>
      </c>
      <c r="J70" t="n">
        <v>60</v>
      </c>
      <c r="K70" t="n">
        <v>1</v>
      </c>
      <c r="L70" t="inlineStr">
        <is>
          <t>Urban</t>
        </is>
      </c>
      <c r="M70" t="inlineStr">
        <is>
          <t>Y</t>
        </is>
      </c>
      <c r="N70">
        <f>IF(AND(K70=1,M70="Y"),"Lower Risk",IF(AND(K70=0,M70="N"),"High Risk","Medium Risk"))</f>
        <v/>
      </c>
    </row>
    <row r="71">
      <c r="A71" t="inlineStr">
        <is>
          <t>LP001241</t>
        </is>
      </c>
      <c r="B71" t="inlineStr">
        <is>
          <t>Female</t>
        </is>
      </c>
      <c r="C71" t="inlineStr">
        <is>
          <t>No</t>
        </is>
      </c>
      <c r="D71" t="n">
        <v>0</v>
      </c>
      <c r="E71" t="inlineStr">
        <is>
          <t>Graduate</t>
        </is>
      </c>
      <c r="F71" t="inlineStr">
        <is>
          <t>No</t>
        </is>
      </c>
      <c r="G71" t="n">
        <v>4300</v>
      </c>
      <c r="H71" t="n">
        <v>0</v>
      </c>
      <c r="I71" t="n">
        <v>136</v>
      </c>
      <c r="J71" t="n">
        <v>360</v>
      </c>
      <c r="K71" t="n">
        <v>0</v>
      </c>
      <c r="L71" t="inlineStr">
        <is>
          <t>Semiurban</t>
        </is>
      </c>
      <c r="M71" t="inlineStr">
        <is>
          <t>N</t>
        </is>
      </c>
      <c r="N71">
        <f>IF(AND(K71=1,M71="Y"),"Lower Risk",IF(AND(K71=0,M71="N"),"High Risk","Medium Risk"))</f>
        <v/>
      </c>
    </row>
    <row r="72">
      <c r="A72" t="inlineStr">
        <is>
          <t>LP001243</t>
        </is>
      </c>
      <c r="B72" t="inlineStr">
        <is>
          <t>Male</t>
        </is>
      </c>
      <c r="C72" t="inlineStr">
        <is>
          <t>Yes</t>
        </is>
      </c>
      <c r="D72" t="n">
        <v>0</v>
      </c>
      <c r="E72" t="inlineStr">
        <is>
          <t>Graduate</t>
        </is>
      </c>
      <c r="F72" t="inlineStr">
        <is>
          <t>No</t>
        </is>
      </c>
      <c r="G72" t="n">
        <v>3208</v>
      </c>
      <c r="H72" t="n">
        <v>3066</v>
      </c>
      <c r="I72" t="n">
        <v>172</v>
      </c>
      <c r="J72" t="n">
        <v>360</v>
      </c>
      <c r="K72" t="n">
        <v>1</v>
      </c>
      <c r="L72" t="inlineStr">
        <is>
          <t>Urban</t>
        </is>
      </c>
      <c r="M72" t="inlineStr">
        <is>
          <t>Y</t>
        </is>
      </c>
      <c r="N72">
        <f>IF(AND(K72=1,M72="Y"),"Lower Risk",IF(AND(K72=0,M72="N"),"High Risk","Medium Risk"))</f>
        <v/>
      </c>
    </row>
    <row r="73">
      <c r="A73" t="inlineStr">
        <is>
          <t>LP001245</t>
        </is>
      </c>
      <c r="B73" t="inlineStr">
        <is>
          <t>Male</t>
        </is>
      </c>
      <c r="C73" t="inlineStr">
        <is>
          <t>Yes</t>
        </is>
      </c>
      <c r="D73" t="n">
        <v>2</v>
      </c>
      <c r="E73" t="inlineStr">
        <is>
          <t>Not Graduate</t>
        </is>
      </c>
      <c r="F73" t="inlineStr">
        <is>
          <t>Yes</t>
        </is>
      </c>
      <c r="G73" t="n">
        <v>1875</v>
      </c>
      <c r="H73" t="n">
        <v>1875</v>
      </c>
      <c r="I73" t="n">
        <v>97</v>
      </c>
      <c r="J73" t="n">
        <v>360</v>
      </c>
      <c r="K73" t="n">
        <v>1</v>
      </c>
      <c r="L73" t="inlineStr">
        <is>
          <t>Semiurban</t>
        </is>
      </c>
      <c r="M73" t="inlineStr">
        <is>
          <t>Y</t>
        </is>
      </c>
      <c r="N73">
        <f>IF(AND(K73=1,M73="Y"),"Lower Risk",IF(AND(K73=0,M73="N"),"High Risk","Medium Risk"))</f>
        <v/>
      </c>
    </row>
    <row r="74">
      <c r="A74" t="inlineStr">
        <is>
          <t>LP001248</t>
        </is>
      </c>
      <c r="B74" t="inlineStr">
        <is>
          <t>Male</t>
        </is>
      </c>
      <c r="C74" t="inlineStr">
        <is>
          <t>No</t>
        </is>
      </c>
      <c r="D74" t="n">
        <v>0</v>
      </c>
      <c r="E74" t="inlineStr">
        <is>
          <t>Graduate</t>
        </is>
      </c>
      <c r="F74" t="inlineStr">
        <is>
          <t>No</t>
        </is>
      </c>
      <c r="G74" t="n">
        <v>3500</v>
      </c>
      <c r="H74" t="n">
        <v>0</v>
      </c>
      <c r="I74" t="n">
        <v>81</v>
      </c>
      <c r="J74" t="n">
        <v>300</v>
      </c>
      <c r="K74" t="n">
        <v>1</v>
      </c>
      <c r="L74" t="inlineStr">
        <is>
          <t>Semiurban</t>
        </is>
      </c>
      <c r="M74" t="inlineStr">
        <is>
          <t>Y</t>
        </is>
      </c>
      <c r="N74">
        <f>IF(AND(K74=1,M74="Y"),"Lower Risk",IF(AND(K74=0,M74="N"),"High Risk","Medium Risk"))</f>
        <v/>
      </c>
    </row>
    <row r="75">
      <c r="A75" t="inlineStr">
        <is>
          <t>LP001250</t>
        </is>
      </c>
      <c r="B75" t="inlineStr">
        <is>
          <t>Male</t>
        </is>
      </c>
      <c r="C75" t="inlineStr">
        <is>
          <t>Yes</t>
        </is>
      </c>
      <c r="D75" t="inlineStr">
        <is>
          <t>3+</t>
        </is>
      </c>
      <c r="E75" t="inlineStr">
        <is>
          <t>Not Graduate</t>
        </is>
      </c>
      <c r="F75" t="inlineStr">
        <is>
          <t>No</t>
        </is>
      </c>
      <c r="G75" t="n">
        <v>4755</v>
      </c>
      <c r="H75" t="n">
        <v>0</v>
      </c>
      <c r="I75" t="n">
        <v>95</v>
      </c>
      <c r="K75" t="n">
        <v>0</v>
      </c>
      <c r="L75" t="inlineStr">
        <is>
          <t>Semiurban</t>
        </is>
      </c>
      <c r="M75" t="inlineStr">
        <is>
          <t>N</t>
        </is>
      </c>
      <c r="N75">
        <f>IF(AND(K75=1,M75="Y"),"Lower Risk",IF(AND(K75=0,M75="N"),"High Risk","Medium Risk"))</f>
        <v/>
      </c>
    </row>
    <row r="76">
      <c r="A76" t="inlineStr">
        <is>
          <t>LP001253</t>
        </is>
      </c>
      <c r="B76" t="inlineStr">
        <is>
          <t>Male</t>
        </is>
      </c>
      <c r="C76" t="inlineStr">
        <is>
          <t>Yes</t>
        </is>
      </c>
      <c r="D76" t="inlineStr">
        <is>
          <t>3+</t>
        </is>
      </c>
      <c r="E76" t="inlineStr">
        <is>
          <t>Graduate</t>
        </is>
      </c>
      <c r="F76" t="inlineStr">
        <is>
          <t>Yes</t>
        </is>
      </c>
      <c r="G76" t="n">
        <v>5266</v>
      </c>
      <c r="H76" t="n">
        <v>1774</v>
      </c>
      <c r="I76" t="n">
        <v>187</v>
      </c>
      <c r="J76" t="n">
        <v>360</v>
      </c>
      <c r="K76" t="n">
        <v>1</v>
      </c>
      <c r="L76" t="inlineStr">
        <is>
          <t>Semiurban</t>
        </is>
      </c>
      <c r="M76" t="inlineStr">
        <is>
          <t>Y</t>
        </is>
      </c>
      <c r="N76">
        <f>IF(AND(K76=1,M76="Y"),"Lower Risk",IF(AND(K76=0,M76="N"),"High Risk","Medium Risk"))</f>
        <v/>
      </c>
    </row>
    <row r="77">
      <c r="A77" t="inlineStr">
        <is>
          <t>LP001255</t>
        </is>
      </c>
      <c r="B77" t="inlineStr">
        <is>
          <t>Male</t>
        </is>
      </c>
      <c r="C77" t="inlineStr">
        <is>
          <t>No</t>
        </is>
      </c>
      <c r="D77" t="n">
        <v>0</v>
      </c>
      <c r="E77" t="inlineStr">
        <is>
          <t>Graduate</t>
        </is>
      </c>
      <c r="F77" t="inlineStr">
        <is>
          <t>No</t>
        </is>
      </c>
      <c r="G77" t="n">
        <v>3750</v>
      </c>
      <c r="H77" t="n">
        <v>0</v>
      </c>
      <c r="I77" t="n">
        <v>113</v>
      </c>
      <c r="J77" t="n">
        <v>480</v>
      </c>
      <c r="K77" t="n">
        <v>1</v>
      </c>
      <c r="L77" t="inlineStr">
        <is>
          <t>Urban</t>
        </is>
      </c>
      <c r="M77" t="inlineStr">
        <is>
          <t>N</t>
        </is>
      </c>
      <c r="N77">
        <f>IF(AND(K77=1,M77="Y"),"Lower Risk",IF(AND(K77=0,M77="N"),"High Risk","Medium Risk"))</f>
        <v/>
      </c>
    </row>
    <row r="78">
      <c r="A78" t="inlineStr">
        <is>
          <t>LP001256</t>
        </is>
      </c>
      <c r="B78" t="inlineStr">
        <is>
          <t>Male</t>
        </is>
      </c>
      <c r="C78" t="inlineStr">
        <is>
          <t>No</t>
        </is>
      </c>
      <c r="D78" t="n">
        <v>0</v>
      </c>
      <c r="E78" t="inlineStr">
        <is>
          <t>Graduate</t>
        </is>
      </c>
      <c r="F78" t="inlineStr">
        <is>
          <t>No</t>
        </is>
      </c>
      <c r="G78" t="n">
        <v>3750</v>
      </c>
      <c r="H78" t="n">
        <v>4750</v>
      </c>
      <c r="I78" t="n">
        <v>176</v>
      </c>
      <c r="J78" t="n">
        <v>360</v>
      </c>
      <c r="K78" t="n">
        <v>1</v>
      </c>
      <c r="L78" t="inlineStr">
        <is>
          <t>Urban</t>
        </is>
      </c>
      <c r="M78" t="inlineStr">
        <is>
          <t>N</t>
        </is>
      </c>
      <c r="N78">
        <f>IF(AND(K78=1,M78="Y"),"Lower Risk",IF(AND(K78=0,M78="N"),"High Risk","Medium Risk"))</f>
        <v/>
      </c>
    </row>
    <row r="79">
      <c r="A79" t="inlineStr">
        <is>
          <t>LP001259</t>
        </is>
      </c>
      <c r="B79" t="inlineStr">
        <is>
          <t>Male</t>
        </is>
      </c>
      <c r="C79" t="inlineStr">
        <is>
          <t>Yes</t>
        </is>
      </c>
      <c r="D79" t="n">
        <v>1</v>
      </c>
      <c r="E79" t="inlineStr">
        <is>
          <t>Graduate</t>
        </is>
      </c>
      <c r="F79" t="inlineStr">
        <is>
          <t>Yes</t>
        </is>
      </c>
      <c r="G79" t="n">
        <v>1000</v>
      </c>
      <c r="H79" t="n">
        <v>3022</v>
      </c>
      <c r="I79" t="n">
        <v>110</v>
      </c>
      <c r="J79" t="n">
        <v>360</v>
      </c>
      <c r="K79" t="n">
        <v>1</v>
      </c>
      <c r="L79" t="inlineStr">
        <is>
          <t>Urban</t>
        </is>
      </c>
      <c r="M79" t="inlineStr">
        <is>
          <t>N</t>
        </is>
      </c>
      <c r="N79">
        <f>IF(AND(K79=1,M79="Y"),"Lower Risk",IF(AND(K79=0,M79="N"),"High Risk","Medium Risk"))</f>
        <v/>
      </c>
    </row>
    <row r="80">
      <c r="A80" t="inlineStr">
        <is>
          <t>LP001263</t>
        </is>
      </c>
      <c r="B80" t="inlineStr">
        <is>
          <t>Male</t>
        </is>
      </c>
      <c r="C80" t="inlineStr">
        <is>
          <t>Yes</t>
        </is>
      </c>
      <c r="D80" t="inlineStr">
        <is>
          <t>3+</t>
        </is>
      </c>
      <c r="E80" t="inlineStr">
        <is>
          <t>Graduate</t>
        </is>
      </c>
      <c r="F80" t="inlineStr">
        <is>
          <t>No</t>
        </is>
      </c>
      <c r="G80" t="n">
        <v>3167</v>
      </c>
      <c r="H80" t="n">
        <v>4000</v>
      </c>
      <c r="I80" t="n">
        <v>180</v>
      </c>
      <c r="J80" t="n">
        <v>300</v>
      </c>
      <c r="K80" t="n">
        <v>0</v>
      </c>
      <c r="L80" t="inlineStr">
        <is>
          <t>Semiurban</t>
        </is>
      </c>
      <c r="M80" t="inlineStr">
        <is>
          <t>N</t>
        </is>
      </c>
      <c r="N80">
        <f>IF(AND(K80=1,M80="Y"),"Lower Risk",IF(AND(K80=0,M80="N"),"High Risk","Medium Risk"))</f>
        <v/>
      </c>
    </row>
    <row r="81">
      <c r="A81" t="inlineStr">
        <is>
          <t>LP001264</t>
        </is>
      </c>
      <c r="B81" t="inlineStr">
        <is>
          <t>Male</t>
        </is>
      </c>
      <c r="C81" t="inlineStr">
        <is>
          <t>Yes</t>
        </is>
      </c>
      <c r="D81" t="inlineStr">
        <is>
          <t>3+</t>
        </is>
      </c>
      <c r="E81" t="inlineStr">
        <is>
          <t>Not Graduate</t>
        </is>
      </c>
      <c r="F81" t="inlineStr">
        <is>
          <t>Yes</t>
        </is>
      </c>
      <c r="G81" t="n">
        <v>3333</v>
      </c>
      <c r="H81" t="n">
        <v>2166</v>
      </c>
      <c r="I81" t="n">
        <v>130</v>
      </c>
      <c r="J81" t="n">
        <v>360</v>
      </c>
      <c r="L81" t="inlineStr">
        <is>
          <t>Semiurban</t>
        </is>
      </c>
      <c r="M81" t="inlineStr">
        <is>
          <t>Y</t>
        </is>
      </c>
      <c r="N81">
        <f>IF(AND(K81=1,M81="Y"),"Lower Risk",IF(AND(K81=0,M81="N"),"High Risk","Medium Risk"))</f>
        <v/>
      </c>
    </row>
    <row r="82">
      <c r="A82" t="inlineStr">
        <is>
          <t>LP001265</t>
        </is>
      </c>
      <c r="B82" t="inlineStr">
        <is>
          <t>Female</t>
        </is>
      </c>
      <c r="C82" t="inlineStr">
        <is>
          <t>No</t>
        </is>
      </c>
      <c r="D82" t="n">
        <v>0</v>
      </c>
      <c r="E82" t="inlineStr">
        <is>
          <t>Graduate</t>
        </is>
      </c>
      <c r="F82" t="inlineStr">
        <is>
          <t>No</t>
        </is>
      </c>
      <c r="G82" t="n">
        <v>3846</v>
      </c>
      <c r="H82" t="n">
        <v>0</v>
      </c>
      <c r="I82" t="n">
        <v>111</v>
      </c>
      <c r="J82" t="n">
        <v>360</v>
      </c>
      <c r="K82" t="n">
        <v>1</v>
      </c>
      <c r="L82" t="inlineStr">
        <is>
          <t>Semiurban</t>
        </is>
      </c>
      <c r="M82" t="inlineStr">
        <is>
          <t>Y</t>
        </is>
      </c>
      <c r="N82">
        <f>IF(AND(K82=1,M82="Y"),"Lower Risk",IF(AND(K82=0,M82="N"),"High Risk","Medium Risk"))</f>
        <v/>
      </c>
    </row>
    <row r="83">
      <c r="A83" t="inlineStr">
        <is>
          <t>LP001266</t>
        </is>
      </c>
      <c r="B83" t="inlineStr">
        <is>
          <t>Male</t>
        </is>
      </c>
      <c r="C83" t="inlineStr">
        <is>
          <t>Yes</t>
        </is>
      </c>
      <c r="D83" t="n">
        <v>1</v>
      </c>
      <c r="E83" t="inlineStr">
        <is>
          <t>Graduate</t>
        </is>
      </c>
      <c r="F83" t="inlineStr">
        <is>
          <t>Yes</t>
        </is>
      </c>
      <c r="G83" t="n">
        <v>2395</v>
      </c>
      <c r="H83" t="n">
        <v>0</v>
      </c>
      <c r="J83" t="n">
        <v>360</v>
      </c>
      <c r="K83" t="n">
        <v>1</v>
      </c>
      <c r="L83" t="inlineStr">
        <is>
          <t>Semiurban</t>
        </is>
      </c>
      <c r="M83" t="inlineStr">
        <is>
          <t>Y</t>
        </is>
      </c>
      <c r="N83">
        <f>IF(AND(K83=1,M83="Y"),"Lower Risk",IF(AND(K83=0,M83="N"),"High Risk","Medium Risk"))</f>
        <v/>
      </c>
    </row>
    <row r="84">
      <c r="A84" t="inlineStr">
        <is>
          <t>LP001267</t>
        </is>
      </c>
      <c r="B84" t="inlineStr">
        <is>
          <t>Female</t>
        </is>
      </c>
      <c r="C84" t="inlineStr">
        <is>
          <t>Yes</t>
        </is>
      </c>
      <c r="D84" t="n">
        <v>2</v>
      </c>
      <c r="E84" t="inlineStr">
        <is>
          <t>Graduate</t>
        </is>
      </c>
      <c r="F84" t="inlineStr">
        <is>
          <t>No</t>
        </is>
      </c>
      <c r="G84" t="n">
        <v>1378</v>
      </c>
      <c r="H84" t="n">
        <v>1881</v>
      </c>
      <c r="I84" t="n">
        <v>167</v>
      </c>
      <c r="J84" t="n">
        <v>360</v>
      </c>
      <c r="K84" t="n">
        <v>1</v>
      </c>
      <c r="L84" t="inlineStr">
        <is>
          <t>Urban</t>
        </is>
      </c>
      <c r="M84" t="inlineStr">
        <is>
          <t>N</t>
        </is>
      </c>
      <c r="N84">
        <f>IF(AND(K84=1,M84="Y"),"Lower Risk",IF(AND(K84=0,M84="N"),"High Risk","Medium Risk"))</f>
        <v/>
      </c>
    </row>
    <row r="85">
      <c r="A85" t="inlineStr">
        <is>
          <t>LP001273</t>
        </is>
      </c>
      <c r="B85" t="inlineStr">
        <is>
          <t>Male</t>
        </is>
      </c>
      <c r="C85" t="inlineStr">
        <is>
          <t>Yes</t>
        </is>
      </c>
      <c r="D85" t="n">
        <v>0</v>
      </c>
      <c r="E85" t="inlineStr">
        <is>
          <t>Graduate</t>
        </is>
      </c>
      <c r="F85" t="inlineStr">
        <is>
          <t>No</t>
        </is>
      </c>
      <c r="G85" t="n">
        <v>6000</v>
      </c>
      <c r="H85" t="n">
        <v>2250</v>
      </c>
      <c r="I85" t="n">
        <v>265</v>
      </c>
      <c r="J85" t="n">
        <v>360</v>
      </c>
      <c r="L85" t="inlineStr">
        <is>
          <t>Semiurban</t>
        </is>
      </c>
      <c r="M85" t="inlineStr">
        <is>
          <t>N</t>
        </is>
      </c>
      <c r="N85">
        <f>IF(AND(K85=1,M85="Y"),"Lower Risk",IF(AND(K85=0,M85="N"),"High Risk","Medium Risk"))</f>
        <v/>
      </c>
    </row>
    <row r="86">
      <c r="A86" t="inlineStr">
        <is>
          <t>LP001275</t>
        </is>
      </c>
      <c r="B86" t="inlineStr">
        <is>
          <t>Male</t>
        </is>
      </c>
      <c r="C86" t="inlineStr">
        <is>
          <t>Yes</t>
        </is>
      </c>
      <c r="D86" t="n">
        <v>1</v>
      </c>
      <c r="E86" t="inlineStr">
        <is>
          <t>Graduate</t>
        </is>
      </c>
      <c r="F86" t="inlineStr">
        <is>
          <t>No</t>
        </is>
      </c>
      <c r="G86" t="n">
        <v>3988</v>
      </c>
      <c r="H86" t="n">
        <v>0</v>
      </c>
      <c r="I86" t="n">
        <v>50</v>
      </c>
      <c r="J86" t="n">
        <v>240</v>
      </c>
      <c r="K86" t="n">
        <v>1</v>
      </c>
      <c r="L86" t="inlineStr">
        <is>
          <t>Urban</t>
        </is>
      </c>
      <c r="M86" t="inlineStr">
        <is>
          <t>Y</t>
        </is>
      </c>
      <c r="N86">
        <f>IF(AND(K86=1,M86="Y"),"Lower Risk",IF(AND(K86=0,M86="N"),"High Risk","Medium Risk"))</f>
        <v/>
      </c>
    </row>
    <row r="87">
      <c r="A87" t="inlineStr">
        <is>
          <t>LP001279</t>
        </is>
      </c>
      <c r="B87" t="inlineStr">
        <is>
          <t>Male</t>
        </is>
      </c>
      <c r="C87" t="inlineStr">
        <is>
          <t>No</t>
        </is>
      </c>
      <c r="D87" t="n">
        <v>0</v>
      </c>
      <c r="E87" t="inlineStr">
        <is>
          <t>Graduate</t>
        </is>
      </c>
      <c r="F87" t="inlineStr">
        <is>
          <t>No</t>
        </is>
      </c>
      <c r="G87" t="n">
        <v>2366</v>
      </c>
      <c r="H87" t="n">
        <v>2531</v>
      </c>
      <c r="I87" t="n">
        <v>136</v>
      </c>
      <c r="J87" t="n">
        <v>360</v>
      </c>
      <c r="K87" t="n">
        <v>1</v>
      </c>
      <c r="L87" t="inlineStr">
        <is>
          <t>Semiurban</t>
        </is>
      </c>
      <c r="M87" t="inlineStr">
        <is>
          <t>Y</t>
        </is>
      </c>
      <c r="N87">
        <f>IF(AND(K87=1,M87="Y"),"Lower Risk",IF(AND(K87=0,M87="N"),"High Risk","Medium Risk"))</f>
        <v/>
      </c>
    </row>
    <row r="88">
      <c r="A88" t="inlineStr">
        <is>
          <t>LP001280</t>
        </is>
      </c>
      <c r="B88" t="inlineStr">
        <is>
          <t>Male</t>
        </is>
      </c>
      <c r="C88" t="inlineStr">
        <is>
          <t>Yes</t>
        </is>
      </c>
      <c r="D88" t="n">
        <v>2</v>
      </c>
      <c r="E88" t="inlineStr">
        <is>
          <t>Not Graduate</t>
        </is>
      </c>
      <c r="F88" t="inlineStr">
        <is>
          <t>No</t>
        </is>
      </c>
      <c r="G88" t="n">
        <v>3333</v>
      </c>
      <c r="H88" t="n">
        <v>2000</v>
      </c>
      <c r="I88" t="n">
        <v>99</v>
      </c>
      <c r="J88" t="n">
        <v>360</v>
      </c>
      <c r="L88" t="inlineStr">
        <is>
          <t>Semiurban</t>
        </is>
      </c>
      <c r="M88" t="inlineStr">
        <is>
          <t>Y</t>
        </is>
      </c>
      <c r="N88">
        <f>IF(AND(K88=1,M88="Y"),"Lower Risk",IF(AND(K88=0,M88="N"),"High Risk","Medium Risk"))</f>
        <v/>
      </c>
    </row>
    <row r="89">
      <c r="A89" t="inlineStr">
        <is>
          <t>LP001282</t>
        </is>
      </c>
      <c r="B89" t="inlineStr">
        <is>
          <t>Male</t>
        </is>
      </c>
      <c r="C89" t="inlineStr">
        <is>
          <t>Yes</t>
        </is>
      </c>
      <c r="D89" t="n">
        <v>0</v>
      </c>
      <c r="E89" t="inlineStr">
        <is>
          <t>Graduate</t>
        </is>
      </c>
      <c r="F89" t="inlineStr">
        <is>
          <t>No</t>
        </is>
      </c>
      <c r="G89" t="n">
        <v>2500</v>
      </c>
      <c r="H89" t="n">
        <v>2118</v>
      </c>
      <c r="I89" t="n">
        <v>104</v>
      </c>
      <c r="J89" t="n">
        <v>360</v>
      </c>
      <c r="K89" t="n">
        <v>1</v>
      </c>
      <c r="L89" t="inlineStr">
        <is>
          <t>Semiurban</t>
        </is>
      </c>
      <c r="M89" t="inlineStr">
        <is>
          <t>Y</t>
        </is>
      </c>
      <c r="N89">
        <f>IF(AND(K89=1,M89="Y"),"Lower Risk",IF(AND(K89=0,M89="N"),"High Risk","Medium Risk"))</f>
        <v/>
      </c>
    </row>
    <row r="90">
      <c r="A90" t="inlineStr">
        <is>
          <t>LP001289</t>
        </is>
      </c>
      <c r="B90" t="inlineStr">
        <is>
          <t>Male</t>
        </is>
      </c>
      <c r="C90" t="inlineStr">
        <is>
          <t>No</t>
        </is>
      </c>
      <c r="D90" t="n">
        <v>0</v>
      </c>
      <c r="E90" t="inlineStr">
        <is>
          <t>Graduate</t>
        </is>
      </c>
      <c r="F90" t="inlineStr">
        <is>
          <t>No</t>
        </is>
      </c>
      <c r="G90" t="n">
        <v>8566</v>
      </c>
      <c r="H90" t="n">
        <v>0</v>
      </c>
      <c r="I90" t="n">
        <v>210</v>
      </c>
      <c r="J90" t="n">
        <v>360</v>
      </c>
      <c r="K90" t="n">
        <v>1</v>
      </c>
      <c r="L90" t="inlineStr">
        <is>
          <t>Urban</t>
        </is>
      </c>
      <c r="M90" t="inlineStr">
        <is>
          <t>Y</t>
        </is>
      </c>
      <c r="N90">
        <f>IF(AND(K90=1,M90="Y"),"Lower Risk",IF(AND(K90=0,M90="N"),"High Risk","Medium Risk"))</f>
        <v/>
      </c>
    </row>
    <row r="91">
      <c r="A91" t="inlineStr">
        <is>
          <t>LP001310</t>
        </is>
      </c>
      <c r="B91" t="inlineStr">
        <is>
          <t>Male</t>
        </is>
      </c>
      <c r="C91" t="inlineStr">
        <is>
          <t>Yes</t>
        </is>
      </c>
      <c r="D91" t="n">
        <v>0</v>
      </c>
      <c r="E91" t="inlineStr">
        <is>
          <t>Graduate</t>
        </is>
      </c>
      <c r="F91" t="inlineStr">
        <is>
          <t>No</t>
        </is>
      </c>
      <c r="G91" t="n">
        <v>5695</v>
      </c>
      <c r="H91" t="n">
        <v>4167</v>
      </c>
      <c r="I91" t="n">
        <v>175</v>
      </c>
      <c r="J91" t="n">
        <v>360</v>
      </c>
      <c r="K91" t="n">
        <v>1</v>
      </c>
      <c r="L91" t="inlineStr">
        <is>
          <t>Semiurban</t>
        </is>
      </c>
      <c r="M91" t="inlineStr">
        <is>
          <t>Y</t>
        </is>
      </c>
      <c r="N91">
        <f>IF(AND(K91=1,M91="Y"),"Lower Risk",IF(AND(K91=0,M91="N"),"High Risk","Medium Risk"))</f>
        <v/>
      </c>
    </row>
    <row r="92">
      <c r="A92" t="inlineStr">
        <is>
          <t>LP001316</t>
        </is>
      </c>
      <c r="B92" t="inlineStr">
        <is>
          <t>Male</t>
        </is>
      </c>
      <c r="C92" t="inlineStr">
        <is>
          <t>Yes</t>
        </is>
      </c>
      <c r="D92" t="n">
        <v>0</v>
      </c>
      <c r="E92" t="inlineStr">
        <is>
          <t>Graduate</t>
        </is>
      </c>
      <c r="F92" t="inlineStr">
        <is>
          <t>No</t>
        </is>
      </c>
      <c r="G92" t="n">
        <v>2958</v>
      </c>
      <c r="H92" t="n">
        <v>2900</v>
      </c>
      <c r="I92" t="n">
        <v>131</v>
      </c>
      <c r="J92" t="n">
        <v>360</v>
      </c>
      <c r="K92" t="n">
        <v>1</v>
      </c>
      <c r="L92" t="inlineStr">
        <is>
          <t>Semiurban</t>
        </is>
      </c>
      <c r="M92" t="inlineStr">
        <is>
          <t>Y</t>
        </is>
      </c>
      <c r="N92">
        <f>IF(AND(K92=1,M92="Y"),"Lower Risk",IF(AND(K92=0,M92="N"),"High Risk","Medium Risk"))</f>
        <v/>
      </c>
    </row>
    <row r="93">
      <c r="A93" t="inlineStr">
        <is>
          <t>LP001318</t>
        </is>
      </c>
      <c r="B93" t="inlineStr">
        <is>
          <t>Male</t>
        </is>
      </c>
      <c r="C93" t="inlineStr">
        <is>
          <t>Yes</t>
        </is>
      </c>
      <c r="D93" t="n">
        <v>2</v>
      </c>
      <c r="E93" t="inlineStr">
        <is>
          <t>Graduate</t>
        </is>
      </c>
      <c r="F93" t="inlineStr">
        <is>
          <t>No</t>
        </is>
      </c>
      <c r="G93" t="n">
        <v>6250</v>
      </c>
      <c r="H93" t="n">
        <v>5654</v>
      </c>
      <c r="I93" t="n">
        <v>188</v>
      </c>
      <c r="J93" t="n">
        <v>180</v>
      </c>
      <c r="K93" t="n">
        <v>1</v>
      </c>
      <c r="L93" t="inlineStr">
        <is>
          <t>Semiurban</t>
        </is>
      </c>
      <c r="M93" t="inlineStr">
        <is>
          <t>Y</t>
        </is>
      </c>
      <c r="N93">
        <f>IF(AND(K93=1,M93="Y"),"Lower Risk",IF(AND(K93=0,M93="N"),"High Risk","Medium Risk"))</f>
        <v/>
      </c>
    </row>
    <row r="94">
      <c r="A94" t="inlineStr">
        <is>
          <t>LP001319</t>
        </is>
      </c>
      <c r="B94" t="inlineStr">
        <is>
          <t>Male</t>
        </is>
      </c>
      <c r="C94" t="inlineStr">
        <is>
          <t>Yes</t>
        </is>
      </c>
      <c r="D94" t="n">
        <v>2</v>
      </c>
      <c r="E94" t="inlineStr">
        <is>
          <t>Not Graduate</t>
        </is>
      </c>
      <c r="F94" t="inlineStr">
        <is>
          <t>No</t>
        </is>
      </c>
      <c r="G94" t="n">
        <v>3273</v>
      </c>
      <c r="H94" t="n">
        <v>1820</v>
      </c>
      <c r="I94" t="n">
        <v>81</v>
      </c>
      <c r="J94" t="n">
        <v>360</v>
      </c>
      <c r="K94" t="n">
        <v>1</v>
      </c>
      <c r="L94" t="inlineStr">
        <is>
          <t>Urban</t>
        </is>
      </c>
      <c r="M94" t="inlineStr">
        <is>
          <t>Y</t>
        </is>
      </c>
      <c r="N94">
        <f>IF(AND(K94=1,M94="Y"),"Lower Risk",IF(AND(K94=0,M94="N"),"High Risk","Medium Risk"))</f>
        <v/>
      </c>
    </row>
    <row r="95">
      <c r="A95" t="inlineStr">
        <is>
          <t>LP001322</t>
        </is>
      </c>
      <c r="B95" t="inlineStr">
        <is>
          <t>Male</t>
        </is>
      </c>
      <c r="C95" t="inlineStr">
        <is>
          <t>No</t>
        </is>
      </c>
      <c r="D95" t="n">
        <v>0</v>
      </c>
      <c r="E95" t="inlineStr">
        <is>
          <t>Graduate</t>
        </is>
      </c>
      <c r="F95" t="inlineStr">
        <is>
          <t>No</t>
        </is>
      </c>
      <c r="G95" t="n">
        <v>4133</v>
      </c>
      <c r="H95" t="n">
        <v>0</v>
      </c>
      <c r="I95" t="n">
        <v>122</v>
      </c>
      <c r="J95" t="n">
        <v>360</v>
      </c>
      <c r="K95" t="n">
        <v>1</v>
      </c>
      <c r="L95" t="inlineStr">
        <is>
          <t>Semiurban</t>
        </is>
      </c>
      <c r="M95" t="inlineStr">
        <is>
          <t>Y</t>
        </is>
      </c>
      <c r="N95">
        <f>IF(AND(K95=1,M95="Y"),"Lower Risk",IF(AND(K95=0,M95="N"),"High Risk","Medium Risk"))</f>
        <v/>
      </c>
    </row>
    <row r="96">
      <c r="A96" t="inlineStr">
        <is>
          <t>LP001325</t>
        </is>
      </c>
      <c r="B96" t="inlineStr">
        <is>
          <t>Male</t>
        </is>
      </c>
      <c r="C96" t="inlineStr">
        <is>
          <t>No</t>
        </is>
      </c>
      <c r="D96" t="n">
        <v>0</v>
      </c>
      <c r="E96" t="inlineStr">
        <is>
          <t>Not Graduate</t>
        </is>
      </c>
      <c r="F96" t="inlineStr">
        <is>
          <t>No</t>
        </is>
      </c>
      <c r="G96" t="n">
        <v>3620</v>
      </c>
      <c r="H96" t="n">
        <v>0</v>
      </c>
      <c r="I96" t="n">
        <v>25</v>
      </c>
      <c r="J96" t="n">
        <v>120</v>
      </c>
      <c r="K96" t="n">
        <v>1</v>
      </c>
      <c r="L96" t="inlineStr">
        <is>
          <t>Semiurban</t>
        </is>
      </c>
      <c r="M96" t="inlineStr">
        <is>
          <t>Y</t>
        </is>
      </c>
      <c r="N96">
        <f>IF(AND(K96=1,M96="Y"),"Lower Risk",IF(AND(K96=0,M96="N"),"High Risk","Medium Risk"))</f>
        <v/>
      </c>
    </row>
    <row r="97">
      <c r="A97" t="inlineStr">
        <is>
          <t>LP001326</t>
        </is>
      </c>
      <c r="B97" t="inlineStr">
        <is>
          <t>Male</t>
        </is>
      </c>
      <c r="C97" t="inlineStr">
        <is>
          <t>No</t>
        </is>
      </c>
      <c r="D97" t="n">
        <v>0</v>
      </c>
      <c r="E97" t="inlineStr">
        <is>
          <t>Graduate</t>
        </is>
      </c>
      <c r="G97" t="n">
        <v>6782</v>
      </c>
      <c r="H97" t="n">
        <v>0</v>
      </c>
      <c r="J97" t="n">
        <v>360</v>
      </c>
      <c r="L97" t="inlineStr">
        <is>
          <t>Urban</t>
        </is>
      </c>
      <c r="M97" t="inlineStr">
        <is>
          <t>N</t>
        </is>
      </c>
      <c r="N97">
        <f>IF(AND(K97=1,M97="Y"),"Lower Risk",IF(AND(K97=0,M97="N"),"High Risk","Medium Risk"))</f>
        <v/>
      </c>
    </row>
    <row r="98">
      <c r="A98" t="inlineStr">
        <is>
          <t>LP001327</t>
        </is>
      </c>
      <c r="B98" t="inlineStr">
        <is>
          <t>Female</t>
        </is>
      </c>
      <c r="C98" t="inlineStr">
        <is>
          <t>Yes</t>
        </is>
      </c>
      <c r="D98" t="n">
        <v>0</v>
      </c>
      <c r="E98" t="inlineStr">
        <is>
          <t>Graduate</t>
        </is>
      </c>
      <c r="F98" t="inlineStr">
        <is>
          <t>No</t>
        </is>
      </c>
      <c r="G98" t="n">
        <v>2484</v>
      </c>
      <c r="H98" t="n">
        <v>2302</v>
      </c>
      <c r="I98" t="n">
        <v>137</v>
      </c>
      <c r="J98" t="n">
        <v>360</v>
      </c>
      <c r="K98" t="n">
        <v>1</v>
      </c>
      <c r="L98" t="inlineStr">
        <is>
          <t>Semiurban</t>
        </is>
      </c>
      <c r="M98" t="inlineStr">
        <is>
          <t>Y</t>
        </is>
      </c>
      <c r="N98">
        <f>IF(AND(K98=1,M98="Y"),"Lower Risk",IF(AND(K98=0,M98="N"),"High Risk","Medium Risk"))</f>
        <v/>
      </c>
    </row>
    <row r="99">
      <c r="A99" t="inlineStr">
        <is>
          <t>LP001333</t>
        </is>
      </c>
      <c r="B99" t="inlineStr">
        <is>
          <t>Male</t>
        </is>
      </c>
      <c r="C99" t="inlineStr">
        <is>
          <t>Yes</t>
        </is>
      </c>
      <c r="D99" t="n">
        <v>0</v>
      </c>
      <c r="E99" t="inlineStr">
        <is>
          <t>Graduate</t>
        </is>
      </c>
      <c r="F99" t="inlineStr">
        <is>
          <t>No</t>
        </is>
      </c>
      <c r="G99" t="n">
        <v>1977</v>
      </c>
      <c r="H99" t="n">
        <v>997</v>
      </c>
      <c r="I99" t="n">
        <v>50</v>
      </c>
      <c r="J99" t="n">
        <v>360</v>
      </c>
      <c r="K99" t="n">
        <v>1</v>
      </c>
      <c r="L99" t="inlineStr">
        <is>
          <t>Semiurban</t>
        </is>
      </c>
      <c r="M99" t="inlineStr">
        <is>
          <t>Y</t>
        </is>
      </c>
      <c r="N99">
        <f>IF(AND(K99=1,M99="Y"),"Lower Risk",IF(AND(K99=0,M99="N"),"High Risk","Medium Risk"))</f>
        <v/>
      </c>
    </row>
    <row r="100">
      <c r="A100" t="inlineStr">
        <is>
          <t>LP001334</t>
        </is>
      </c>
      <c r="B100" t="inlineStr">
        <is>
          <t>Male</t>
        </is>
      </c>
      <c r="C100" t="inlineStr">
        <is>
          <t>Yes</t>
        </is>
      </c>
      <c r="D100" t="n">
        <v>0</v>
      </c>
      <c r="E100" t="inlineStr">
        <is>
          <t>Not Graduate</t>
        </is>
      </c>
      <c r="F100" t="inlineStr">
        <is>
          <t>No</t>
        </is>
      </c>
      <c r="G100" t="n">
        <v>4188</v>
      </c>
      <c r="H100" t="n">
        <v>0</v>
      </c>
      <c r="I100" t="n">
        <v>115</v>
      </c>
      <c r="J100" t="n">
        <v>180</v>
      </c>
      <c r="K100" t="n">
        <v>1</v>
      </c>
      <c r="L100" t="inlineStr">
        <is>
          <t>Semiurban</t>
        </is>
      </c>
      <c r="M100" t="inlineStr">
        <is>
          <t>Y</t>
        </is>
      </c>
      <c r="N100">
        <f>IF(AND(K100=1,M100="Y"),"Lower Risk",IF(AND(K100=0,M100="N"),"High Risk","Medium Risk"))</f>
        <v/>
      </c>
    </row>
    <row r="101">
      <c r="A101" t="inlineStr">
        <is>
          <t>LP001343</t>
        </is>
      </c>
      <c r="B101" t="inlineStr">
        <is>
          <t>Male</t>
        </is>
      </c>
      <c r="C101" t="inlineStr">
        <is>
          <t>Yes</t>
        </is>
      </c>
      <c r="D101" t="n">
        <v>0</v>
      </c>
      <c r="E101" t="inlineStr">
        <is>
          <t>Graduate</t>
        </is>
      </c>
      <c r="F101" t="inlineStr">
        <is>
          <t>No</t>
        </is>
      </c>
      <c r="G101" t="n">
        <v>1759</v>
      </c>
      <c r="H101" t="n">
        <v>3541</v>
      </c>
      <c r="I101" t="n">
        <v>131</v>
      </c>
      <c r="J101" t="n">
        <v>360</v>
      </c>
      <c r="K101" t="n">
        <v>1</v>
      </c>
      <c r="L101" t="inlineStr">
        <is>
          <t>Semiurban</t>
        </is>
      </c>
      <c r="M101" t="inlineStr">
        <is>
          <t>Y</t>
        </is>
      </c>
      <c r="N101">
        <f>IF(AND(K101=1,M101="Y"),"Lower Risk",IF(AND(K101=0,M101="N"),"High Risk","Medium Risk"))</f>
        <v/>
      </c>
    </row>
    <row r="102">
      <c r="A102" t="inlineStr">
        <is>
          <t>LP001345</t>
        </is>
      </c>
      <c r="B102" t="inlineStr">
        <is>
          <t>Male</t>
        </is>
      </c>
      <c r="C102" t="inlineStr">
        <is>
          <t>Yes</t>
        </is>
      </c>
      <c r="D102" t="n">
        <v>2</v>
      </c>
      <c r="E102" t="inlineStr">
        <is>
          <t>Not Graduate</t>
        </is>
      </c>
      <c r="F102" t="inlineStr">
        <is>
          <t>No</t>
        </is>
      </c>
      <c r="G102" t="n">
        <v>4288</v>
      </c>
      <c r="H102" t="n">
        <v>3263</v>
      </c>
      <c r="I102" t="n">
        <v>133</v>
      </c>
      <c r="J102" t="n">
        <v>180</v>
      </c>
      <c r="K102" t="n">
        <v>1</v>
      </c>
      <c r="L102" t="inlineStr">
        <is>
          <t>Urban</t>
        </is>
      </c>
      <c r="M102" t="inlineStr">
        <is>
          <t>Y</t>
        </is>
      </c>
      <c r="N102">
        <f>IF(AND(K102=1,M102="Y"),"Lower Risk",IF(AND(K102=0,M102="N"),"High Risk","Medium Risk"))</f>
        <v/>
      </c>
    </row>
    <row r="103">
      <c r="A103" t="inlineStr">
        <is>
          <t>LP001349</t>
        </is>
      </c>
      <c r="B103" t="inlineStr">
        <is>
          <t>Male</t>
        </is>
      </c>
      <c r="C103" t="inlineStr">
        <is>
          <t>No</t>
        </is>
      </c>
      <c r="D103" t="n">
        <v>0</v>
      </c>
      <c r="E103" t="inlineStr">
        <is>
          <t>Graduate</t>
        </is>
      </c>
      <c r="F103" t="inlineStr">
        <is>
          <t>No</t>
        </is>
      </c>
      <c r="G103" t="n">
        <v>4843</v>
      </c>
      <c r="H103" t="n">
        <v>3806</v>
      </c>
      <c r="I103" t="n">
        <v>151</v>
      </c>
      <c r="J103" t="n">
        <v>360</v>
      </c>
      <c r="K103" t="n">
        <v>1</v>
      </c>
      <c r="L103" t="inlineStr">
        <is>
          <t>Semiurban</t>
        </is>
      </c>
      <c r="M103" t="inlineStr">
        <is>
          <t>Y</t>
        </is>
      </c>
      <c r="N103">
        <f>IF(AND(K103=1,M103="Y"),"Lower Risk",IF(AND(K103=0,M103="N"),"High Risk","Medium Risk"))</f>
        <v/>
      </c>
    </row>
    <row r="104">
      <c r="A104" t="inlineStr">
        <is>
          <t>LP001350</t>
        </is>
      </c>
      <c r="B104" t="inlineStr">
        <is>
          <t>Male</t>
        </is>
      </c>
      <c r="C104" t="inlineStr">
        <is>
          <t>Yes</t>
        </is>
      </c>
      <c r="E104" t="inlineStr">
        <is>
          <t>Graduate</t>
        </is>
      </c>
      <c r="F104" t="inlineStr">
        <is>
          <t>No</t>
        </is>
      </c>
      <c r="G104" t="n">
        <v>13650</v>
      </c>
      <c r="H104" t="n">
        <v>0</v>
      </c>
      <c r="J104" t="n">
        <v>360</v>
      </c>
      <c r="K104" t="n">
        <v>1</v>
      </c>
      <c r="L104" t="inlineStr">
        <is>
          <t>Urban</t>
        </is>
      </c>
      <c r="M104" t="inlineStr">
        <is>
          <t>Y</t>
        </is>
      </c>
      <c r="N104">
        <f>IF(AND(K104=1,M104="Y"),"Lower Risk",IF(AND(K104=0,M104="N"),"High Risk","Medium Risk"))</f>
        <v/>
      </c>
    </row>
    <row r="105">
      <c r="A105" t="inlineStr">
        <is>
          <t>LP001356</t>
        </is>
      </c>
      <c r="B105" t="inlineStr">
        <is>
          <t>Male</t>
        </is>
      </c>
      <c r="C105" t="inlineStr">
        <is>
          <t>Yes</t>
        </is>
      </c>
      <c r="D105" t="n">
        <v>0</v>
      </c>
      <c r="E105" t="inlineStr">
        <is>
          <t>Graduate</t>
        </is>
      </c>
      <c r="F105" t="inlineStr">
        <is>
          <t>No</t>
        </is>
      </c>
      <c r="G105" t="n">
        <v>4652</v>
      </c>
      <c r="H105" t="n">
        <v>3583</v>
      </c>
      <c r="J105" t="n">
        <v>360</v>
      </c>
      <c r="K105" t="n">
        <v>1</v>
      </c>
      <c r="L105" t="inlineStr">
        <is>
          <t>Semiurban</t>
        </is>
      </c>
      <c r="M105" t="inlineStr">
        <is>
          <t>Y</t>
        </is>
      </c>
      <c r="N105">
        <f>IF(AND(K105=1,M105="Y"),"Lower Risk",IF(AND(K105=0,M105="N"),"High Risk","Medium Risk"))</f>
        <v/>
      </c>
    </row>
    <row r="106">
      <c r="A106" t="inlineStr">
        <is>
          <t>LP001357</t>
        </is>
      </c>
      <c r="B106" t="inlineStr">
        <is>
          <t>Male</t>
        </is>
      </c>
      <c r="E106" t="inlineStr">
        <is>
          <t>Graduate</t>
        </is>
      </c>
      <c r="F106" t="inlineStr">
        <is>
          <t>No</t>
        </is>
      </c>
      <c r="G106" t="n">
        <v>3816</v>
      </c>
      <c r="H106" t="n">
        <v>754</v>
      </c>
      <c r="I106" t="n">
        <v>160</v>
      </c>
      <c r="J106" t="n">
        <v>360</v>
      </c>
      <c r="K106" t="n">
        <v>1</v>
      </c>
      <c r="L106" t="inlineStr">
        <is>
          <t>Urban</t>
        </is>
      </c>
      <c r="M106" t="inlineStr">
        <is>
          <t>Y</t>
        </is>
      </c>
      <c r="N106">
        <f>IF(AND(K106=1,M106="Y"),"Lower Risk",IF(AND(K106=0,M106="N"),"High Risk","Medium Risk"))</f>
        <v/>
      </c>
    </row>
    <row r="107">
      <c r="A107" t="inlineStr">
        <is>
          <t>LP001367</t>
        </is>
      </c>
      <c r="B107" t="inlineStr">
        <is>
          <t>Male</t>
        </is>
      </c>
      <c r="C107" t="inlineStr">
        <is>
          <t>Yes</t>
        </is>
      </c>
      <c r="D107" t="n">
        <v>1</v>
      </c>
      <c r="E107" t="inlineStr">
        <is>
          <t>Graduate</t>
        </is>
      </c>
      <c r="F107" t="inlineStr">
        <is>
          <t>No</t>
        </is>
      </c>
      <c r="G107" t="n">
        <v>3052</v>
      </c>
      <c r="H107" t="n">
        <v>1030</v>
      </c>
      <c r="I107" t="n">
        <v>100</v>
      </c>
      <c r="J107" t="n">
        <v>360</v>
      </c>
      <c r="K107" t="n">
        <v>1</v>
      </c>
      <c r="L107" t="inlineStr">
        <is>
          <t>Urban</t>
        </is>
      </c>
      <c r="M107" t="inlineStr">
        <is>
          <t>Y</t>
        </is>
      </c>
      <c r="N107">
        <f>IF(AND(K107=1,M107="Y"),"Lower Risk",IF(AND(K107=0,M107="N"),"High Risk","Medium Risk"))</f>
        <v/>
      </c>
    </row>
    <row r="108">
      <c r="A108" t="inlineStr">
        <is>
          <t>LP001369</t>
        </is>
      </c>
      <c r="B108" t="inlineStr">
        <is>
          <t>Male</t>
        </is>
      </c>
      <c r="C108" t="inlineStr">
        <is>
          <t>Yes</t>
        </is>
      </c>
      <c r="D108" t="n">
        <v>2</v>
      </c>
      <c r="E108" t="inlineStr">
        <is>
          <t>Graduate</t>
        </is>
      </c>
      <c r="F108" t="inlineStr">
        <is>
          <t>No</t>
        </is>
      </c>
      <c r="G108" t="n">
        <v>11417</v>
      </c>
      <c r="H108" t="n">
        <v>1126</v>
      </c>
      <c r="I108" t="n">
        <v>225</v>
      </c>
      <c r="J108" t="n">
        <v>360</v>
      </c>
      <c r="K108" t="n">
        <v>1</v>
      </c>
      <c r="L108" t="inlineStr">
        <is>
          <t>Urban</t>
        </is>
      </c>
      <c r="M108" t="inlineStr">
        <is>
          <t>Y</t>
        </is>
      </c>
      <c r="N108">
        <f>IF(AND(K108=1,M108="Y"),"Lower Risk",IF(AND(K108=0,M108="N"),"High Risk","Medium Risk"))</f>
        <v/>
      </c>
    </row>
    <row r="109">
      <c r="A109" t="inlineStr">
        <is>
          <t>LP001370</t>
        </is>
      </c>
      <c r="B109" t="inlineStr">
        <is>
          <t>Male</t>
        </is>
      </c>
      <c r="C109" t="inlineStr">
        <is>
          <t>No</t>
        </is>
      </c>
      <c r="D109" t="n">
        <v>0</v>
      </c>
      <c r="E109" t="inlineStr">
        <is>
          <t>Not Graduate</t>
        </is>
      </c>
      <c r="G109" t="n">
        <v>7333</v>
      </c>
      <c r="H109" t="n">
        <v>0</v>
      </c>
      <c r="I109" t="n">
        <v>120</v>
      </c>
      <c r="J109" t="n">
        <v>360</v>
      </c>
      <c r="K109" t="n">
        <v>1</v>
      </c>
      <c r="L109" t="inlineStr">
        <is>
          <t>Rural</t>
        </is>
      </c>
      <c r="M109" t="inlineStr">
        <is>
          <t>N</t>
        </is>
      </c>
      <c r="N109">
        <f>IF(AND(K109=1,M109="Y"),"Lower Risk",IF(AND(K109=0,M109="N"),"High Risk","Medium Risk"))</f>
        <v/>
      </c>
    </row>
    <row r="110">
      <c r="A110" t="inlineStr">
        <is>
          <t>LP001379</t>
        </is>
      </c>
      <c r="B110" t="inlineStr">
        <is>
          <t>Male</t>
        </is>
      </c>
      <c r="C110" t="inlineStr">
        <is>
          <t>Yes</t>
        </is>
      </c>
      <c r="D110" t="n">
        <v>2</v>
      </c>
      <c r="E110" t="inlineStr">
        <is>
          <t>Graduate</t>
        </is>
      </c>
      <c r="F110" t="inlineStr">
        <is>
          <t>No</t>
        </is>
      </c>
      <c r="G110" t="n">
        <v>3800</v>
      </c>
      <c r="H110" t="n">
        <v>3600</v>
      </c>
      <c r="I110" t="n">
        <v>216</v>
      </c>
      <c r="J110" t="n">
        <v>360</v>
      </c>
      <c r="K110" t="n">
        <v>0</v>
      </c>
      <c r="L110" t="inlineStr">
        <is>
          <t>Urban</t>
        </is>
      </c>
      <c r="M110" t="inlineStr">
        <is>
          <t>N</t>
        </is>
      </c>
      <c r="N110">
        <f>IF(AND(K110=1,M110="Y"),"Lower Risk",IF(AND(K110=0,M110="N"),"High Risk","Medium Risk"))</f>
        <v/>
      </c>
    </row>
    <row r="111">
      <c r="A111" t="inlineStr">
        <is>
          <t>LP001384</t>
        </is>
      </c>
      <c r="B111" t="inlineStr">
        <is>
          <t>Male</t>
        </is>
      </c>
      <c r="C111" t="inlineStr">
        <is>
          <t>Yes</t>
        </is>
      </c>
      <c r="D111" t="inlineStr">
        <is>
          <t>3+</t>
        </is>
      </c>
      <c r="E111" t="inlineStr">
        <is>
          <t>Not Graduate</t>
        </is>
      </c>
      <c r="F111" t="inlineStr">
        <is>
          <t>No</t>
        </is>
      </c>
      <c r="G111" t="n">
        <v>2071</v>
      </c>
      <c r="H111" t="n">
        <v>754</v>
      </c>
      <c r="I111" t="n">
        <v>94</v>
      </c>
      <c r="J111" t="n">
        <v>480</v>
      </c>
      <c r="K111" t="n">
        <v>1</v>
      </c>
      <c r="L111" t="inlineStr">
        <is>
          <t>Semiurban</t>
        </is>
      </c>
      <c r="M111" t="inlineStr">
        <is>
          <t>Y</t>
        </is>
      </c>
      <c r="N111">
        <f>IF(AND(K111=1,M111="Y"),"Lower Risk",IF(AND(K111=0,M111="N"),"High Risk","Medium Risk"))</f>
        <v/>
      </c>
    </row>
    <row r="112">
      <c r="A112" t="inlineStr">
        <is>
          <t>LP001385</t>
        </is>
      </c>
      <c r="B112" t="inlineStr">
        <is>
          <t>Male</t>
        </is>
      </c>
      <c r="C112" t="inlineStr">
        <is>
          <t>No</t>
        </is>
      </c>
      <c r="D112" t="n">
        <v>0</v>
      </c>
      <c r="E112" t="inlineStr">
        <is>
          <t>Graduate</t>
        </is>
      </c>
      <c r="F112" t="inlineStr">
        <is>
          <t>No</t>
        </is>
      </c>
      <c r="G112" t="n">
        <v>5316</v>
      </c>
      <c r="H112" t="n">
        <v>0</v>
      </c>
      <c r="I112" t="n">
        <v>136</v>
      </c>
      <c r="J112" t="n">
        <v>360</v>
      </c>
      <c r="K112" t="n">
        <v>1</v>
      </c>
      <c r="L112" t="inlineStr">
        <is>
          <t>Urban</t>
        </is>
      </c>
      <c r="M112" t="inlineStr">
        <is>
          <t>Y</t>
        </is>
      </c>
      <c r="N112">
        <f>IF(AND(K112=1,M112="Y"),"Lower Risk",IF(AND(K112=0,M112="N"),"High Risk","Medium Risk"))</f>
        <v/>
      </c>
    </row>
    <row r="113">
      <c r="A113" t="inlineStr">
        <is>
          <t>LP001387</t>
        </is>
      </c>
      <c r="B113" t="inlineStr">
        <is>
          <t>Female</t>
        </is>
      </c>
      <c r="C113" t="inlineStr">
        <is>
          <t>Yes</t>
        </is>
      </c>
      <c r="D113" t="n">
        <v>0</v>
      </c>
      <c r="E113" t="inlineStr">
        <is>
          <t>Graduate</t>
        </is>
      </c>
      <c r="G113" t="n">
        <v>2929</v>
      </c>
      <c r="H113" t="n">
        <v>2333</v>
      </c>
      <c r="I113" t="n">
        <v>139</v>
      </c>
      <c r="J113" t="n">
        <v>360</v>
      </c>
      <c r="K113" t="n">
        <v>1</v>
      </c>
      <c r="L113" t="inlineStr">
        <is>
          <t>Semiurban</t>
        </is>
      </c>
      <c r="M113" t="inlineStr">
        <is>
          <t>Y</t>
        </is>
      </c>
      <c r="N113">
        <f>IF(AND(K113=1,M113="Y"),"Lower Risk",IF(AND(K113=0,M113="N"),"High Risk","Medium Risk"))</f>
        <v/>
      </c>
    </row>
    <row r="114">
      <c r="A114" t="inlineStr">
        <is>
          <t>LP001391</t>
        </is>
      </c>
      <c r="B114" t="inlineStr">
        <is>
          <t>Male</t>
        </is>
      </c>
      <c r="C114" t="inlineStr">
        <is>
          <t>Yes</t>
        </is>
      </c>
      <c r="D114" t="n">
        <v>0</v>
      </c>
      <c r="E114" t="inlineStr">
        <is>
          <t>Not Graduate</t>
        </is>
      </c>
      <c r="F114" t="inlineStr">
        <is>
          <t>No</t>
        </is>
      </c>
      <c r="G114" t="n">
        <v>3572</v>
      </c>
      <c r="H114" t="n">
        <v>4114</v>
      </c>
      <c r="I114" t="n">
        <v>152</v>
      </c>
      <c r="K114" t="n">
        <v>0</v>
      </c>
      <c r="L114" t="inlineStr">
        <is>
          <t>Rural</t>
        </is>
      </c>
      <c r="M114" t="inlineStr">
        <is>
          <t>N</t>
        </is>
      </c>
      <c r="N114">
        <f>IF(AND(K114=1,M114="Y"),"Lower Risk",IF(AND(K114=0,M114="N"),"High Risk","Medium Risk"))</f>
        <v/>
      </c>
    </row>
    <row r="115">
      <c r="A115" t="inlineStr">
        <is>
          <t>LP001392</t>
        </is>
      </c>
      <c r="B115" t="inlineStr">
        <is>
          <t>Female</t>
        </is>
      </c>
      <c r="C115" t="inlineStr">
        <is>
          <t>No</t>
        </is>
      </c>
      <c r="D115" t="n">
        <v>1</v>
      </c>
      <c r="E115" t="inlineStr">
        <is>
          <t>Graduate</t>
        </is>
      </c>
      <c r="F115" t="inlineStr">
        <is>
          <t>Yes</t>
        </is>
      </c>
      <c r="G115" t="n">
        <v>7451</v>
      </c>
      <c r="H115" t="n">
        <v>0</v>
      </c>
      <c r="J115" t="n">
        <v>360</v>
      </c>
      <c r="K115" t="n">
        <v>1</v>
      </c>
      <c r="L115" t="inlineStr">
        <is>
          <t>Semiurban</t>
        </is>
      </c>
      <c r="M115" t="inlineStr">
        <is>
          <t>Y</t>
        </is>
      </c>
      <c r="N115">
        <f>IF(AND(K115=1,M115="Y"),"Lower Risk",IF(AND(K115=0,M115="N"),"High Risk","Medium Risk"))</f>
        <v/>
      </c>
    </row>
    <row r="116">
      <c r="A116" t="inlineStr">
        <is>
          <t>LP001398</t>
        </is>
      </c>
      <c r="B116" t="inlineStr">
        <is>
          <t>Male</t>
        </is>
      </c>
      <c r="C116" t="inlineStr">
        <is>
          <t>No</t>
        </is>
      </c>
      <c r="D116" t="n">
        <v>0</v>
      </c>
      <c r="E116" t="inlineStr">
        <is>
          <t>Graduate</t>
        </is>
      </c>
      <c r="G116" t="n">
        <v>5050</v>
      </c>
      <c r="H116" t="n">
        <v>0</v>
      </c>
      <c r="I116" t="n">
        <v>118</v>
      </c>
      <c r="J116" t="n">
        <v>360</v>
      </c>
      <c r="K116" t="n">
        <v>1</v>
      </c>
      <c r="L116" t="inlineStr">
        <is>
          <t>Semiurban</t>
        </is>
      </c>
      <c r="M116" t="inlineStr">
        <is>
          <t>Y</t>
        </is>
      </c>
      <c r="N116">
        <f>IF(AND(K116=1,M116="Y"),"Lower Risk",IF(AND(K116=0,M116="N"),"High Risk","Medium Risk"))</f>
        <v/>
      </c>
    </row>
    <row r="117">
      <c r="A117" t="inlineStr">
        <is>
          <t>LP001401</t>
        </is>
      </c>
      <c r="B117" t="inlineStr">
        <is>
          <t>Male</t>
        </is>
      </c>
      <c r="C117" t="inlineStr">
        <is>
          <t>Yes</t>
        </is>
      </c>
      <c r="D117" t="n">
        <v>1</v>
      </c>
      <c r="E117" t="inlineStr">
        <is>
          <t>Graduate</t>
        </is>
      </c>
      <c r="F117" t="inlineStr">
        <is>
          <t>No</t>
        </is>
      </c>
      <c r="G117" t="n">
        <v>14583</v>
      </c>
      <c r="H117" t="n">
        <v>0</v>
      </c>
      <c r="I117" t="n">
        <v>185</v>
      </c>
      <c r="J117" t="n">
        <v>180</v>
      </c>
      <c r="K117" t="n">
        <v>1</v>
      </c>
      <c r="L117" t="inlineStr">
        <is>
          <t>Rural</t>
        </is>
      </c>
      <c r="M117" t="inlineStr">
        <is>
          <t>Y</t>
        </is>
      </c>
      <c r="N117">
        <f>IF(AND(K117=1,M117="Y"),"Lower Risk",IF(AND(K117=0,M117="N"),"High Risk","Medium Risk"))</f>
        <v/>
      </c>
    </row>
    <row r="118">
      <c r="A118" t="inlineStr">
        <is>
          <t>LP001404</t>
        </is>
      </c>
      <c r="B118" t="inlineStr">
        <is>
          <t>Female</t>
        </is>
      </c>
      <c r="C118" t="inlineStr">
        <is>
          <t>Yes</t>
        </is>
      </c>
      <c r="D118" t="n">
        <v>0</v>
      </c>
      <c r="E118" t="inlineStr">
        <is>
          <t>Graduate</t>
        </is>
      </c>
      <c r="F118" t="inlineStr">
        <is>
          <t>No</t>
        </is>
      </c>
      <c r="G118" t="n">
        <v>3167</v>
      </c>
      <c r="H118" t="n">
        <v>2283</v>
      </c>
      <c r="I118" t="n">
        <v>154</v>
      </c>
      <c r="J118" t="n">
        <v>360</v>
      </c>
      <c r="K118" t="n">
        <v>1</v>
      </c>
      <c r="L118" t="inlineStr">
        <is>
          <t>Semiurban</t>
        </is>
      </c>
      <c r="M118" t="inlineStr">
        <is>
          <t>Y</t>
        </is>
      </c>
      <c r="N118">
        <f>IF(AND(K118=1,M118="Y"),"Lower Risk",IF(AND(K118=0,M118="N"),"High Risk","Medium Risk"))</f>
        <v/>
      </c>
    </row>
    <row r="119">
      <c r="A119" t="inlineStr">
        <is>
          <t>LP001405</t>
        </is>
      </c>
      <c r="B119" t="inlineStr">
        <is>
          <t>Male</t>
        </is>
      </c>
      <c r="C119" t="inlineStr">
        <is>
          <t>Yes</t>
        </is>
      </c>
      <c r="D119" t="n">
        <v>1</v>
      </c>
      <c r="E119" t="inlineStr">
        <is>
          <t>Graduate</t>
        </is>
      </c>
      <c r="F119" t="inlineStr">
        <is>
          <t>No</t>
        </is>
      </c>
      <c r="G119" t="n">
        <v>2214</v>
      </c>
      <c r="H119" t="n">
        <v>1398</v>
      </c>
      <c r="I119" t="n">
        <v>85</v>
      </c>
      <c r="J119" t="n">
        <v>360</v>
      </c>
      <c r="L119" t="inlineStr">
        <is>
          <t>Urban</t>
        </is>
      </c>
      <c r="M119" t="inlineStr">
        <is>
          <t>Y</t>
        </is>
      </c>
      <c r="N119">
        <f>IF(AND(K119=1,M119="Y"),"Lower Risk",IF(AND(K119=0,M119="N"),"High Risk","Medium Risk"))</f>
        <v/>
      </c>
    </row>
    <row r="120">
      <c r="A120" t="inlineStr">
        <is>
          <t>LP001421</t>
        </is>
      </c>
      <c r="B120" t="inlineStr">
        <is>
          <t>Male</t>
        </is>
      </c>
      <c r="C120" t="inlineStr">
        <is>
          <t>Yes</t>
        </is>
      </c>
      <c r="D120" t="n">
        <v>0</v>
      </c>
      <c r="E120" t="inlineStr">
        <is>
          <t>Graduate</t>
        </is>
      </c>
      <c r="F120" t="inlineStr">
        <is>
          <t>No</t>
        </is>
      </c>
      <c r="G120" t="n">
        <v>5568</v>
      </c>
      <c r="H120" t="n">
        <v>2142</v>
      </c>
      <c r="I120" t="n">
        <v>175</v>
      </c>
      <c r="J120" t="n">
        <v>360</v>
      </c>
      <c r="K120" t="n">
        <v>1</v>
      </c>
      <c r="L120" t="inlineStr">
        <is>
          <t>Rural</t>
        </is>
      </c>
      <c r="M120" t="inlineStr">
        <is>
          <t>N</t>
        </is>
      </c>
      <c r="N120">
        <f>IF(AND(K120=1,M120="Y"),"Lower Risk",IF(AND(K120=0,M120="N"),"High Risk","Medium Risk"))</f>
        <v/>
      </c>
    </row>
    <row r="121">
      <c r="A121" t="inlineStr">
        <is>
          <t>LP001422</t>
        </is>
      </c>
      <c r="B121" t="inlineStr">
        <is>
          <t>Female</t>
        </is>
      </c>
      <c r="C121" t="inlineStr">
        <is>
          <t>No</t>
        </is>
      </c>
      <c r="D121" t="n">
        <v>0</v>
      </c>
      <c r="E121" t="inlineStr">
        <is>
          <t>Graduate</t>
        </is>
      </c>
      <c r="F121" t="inlineStr">
        <is>
          <t>No</t>
        </is>
      </c>
      <c r="G121" t="n">
        <v>10408</v>
      </c>
      <c r="H121" t="n">
        <v>0</v>
      </c>
      <c r="I121" t="n">
        <v>259</v>
      </c>
      <c r="J121" t="n">
        <v>360</v>
      </c>
      <c r="K121" t="n">
        <v>1</v>
      </c>
      <c r="L121" t="inlineStr">
        <is>
          <t>Urban</t>
        </is>
      </c>
      <c r="M121" t="inlineStr">
        <is>
          <t>Y</t>
        </is>
      </c>
      <c r="N121">
        <f>IF(AND(K121=1,M121="Y"),"Lower Risk",IF(AND(K121=0,M121="N"),"High Risk","Medium Risk"))</f>
        <v/>
      </c>
    </row>
    <row r="122">
      <c r="A122" t="inlineStr">
        <is>
          <t>LP001426</t>
        </is>
      </c>
      <c r="B122" t="inlineStr">
        <is>
          <t>Male</t>
        </is>
      </c>
      <c r="C122" t="inlineStr">
        <is>
          <t>Yes</t>
        </is>
      </c>
      <c r="E122" t="inlineStr">
        <is>
          <t>Graduate</t>
        </is>
      </c>
      <c r="F122" t="inlineStr">
        <is>
          <t>No</t>
        </is>
      </c>
      <c r="G122" t="n">
        <v>5667</v>
      </c>
      <c r="H122" t="n">
        <v>2667</v>
      </c>
      <c r="I122" t="n">
        <v>180</v>
      </c>
      <c r="J122" t="n">
        <v>360</v>
      </c>
      <c r="K122" t="n">
        <v>1</v>
      </c>
      <c r="L122" t="inlineStr">
        <is>
          <t>Rural</t>
        </is>
      </c>
      <c r="M122" t="inlineStr">
        <is>
          <t>Y</t>
        </is>
      </c>
      <c r="N122">
        <f>IF(AND(K122=1,M122="Y"),"Lower Risk",IF(AND(K122=0,M122="N"),"High Risk","Medium Risk"))</f>
        <v/>
      </c>
    </row>
    <row r="123">
      <c r="A123" t="inlineStr">
        <is>
          <t>LP001430</t>
        </is>
      </c>
      <c r="B123" t="inlineStr">
        <is>
          <t>Female</t>
        </is>
      </c>
      <c r="C123" t="inlineStr">
        <is>
          <t>No</t>
        </is>
      </c>
      <c r="D123" t="n">
        <v>0</v>
      </c>
      <c r="E123" t="inlineStr">
        <is>
          <t>Graduate</t>
        </is>
      </c>
      <c r="F123" t="inlineStr">
        <is>
          <t>No</t>
        </is>
      </c>
      <c r="G123" t="n">
        <v>4166</v>
      </c>
      <c r="H123" t="n">
        <v>0</v>
      </c>
      <c r="I123" t="n">
        <v>44</v>
      </c>
      <c r="J123" t="n">
        <v>360</v>
      </c>
      <c r="K123" t="n">
        <v>1</v>
      </c>
      <c r="L123" t="inlineStr">
        <is>
          <t>Semiurban</t>
        </is>
      </c>
      <c r="M123" t="inlineStr">
        <is>
          <t>Y</t>
        </is>
      </c>
      <c r="N123">
        <f>IF(AND(K123=1,M123="Y"),"Lower Risk",IF(AND(K123=0,M123="N"),"High Risk","Medium Risk"))</f>
        <v/>
      </c>
    </row>
    <row r="124">
      <c r="A124" t="inlineStr">
        <is>
          <t>LP001431</t>
        </is>
      </c>
      <c r="B124" t="inlineStr">
        <is>
          <t>Female</t>
        </is>
      </c>
      <c r="C124" t="inlineStr">
        <is>
          <t>No</t>
        </is>
      </c>
      <c r="D124" t="n">
        <v>0</v>
      </c>
      <c r="E124" t="inlineStr">
        <is>
          <t>Graduate</t>
        </is>
      </c>
      <c r="F124" t="inlineStr">
        <is>
          <t>No</t>
        </is>
      </c>
      <c r="G124" t="n">
        <v>2137</v>
      </c>
      <c r="H124" t="n">
        <v>8980</v>
      </c>
      <c r="I124" t="n">
        <v>137</v>
      </c>
      <c r="J124" t="n">
        <v>360</v>
      </c>
      <c r="K124" t="n">
        <v>0</v>
      </c>
      <c r="L124" t="inlineStr">
        <is>
          <t>Semiurban</t>
        </is>
      </c>
      <c r="M124" t="inlineStr">
        <is>
          <t>Y</t>
        </is>
      </c>
      <c r="N124">
        <f>IF(AND(K124=1,M124="Y"),"Lower Risk",IF(AND(K124=0,M124="N"),"High Risk","Medium Risk"))</f>
        <v/>
      </c>
    </row>
    <row r="125">
      <c r="A125" t="inlineStr">
        <is>
          <t>LP001432</t>
        </is>
      </c>
      <c r="B125" t="inlineStr">
        <is>
          <t>Male</t>
        </is>
      </c>
      <c r="C125" t="inlineStr">
        <is>
          <t>Yes</t>
        </is>
      </c>
      <c r="D125" t="n">
        <v>2</v>
      </c>
      <c r="E125" t="inlineStr">
        <is>
          <t>Graduate</t>
        </is>
      </c>
      <c r="F125" t="inlineStr">
        <is>
          <t>No</t>
        </is>
      </c>
      <c r="G125" t="n">
        <v>2957</v>
      </c>
      <c r="H125" t="n">
        <v>0</v>
      </c>
      <c r="I125" t="n">
        <v>81</v>
      </c>
      <c r="J125" t="n">
        <v>360</v>
      </c>
      <c r="K125" t="n">
        <v>1</v>
      </c>
      <c r="L125" t="inlineStr">
        <is>
          <t>Semiurban</t>
        </is>
      </c>
      <c r="M125" t="inlineStr">
        <is>
          <t>Y</t>
        </is>
      </c>
      <c r="N125">
        <f>IF(AND(K125=1,M125="Y"),"Lower Risk",IF(AND(K125=0,M125="N"),"High Risk","Medium Risk"))</f>
        <v/>
      </c>
    </row>
    <row r="126">
      <c r="A126" t="inlineStr">
        <is>
          <t>LP001439</t>
        </is>
      </c>
      <c r="B126" t="inlineStr">
        <is>
          <t>Male</t>
        </is>
      </c>
      <c r="C126" t="inlineStr">
        <is>
          <t>Yes</t>
        </is>
      </c>
      <c r="D126" t="n">
        <v>0</v>
      </c>
      <c r="E126" t="inlineStr">
        <is>
          <t>Not Graduate</t>
        </is>
      </c>
      <c r="F126" t="inlineStr">
        <is>
          <t>No</t>
        </is>
      </c>
      <c r="G126" t="n">
        <v>4300</v>
      </c>
      <c r="H126" t="n">
        <v>2014</v>
      </c>
      <c r="I126" t="n">
        <v>194</v>
      </c>
      <c r="J126" t="n">
        <v>360</v>
      </c>
      <c r="K126" t="n">
        <v>1</v>
      </c>
      <c r="L126" t="inlineStr">
        <is>
          <t>Rural</t>
        </is>
      </c>
      <c r="M126" t="inlineStr">
        <is>
          <t>Y</t>
        </is>
      </c>
      <c r="N126">
        <f>IF(AND(K126=1,M126="Y"),"Lower Risk",IF(AND(K126=0,M126="N"),"High Risk","Medium Risk"))</f>
        <v/>
      </c>
    </row>
    <row r="127">
      <c r="A127" t="inlineStr">
        <is>
          <t>LP001443</t>
        </is>
      </c>
      <c r="B127" t="inlineStr">
        <is>
          <t>Female</t>
        </is>
      </c>
      <c r="C127" t="inlineStr">
        <is>
          <t>No</t>
        </is>
      </c>
      <c r="D127" t="n">
        <v>0</v>
      </c>
      <c r="E127" t="inlineStr">
        <is>
          <t>Graduate</t>
        </is>
      </c>
      <c r="F127" t="inlineStr">
        <is>
          <t>No</t>
        </is>
      </c>
      <c r="G127" t="n">
        <v>3692</v>
      </c>
      <c r="H127" t="n">
        <v>0</v>
      </c>
      <c r="I127" t="n">
        <v>93</v>
      </c>
      <c r="J127" t="n">
        <v>360</v>
      </c>
      <c r="L127" t="inlineStr">
        <is>
          <t>Rural</t>
        </is>
      </c>
      <c r="M127" t="inlineStr">
        <is>
          <t>Y</t>
        </is>
      </c>
      <c r="N127">
        <f>IF(AND(K127=1,M127="Y"),"Lower Risk",IF(AND(K127=0,M127="N"),"High Risk","Medium Risk"))</f>
        <v/>
      </c>
    </row>
    <row r="128">
      <c r="A128" t="inlineStr">
        <is>
          <t>LP001448</t>
        </is>
      </c>
      <c r="C128" t="inlineStr">
        <is>
          <t>Yes</t>
        </is>
      </c>
      <c r="D128" t="inlineStr">
        <is>
          <t>3+</t>
        </is>
      </c>
      <c r="E128" t="inlineStr">
        <is>
          <t>Graduate</t>
        </is>
      </c>
      <c r="F128" t="inlineStr">
        <is>
          <t>No</t>
        </is>
      </c>
      <c r="G128" t="n">
        <v>23803</v>
      </c>
      <c r="H128" t="n">
        <v>0</v>
      </c>
      <c r="I128" t="n">
        <v>370</v>
      </c>
      <c r="J128" t="n">
        <v>360</v>
      </c>
      <c r="K128" t="n">
        <v>1</v>
      </c>
      <c r="L128" t="inlineStr">
        <is>
          <t>Rural</t>
        </is>
      </c>
      <c r="M128" t="inlineStr">
        <is>
          <t>Y</t>
        </is>
      </c>
      <c r="N128">
        <f>IF(AND(K128=1,M128="Y"),"Lower Risk",IF(AND(K128=0,M128="N"),"High Risk","Medium Risk"))</f>
        <v/>
      </c>
    </row>
    <row r="129">
      <c r="A129" t="inlineStr">
        <is>
          <t>LP001449</t>
        </is>
      </c>
      <c r="B129" t="inlineStr">
        <is>
          <t>Male</t>
        </is>
      </c>
      <c r="C129" t="inlineStr">
        <is>
          <t>No</t>
        </is>
      </c>
      <c r="D129" t="n">
        <v>0</v>
      </c>
      <c r="E129" t="inlineStr">
        <is>
          <t>Graduate</t>
        </is>
      </c>
      <c r="F129" t="inlineStr">
        <is>
          <t>No</t>
        </is>
      </c>
      <c r="G129" t="n">
        <v>3865</v>
      </c>
      <c r="H129" t="n">
        <v>1640</v>
      </c>
      <c r="J129" t="n">
        <v>360</v>
      </c>
      <c r="K129" t="n">
        <v>1</v>
      </c>
      <c r="L129" t="inlineStr">
        <is>
          <t>Rural</t>
        </is>
      </c>
      <c r="M129" t="inlineStr">
        <is>
          <t>Y</t>
        </is>
      </c>
      <c r="N129">
        <f>IF(AND(K129=1,M129="Y"),"Lower Risk",IF(AND(K129=0,M129="N"),"High Risk","Medium Risk"))</f>
        <v/>
      </c>
    </row>
    <row r="130">
      <c r="A130" t="inlineStr">
        <is>
          <t>LP001451</t>
        </is>
      </c>
      <c r="B130" t="inlineStr">
        <is>
          <t>Male</t>
        </is>
      </c>
      <c r="C130" t="inlineStr">
        <is>
          <t>Yes</t>
        </is>
      </c>
      <c r="D130" t="n">
        <v>1</v>
      </c>
      <c r="E130" t="inlineStr">
        <is>
          <t>Graduate</t>
        </is>
      </c>
      <c r="F130" t="inlineStr">
        <is>
          <t>Yes</t>
        </is>
      </c>
      <c r="G130" t="n">
        <v>10513</v>
      </c>
      <c r="H130" t="n">
        <v>3850</v>
      </c>
      <c r="I130" t="n">
        <v>160</v>
      </c>
      <c r="J130" t="n">
        <v>180</v>
      </c>
      <c r="K130" t="n">
        <v>0</v>
      </c>
      <c r="L130" t="inlineStr">
        <is>
          <t>Urban</t>
        </is>
      </c>
      <c r="M130" t="inlineStr">
        <is>
          <t>N</t>
        </is>
      </c>
      <c r="N130">
        <f>IF(AND(K130=1,M130="Y"),"Lower Risk",IF(AND(K130=0,M130="N"),"High Risk","Medium Risk"))</f>
        <v/>
      </c>
    </row>
    <row r="131">
      <c r="A131" t="inlineStr">
        <is>
          <t>LP001465</t>
        </is>
      </c>
      <c r="B131" t="inlineStr">
        <is>
          <t>Male</t>
        </is>
      </c>
      <c r="C131" t="inlineStr">
        <is>
          <t>Yes</t>
        </is>
      </c>
      <c r="D131" t="n">
        <v>0</v>
      </c>
      <c r="E131" t="inlineStr">
        <is>
          <t>Graduate</t>
        </is>
      </c>
      <c r="F131" t="inlineStr">
        <is>
          <t>No</t>
        </is>
      </c>
      <c r="G131" t="n">
        <v>6080</v>
      </c>
      <c r="H131" t="n">
        <v>2569</v>
      </c>
      <c r="I131" t="n">
        <v>182</v>
      </c>
      <c r="J131" t="n">
        <v>360</v>
      </c>
      <c r="L131" t="inlineStr">
        <is>
          <t>Rural</t>
        </is>
      </c>
      <c r="M131" t="inlineStr">
        <is>
          <t>N</t>
        </is>
      </c>
      <c r="N131">
        <f>IF(AND(K131=1,M131="Y"),"Lower Risk",IF(AND(K131=0,M131="N"),"High Risk","Medium Risk"))</f>
        <v/>
      </c>
    </row>
    <row r="132">
      <c r="A132" t="inlineStr">
        <is>
          <t>LP001469</t>
        </is>
      </c>
      <c r="B132" t="inlineStr">
        <is>
          <t>Male</t>
        </is>
      </c>
      <c r="C132" t="inlineStr">
        <is>
          <t>No</t>
        </is>
      </c>
      <c r="D132" t="n">
        <v>0</v>
      </c>
      <c r="E132" t="inlineStr">
        <is>
          <t>Graduate</t>
        </is>
      </c>
      <c r="F132" t="inlineStr">
        <is>
          <t>Yes</t>
        </is>
      </c>
      <c r="G132" t="n">
        <v>20166</v>
      </c>
      <c r="H132" t="n">
        <v>0</v>
      </c>
      <c r="I132" t="n">
        <v>650</v>
      </c>
      <c r="J132" t="n">
        <v>480</v>
      </c>
      <c r="L132" t="inlineStr">
        <is>
          <t>Urban</t>
        </is>
      </c>
      <c r="M132" t="inlineStr">
        <is>
          <t>Y</t>
        </is>
      </c>
      <c r="N132">
        <f>IF(AND(K132=1,M132="Y"),"Lower Risk",IF(AND(K132=0,M132="N"),"High Risk","Medium Risk"))</f>
        <v/>
      </c>
    </row>
    <row r="133">
      <c r="A133" t="inlineStr">
        <is>
          <t>LP001473</t>
        </is>
      </c>
      <c r="B133" t="inlineStr">
        <is>
          <t>Male</t>
        </is>
      </c>
      <c r="C133" t="inlineStr">
        <is>
          <t>No</t>
        </is>
      </c>
      <c r="D133" t="n">
        <v>0</v>
      </c>
      <c r="E133" t="inlineStr">
        <is>
          <t>Graduate</t>
        </is>
      </c>
      <c r="F133" t="inlineStr">
        <is>
          <t>No</t>
        </is>
      </c>
      <c r="G133" t="n">
        <v>2014</v>
      </c>
      <c r="H133" t="n">
        <v>1929</v>
      </c>
      <c r="I133" t="n">
        <v>74</v>
      </c>
      <c r="J133" t="n">
        <v>360</v>
      </c>
      <c r="K133" t="n">
        <v>1</v>
      </c>
      <c r="L133" t="inlineStr">
        <is>
          <t>Urban</t>
        </is>
      </c>
      <c r="M133" t="inlineStr">
        <is>
          <t>Y</t>
        </is>
      </c>
      <c r="N133">
        <f>IF(AND(K133=1,M133="Y"),"Lower Risk",IF(AND(K133=0,M133="N"),"High Risk","Medium Risk"))</f>
        <v/>
      </c>
    </row>
    <row r="134">
      <c r="A134" t="inlineStr">
        <is>
          <t>LP001478</t>
        </is>
      </c>
      <c r="B134" t="inlineStr">
        <is>
          <t>Male</t>
        </is>
      </c>
      <c r="C134" t="inlineStr">
        <is>
          <t>No</t>
        </is>
      </c>
      <c r="D134" t="n">
        <v>0</v>
      </c>
      <c r="E134" t="inlineStr">
        <is>
          <t>Graduate</t>
        </is>
      </c>
      <c r="F134" t="inlineStr">
        <is>
          <t>No</t>
        </is>
      </c>
      <c r="G134" t="n">
        <v>2718</v>
      </c>
      <c r="H134" t="n">
        <v>0</v>
      </c>
      <c r="I134" t="n">
        <v>70</v>
      </c>
      <c r="J134" t="n">
        <v>360</v>
      </c>
      <c r="K134" t="n">
        <v>1</v>
      </c>
      <c r="L134" t="inlineStr">
        <is>
          <t>Semiurban</t>
        </is>
      </c>
      <c r="M134" t="inlineStr">
        <is>
          <t>Y</t>
        </is>
      </c>
      <c r="N134">
        <f>IF(AND(K134=1,M134="Y"),"Lower Risk",IF(AND(K134=0,M134="N"),"High Risk","Medium Risk"))</f>
        <v/>
      </c>
    </row>
    <row r="135">
      <c r="A135" t="inlineStr">
        <is>
          <t>LP001482</t>
        </is>
      </c>
      <c r="B135" t="inlineStr">
        <is>
          <t>Male</t>
        </is>
      </c>
      <c r="C135" t="inlineStr">
        <is>
          <t>Yes</t>
        </is>
      </c>
      <c r="D135" t="n">
        <v>0</v>
      </c>
      <c r="E135" t="inlineStr">
        <is>
          <t>Graduate</t>
        </is>
      </c>
      <c r="F135" t="inlineStr">
        <is>
          <t>Yes</t>
        </is>
      </c>
      <c r="G135" t="n">
        <v>3459</v>
      </c>
      <c r="H135" t="n">
        <v>0</v>
      </c>
      <c r="I135" t="n">
        <v>25</v>
      </c>
      <c r="J135" t="n">
        <v>120</v>
      </c>
      <c r="K135" t="n">
        <v>1</v>
      </c>
      <c r="L135" t="inlineStr">
        <is>
          <t>Semiurban</t>
        </is>
      </c>
      <c r="M135" t="inlineStr">
        <is>
          <t>Y</t>
        </is>
      </c>
      <c r="N135">
        <f>IF(AND(K135=1,M135="Y"),"Lower Risk",IF(AND(K135=0,M135="N"),"High Risk","Medium Risk"))</f>
        <v/>
      </c>
    </row>
    <row r="136">
      <c r="A136" t="inlineStr">
        <is>
          <t>LP001487</t>
        </is>
      </c>
      <c r="B136" t="inlineStr">
        <is>
          <t>Male</t>
        </is>
      </c>
      <c r="C136" t="inlineStr">
        <is>
          <t>No</t>
        </is>
      </c>
      <c r="D136" t="n">
        <v>0</v>
      </c>
      <c r="E136" t="inlineStr">
        <is>
          <t>Graduate</t>
        </is>
      </c>
      <c r="F136" t="inlineStr">
        <is>
          <t>No</t>
        </is>
      </c>
      <c r="G136" t="n">
        <v>4895</v>
      </c>
      <c r="H136" t="n">
        <v>0</v>
      </c>
      <c r="I136" t="n">
        <v>102</v>
      </c>
      <c r="J136" t="n">
        <v>360</v>
      </c>
      <c r="K136" t="n">
        <v>1</v>
      </c>
      <c r="L136" t="inlineStr">
        <is>
          <t>Semiurban</t>
        </is>
      </c>
      <c r="M136" t="inlineStr">
        <is>
          <t>Y</t>
        </is>
      </c>
      <c r="N136">
        <f>IF(AND(K136=1,M136="Y"),"Lower Risk",IF(AND(K136=0,M136="N"),"High Risk","Medium Risk"))</f>
        <v/>
      </c>
    </row>
    <row r="137">
      <c r="A137" t="inlineStr">
        <is>
          <t>LP001488</t>
        </is>
      </c>
      <c r="B137" t="inlineStr">
        <is>
          <t>Male</t>
        </is>
      </c>
      <c r="C137" t="inlineStr">
        <is>
          <t>Yes</t>
        </is>
      </c>
      <c r="D137" t="inlineStr">
        <is>
          <t>3+</t>
        </is>
      </c>
      <c r="E137" t="inlineStr">
        <is>
          <t>Graduate</t>
        </is>
      </c>
      <c r="F137" t="inlineStr">
        <is>
          <t>No</t>
        </is>
      </c>
      <c r="G137" t="n">
        <v>4000</v>
      </c>
      <c r="H137" t="n">
        <v>7750</v>
      </c>
      <c r="I137" t="n">
        <v>290</v>
      </c>
      <c r="J137" t="n">
        <v>360</v>
      </c>
      <c r="K137" t="n">
        <v>1</v>
      </c>
      <c r="L137" t="inlineStr">
        <is>
          <t>Semiurban</t>
        </is>
      </c>
      <c r="M137" t="inlineStr">
        <is>
          <t>N</t>
        </is>
      </c>
      <c r="N137">
        <f>IF(AND(K137=1,M137="Y"),"Lower Risk",IF(AND(K137=0,M137="N"),"High Risk","Medium Risk"))</f>
        <v/>
      </c>
    </row>
    <row r="138">
      <c r="A138" t="inlineStr">
        <is>
          <t>LP001489</t>
        </is>
      </c>
      <c r="B138" t="inlineStr">
        <is>
          <t>Female</t>
        </is>
      </c>
      <c r="C138" t="inlineStr">
        <is>
          <t>Yes</t>
        </is>
      </c>
      <c r="D138" t="n">
        <v>0</v>
      </c>
      <c r="E138" t="inlineStr">
        <is>
          <t>Graduate</t>
        </is>
      </c>
      <c r="F138" t="inlineStr">
        <is>
          <t>No</t>
        </is>
      </c>
      <c r="G138" t="n">
        <v>4583</v>
      </c>
      <c r="H138" t="n">
        <v>0</v>
      </c>
      <c r="I138" t="n">
        <v>84</v>
      </c>
      <c r="J138" t="n">
        <v>360</v>
      </c>
      <c r="K138" t="n">
        <v>1</v>
      </c>
      <c r="L138" t="inlineStr">
        <is>
          <t>Rural</t>
        </is>
      </c>
      <c r="M138" t="inlineStr">
        <is>
          <t>N</t>
        </is>
      </c>
      <c r="N138">
        <f>IF(AND(K138=1,M138="Y"),"Lower Risk",IF(AND(K138=0,M138="N"),"High Risk","Medium Risk"))</f>
        <v/>
      </c>
    </row>
    <row r="139">
      <c r="A139" t="inlineStr">
        <is>
          <t>LP001491</t>
        </is>
      </c>
      <c r="B139" t="inlineStr">
        <is>
          <t>Male</t>
        </is>
      </c>
      <c r="C139" t="inlineStr">
        <is>
          <t>Yes</t>
        </is>
      </c>
      <c r="D139" t="n">
        <v>2</v>
      </c>
      <c r="E139" t="inlineStr">
        <is>
          <t>Graduate</t>
        </is>
      </c>
      <c r="F139" t="inlineStr">
        <is>
          <t>Yes</t>
        </is>
      </c>
      <c r="G139" t="n">
        <v>3316</v>
      </c>
      <c r="H139" t="n">
        <v>3500</v>
      </c>
      <c r="I139" t="n">
        <v>88</v>
      </c>
      <c r="J139" t="n">
        <v>360</v>
      </c>
      <c r="K139" t="n">
        <v>1</v>
      </c>
      <c r="L139" t="inlineStr">
        <is>
          <t>Urban</t>
        </is>
      </c>
      <c r="M139" t="inlineStr">
        <is>
          <t>Y</t>
        </is>
      </c>
      <c r="N139">
        <f>IF(AND(K139=1,M139="Y"),"Lower Risk",IF(AND(K139=0,M139="N"),"High Risk","Medium Risk"))</f>
        <v/>
      </c>
    </row>
    <row r="140">
      <c r="A140" t="inlineStr">
        <is>
          <t>LP001492</t>
        </is>
      </c>
      <c r="B140" t="inlineStr">
        <is>
          <t>Male</t>
        </is>
      </c>
      <c r="C140" t="inlineStr">
        <is>
          <t>No</t>
        </is>
      </c>
      <c r="D140" t="n">
        <v>0</v>
      </c>
      <c r="E140" t="inlineStr">
        <is>
          <t>Graduate</t>
        </is>
      </c>
      <c r="F140" t="inlineStr">
        <is>
          <t>No</t>
        </is>
      </c>
      <c r="G140" t="n">
        <v>14999</v>
      </c>
      <c r="H140" t="n">
        <v>0</v>
      </c>
      <c r="I140" t="n">
        <v>242</v>
      </c>
      <c r="J140" t="n">
        <v>360</v>
      </c>
      <c r="K140" t="n">
        <v>0</v>
      </c>
      <c r="L140" t="inlineStr">
        <is>
          <t>Semiurban</t>
        </is>
      </c>
      <c r="M140" t="inlineStr">
        <is>
          <t>N</t>
        </is>
      </c>
      <c r="N140">
        <f>IF(AND(K140=1,M140="Y"),"Lower Risk",IF(AND(K140=0,M140="N"),"High Risk","Medium Risk"))</f>
        <v/>
      </c>
    </row>
    <row r="141">
      <c r="A141" t="inlineStr">
        <is>
          <t>LP001493</t>
        </is>
      </c>
      <c r="B141" t="inlineStr">
        <is>
          <t>Male</t>
        </is>
      </c>
      <c r="C141" t="inlineStr">
        <is>
          <t>Yes</t>
        </is>
      </c>
      <c r="D141" t="n">
        <v>2</v>
      </c>
      <c r="E141" t="inlineStr">
        <is>
          <t>Not Graduate</t>
        </is>
      </c>
      <c r="F141" t="inlineStr">
        <is>
          <t>No</t>
        </is>
      </c>
      <c r="G141" t="n">
        <v>4200</v>
      </c>
      <c r="H141" t="n">
        <v>1430</v>
      </c>
      <c r="I141" t="n">
        <v>129</v>
      </c>
      <c r="J141" t="n">
        <v>360</v>
      </c>
      <c r="K141" t="n">
        <v>1</v>
      </c>
      <c r="L141" t="inlineStr">
        <is>
          <t>Rural</t>
        </is>
      </c>
      <c r="M141" t="inlineStr">
        <is>
          <t>N</t>
        </is>
      </c>
      <c r="N141">
        <f>IF(AND(K141=1,M141="Y"),"Lower Risk",IF(AND(K141=0,M141="N"),"High Risk","Medium Risk"))</f>
        <v/>
      </c>
    </row>
    <row r="142">
      <c r="A142" t="inlineStr">
        <is>
          <t>LP001497</t>
        </is>
      </c>
      <c r="B142" t="inlineStr">
        <is>
          <t>Male</t>
        </is>
      </c>
      <c r="C142" t="inlineStr">
        <is>
          <t>Yes</t>
        </is>
      </c>
      <c r="D142" t="n">
        <v>2</v>
      </c>
      <c r="E142" t="inlineStr">
        <is>
          <t>Graduate</t>
        </is>
      </c>
      <c r="F142" t="inlineStr">
        <is>
          <t>No</t>
        </is>
      </c>
      <c r="G142" t="n">
        <v>5042</v>
      </c>
      <c r="H142" t="n">
        <v>2083</v>
      </c>
      <c r="I142" t="n">
        <v>185</v>
      </c>
      <c r="J142" t="n">
        <v>360</v>
      </c>
      <c r="K142" t="n">
        <v>1</v>
      </c>
      <c r="L142" t="inlineStr">
        <is>
          <t>Rural</t>
        </is>
      </c>
      <c r="M142" t="inlineStr">
        <is>
          <t>N</t>
        </is>
      </c>
      <c r="N142">
        <f>IF(AND(K142=1,M142="Y"),"Lower Risk",IF(AND(K142=0,M142="N"),"High Risk","Medium Risk"))</f>
        <v/>
      </c>
    </row>
    <row r="143">
      <c r="A143" t="inlineStr">
        <is>
          <t>LP001498</t>
        </is>
      </c>
      <c r="B143" t="inlineStr">
        <is>
          <t>Male</t>
        </is>
      </c>
      <c r="C143" t="inlineStr">
        <is>
          <t>No</t>
        </is>
      </c>
      <c r="D143" t="n">
        <v>0</v>
      </c>
      <c r="E143" t="inlineStr">
        <is>
          <t>Graduate</t>
        </is>
      </c>
      <c r="F143" t="inlineStr">
        <is>
          <t>No</t>
        </is>
      </c>
      <c r="G143" t="n">
        <v>5417</v>
      </c>
      <c r="H143" t="n">
        <v>0</v>
      </c>
      <c r="I143" t="n">
        <v>168</v>
      </c>
      <c r="J143" t="n">
        <v>360</v>
      </c>
      <c r="K143" t="n">
        <v>1</v>
      </c>
      <c r="L143" t="inlineStr">
        <is>
          <t>Urban</t>
        </is>
      </c>
      <c r="M143" t="inlineStr">
        <is>
          <t>Y</t>
        </is>
      </c>
      <c r="N143">
        <f>IF(AND(K143=1,M143="Y"),"Lower Risk",IF(AND(K143=0,M143="N"),"High Risk","Medium Risk"))</f>
        <v/>
      </c>
    </row>
    <row r="144">
      <c r="A144" t="inlineStr">
        <is>
          <t>LP001504</t>
        </is>
      </c>
      <c r="B144" t="inlineStr">
        <is>
          <t>Male</t>
        </is>
      </c>
      <c r="C144" t="inlineStr">
        <is>
          <t>No</t>
        </is>
      </c>
      <c r="D144" t="n">
        <v>0</v>
      </c>
      <c r="E144" t="inlineStr">
        <is>
          <t>Graduate</t>
        </is>
      </c>
      <c r="F144" t="inlineStr">
        <is>
          <t>Yes</t>
        </is>
      </c>
      <c r="G144" t="n">
        <v>6950</v>
      </c>
      <c r="H144" t="n">
        <v>0</v>
      </c>
      <c r="I144" t="n">
        <v>175</v>
      </c>
      <c r="J144" t="n">
        <v>180</v>
      </c>
      <c r="K144" t="n">
        <v>1</v>
      </c>
      <c r="L144" t="inlineStr">
        <is>
          <t>Semiurban</t>
        </is>
      </c>
      <c r="M144" t="inlineStr">
        <is>
          <t>Y</t>
        </is>
      </c>
      <c r="N144">
        <f>IF(AND(K144=1,M144="Y"),"Lower Risk",IF(AND(K144=0,M144="N"),"High Risk","Medium Risk"))</f>
        <v/>
      </c>
    </row>
    <row r="145">
      <c r="A145" t="inlineStr">
        <is>
          <t>LP001507</t>
        </is>
      </c>
      <c r="B145" t="inlineStr">
        <is>
          <t>Male</t>
        </is>
      </c>
      <c r="C145" t="inlineStr">
        <is>
          <t>Yes</t>
        </is>
      </c>
      <c r="D145" t="n">
        <v>0</v>
      </c>
      <c r="E145" t="inlineStr">
        <is>
          <t>Graduate</t>
        </is>
      </c>
      <c r="F145" t="inlineStr">
        <is>
          <t>No</t>
        </is>
      </c>
      <c r="G145" t="n">
        <v>2698</v>
      </c>
      <c r="H145" t="n">
        <v>2034</v>
      </c>
      <c r="I145" t="n">
        <v>122</v>
      </c>
      <c r="J145" t="n">
        <v>360</v>
      </c>
      <c r="K145" t="n">
        <v>1</v>
      </c>
      <c r="L145" t="inlineStr">
        <is>
          <t>Semiurban</t>
        </is>
      </c>
      <c r="M145" t="inlineStr">
        <is>
          <t>Y</t>
        </is>
      </c>
      <c r="N145">
        <f>IF(AND(K145=1,M145="Y"),"Lower Risk",IF(AND(K145=0,M145="N"),"High Risk","Medium Risk"))</f>
        <v/>
      </c>
    </row>
    <row r="146">
      <c r="A146" t="inlineStr">
        <is>
          <t>LP001508</t>
        </is>
      </c>
      <c r="B146" t="inlineStr">
        <is>
          <t>Male</t>
        </is>
      </c>
      <c r="C146" t="inlineStr">
        <is>
          <t>Yes</t>
        </is>
      </c>
      <c r="D146" t="n">
        <v>2</v>
      </c>
      <c r="E146" t="inlineStr">
        <is>
          <t>Graduate</t>
        </is>
      </c>
      <c r="F146" t="inlineStr">
        <is>
          <t>No</t>
        </is>
      </c>
      <c r="G146" t="n">
        <v>11757</v>
      </c>
      <c r="H146" t="n">
        <v>0</v>
      </c>
      <c r="I146" t="n">
        <v>187</v>
      </c>
      <c r="J146" t="n">
        <v>180</v>
      </c>
      <c r="K146" t="n">
        <v>1</v>
      </c>
      <c r="L146" t="inlineStr">
        <is>
          <t>Urban</t>
        </is>
      </c>
      <c r="M146" t="inlineStr">
        <is>
          <t>Y</t>
        </is>
      </c>
      <c r="N146">
        <f>IF(AND(K146=1,M146="Y"),"Lower Risk",IF(AND(K146=0,M146="N"),"High Risk","Medium Risk"))</f>
        <v/>
      </c>
    </row>
    <row r="147">
      <c r="A147" t="inlineStr">
        <is>
          <t>LP001514</t>
        </is>
      </c>
      <c r="B147" t="inlineStr">
        <is>
          <t>Female</t>
        </is>
      </c>
      <c r="C147" t="inlineStr">
        <is>
          <t>Yes</t>
        </is>
      </c>
      <c r="D147" t="n">
        <v>0</v>
      </c>
      <c r="E147" t="inlineStr">
        <is>
          <t>Graduate</t>
        </is>
      </c>
      <c r="F147" t="inlineStr">
        <is>
          <t>No</t>
        </is>
      </c>
      <c r="G147" t="n">
        <v>2330</v>
      </c>
      <c r="H147" t="n">
        <v>4486</v>
      </c>
      <c r="I147" t="n">
        <v>100</v>
      </c>
      <c r="J147" t="n">
        <v>360</v>
      </c>
      <c r="K147" t="n">
        <v>1</v>
      </c>
      <c r="L147" t="inlineStr">
        <is>
          <t>Semiurban</t>
        </is>
      </c>
      <c r="M147" t="inlineStr">
        <is>
          <t>Y</t>
        </is>
      </c>
      <c r="N147">
        <f>IF(AND(K147=1,M147="Y"),"Lower Risk",IF(AND(K147=0,M147="N"),"High Risk","Medium Risk"))</f>
        <v/>
      </c>
    </row>
    <row r="148">
      <c r="A148" t="inlineStr">
        <is>
          <t>LP001516</t>
        </is>
      </c>
      <c r="B148" t="inlineStr">
        <is>
          <t>Female</t>
        </is>
      </c>
      <c r="C148" t="inlineStr">
        <is>
          <t>Yes</t>
        </is>
      </c>
      <c r="D148" t="n">
        <v>2</v>
      </c>
      <c r="E148" t="inlineStr">
        <is>
          <t>Graduate</t>
        </is>
      </c>
      <c r="F148" t="inlineStr">
        <is>
          <t>No</t>
        </is>
      </c>
      <c r="G148" t="n">
        <v>14866</v>
      </c>
      <c r="H148" t="n">
        <v>0</v>
      </c>
      <c r="I148" t="n">
        <v>70</v>
      </c>
      <c r="J148" t="n">
        <v>360</v>
      </c>
      <c r="K148" t="n">
        <v>1</v>
      </c>
      <c r="L148" t="inlineStr">
        <is>
          <t>Urban</t>
        </is>
      </c>
      <c r="M148" t="inlineStr">
        <is>
          <t>Y</t>
        </is>
      </c>
      <c r="N148">
        <f>IF(AND(K148=1,M148="Y"),"Lower Risk",IF(AND(K148=0,M148="N"),"High Risk","Medium Risk"))</f>
        <v/>
      </c>
    </row>
    <row r="149">
      <c r="A149" t="inlineStr">
        <is>
          <t>LP001518</t>
        </is>
      </c>
      <c r="B149" t="inlineStr">
        <is>
          <t>Male</t>
        </is>
      </c>
      <c r="C149" t="inlineStr">
        <is>
          <t>Yes</t>
        </is>
      </c>
      <c r="D149" t="n">
        <v>1</v>
      </c>
      <c r="E149" t="inlineStr">
        <is>
          <t>Graduate</t>
        </is>
      </c>
      <c r="F149" t="inlineStr">
        <is>
          <t>No</t>
        </is>
      </c>
      <c r="G149" t="n">
        <v>1538</v>
      </c>
      <c r="H149" t="n">
        <v>1425</v>
      </c>
      <c r="I149" t="n">
        <v>30</v>
      </c>
      <c r="J149" t="n">
        <v>360</v>
      </c>
      <c r="K149" t="n">
        <v>1</v>
      </c>
      <c r="L149" t="inlineStr">
        <is>
          <t>Urban</t>
        </is>
      </c>
      <c r="M149" t="inlineStr">
        <is>
          <t>Y</t>
        </is>
      </c>
      <c r="N149">
        <f>IF(AND(K149=1,M149="Y"),"Lower Risk",IF(AND(K149=0,M149="N"),"High Risk","Medium Risk"))</f>
        <v/>
      </c>
    </row>
    <row r="150">
      <c r="A150" t="inlineStr">
        <is>
          <t>LP001519</t>
        </is>
      </c>
      <c r="B150" t="inlineStr">
        <is>
          <t>Female</t>
        </is>
      </c>
      <c r="C150" t="inlineStr">
        <is>
          <t>No</t>
        </is>
      </c>
      <c r="D150" t="n">
        <v>0</v>
      </c>
      <c r="E150" t="inlineStr">
        <is>
          <t>Graduate</t>
        </is>
      </c>
      <c r="F150" t="inlineStr">
        <is>
          <t>No</t>
        </is>
      </c>
      <c r="G150" t="n">
        <v>10000</v>
      </c>
      <c r="H150" t="n">
        <v>1666</v>
      </c>
      <c r="I150" t="n">
        <v>225</v>
      </c>
      <c r="J150" t="n">
        <v>360</v>
      </c>
      <c r="K150" t="n">
        <v>1</v>
      </c>
      <c r="L150" t="inlineStr">
        <is>
          <t>Rural</t>
        </is>
      </c>
      <c r="M150" t="inlineStr">
        <is>
          <t>N</t>
        </is>
      </c>
      <c r="N150">
        <f>IF(AND(K150=1,M150="Y"),"Lower Risk",IF(AND(K150=0,M150="N"),"High Risk","Medium Risk"))</f>
        <v/>
      </c>
    </row>
    <row r="151">
      <c r="A151" t="inlineStr">
        <is>
          <t>LP001520</t>
        </is>
      </c>
      <c r="B151" t="inlineStr">
        <is>
          <t>Male</t>
        </is>
      </c>
      <c r="C151" t="inlineStr">
        <is>
          <t>Yes</t>
        </is>
      </c>
      <c r="D151" t="n">
        <v>0</v>
      </c>
      <c r="E151" t="inlineStr">
        <is>
          <t>Graduate</t>
        </is>
      </c>
      <c r="F151" t="inlineStr">
        <is>
          <t>No</t>
        </is>
      </c>
      <c r="G151" t="n">
        <v>4860</v>
      </c>
      <c r="H151" t="n">
        <v>830</v>
      </c>
      <c r="I151" t="n">
        <v>125</v>
      </c>
      <c r="J151" t="n">
        <v>360</v>
      </c>
      <c r="K151" t="n">
        <v>1</v>
      </c>
      <c r="L151" t="inlineStr">
        <is>
          <t>Semiurban</t>
        </is>
      </c>
      <c r="M151" t="inlineStr">
        <is>
          <t>Y</t>
        </is>
      </c>
      <c r="N151">
        <f>IF(AND(K151=1,M151="Y"),"Lower Risk",IF(AND(K151=0,M151="N"),"High Risk","Medium Risk"))</f>
        <v/>
      </c>
    </row>
    <row r="152">
      <c r="A152" t="inlineStr">
        <is>
          <t>LP001528</t>
        </is>
      </c>
      <c r="B152" t="inlineStr">
        <is>
          <t>Male</t>
        </is>
      </c>
      <c r="C152" t="inlineStr">
        <is>
          <t>No</t>
        </is>
      </c>
      <c r="D152" t="n">
        <v>0</v>
      </c>
      <c r="E152" t="inlineStr">
        <is>
          <t>Graduate</t>
        </is>
      </c>
      <c r="F152" t="inlineStr">
        <is>
          <t>No</t>
        </is>
      </c>
      <c r="G152" t="n">
        <v>6277</v>
      </c>
      <c r="H152" t="n">
        <v>0</v>
      </c>
      <c r="I152" t="n">
        <v>118</v>
      </c>
      <c r="J152" t="n">
        <v>360</v>
      </c>
      <c r="K152" t="n">
        <v>0</v>
      </c>
      <c r="L152" t="inlineStr">
        <is>
          <t>Rural</t>
        </is>
      </c>
      <c r="M152" t="inlineStr">
        <is>
          <t>N</t>
        </is>
      </c>
      <c r="N152">
        <f>IF(AND(K152=1,M152="Y"),"Lower Risk",IF(AND(K152=0,M152="N"),"High Risk","Medium Risk"))</f>
        <v/>
      </c>
    </row>
    <row r="153">
      <c r="A153" t="inlineStr">
        <is>
          <t>LP001529</t>
        </is>
      </c>
      <c r="B153" t="inlineStr">
        <is>
          <t>Male</t>
        </is>
      </c>
      <c r="C153" t="inlineStr">
        <is>
          <t>Yes</t>
        </is>
      </c>
      <c r="D153" t="n">
        <v>0</v>
      </c>
      <c r="E153" t="inlineStr">
        <is>
          <t>Graduate</t>
        </is>
      </c>
      <c r="F153" t="inlineStr">
        <is>
          <t>Yes</t>
        </is>
      </c>
      <c r="G153" t="n">
        <v>2577</v>
      </c>
      <c r="H153" t="n">
        <v>3750</v>
      </c>
      <c r="I153" t="n">
        <v>152</v>
      </c>
      <c r="J153" t="n">
        <v>360</v>
      </c>
      <c r="K153" t="n">
        <v>1</v>
      </c>
      <c r="L153" t="inlineStr">
        <is>
          <t>Rural</t>
        </is>
      </c>
      <c r="M153" t="inlineStr">
        <is>
          <t>Y</t>
        </is>
      </c>
      <c r="N153">
        <f>IF(AND(K153=1,M153="Y"),"Lower Risk",IF(AND(K153=0,M153="N"),"High Risk","Medium Risk"))</f>
        <v/>
      </c>
    </row>
    <row r="154">
      <c r="A154" t="inlineStr">
        <is>
          <t>LP001531</t>
        </is>
      </c>
      <c r="B154" t="inlineStr">
        <is>
          <t>Male</t>
        </is>
      </c>
      <c r="C154" t="inlineStr">
        <is>
          <t>No</t>
        </is>
      </c>
      <c r="D154" t="n">
        <v>0</v>
      </c>
      <c r="E154" t="inlineStr">
        <is>
          <t>Graduate</t>
        </is>
      </c>
      <c r="F154" t="inlineStr">
        <is>
          <t>No</t>
        </is>
      </c>
      <c r="G154" t="n">
        <v>9166</v>
      </c>
      <c r="H154" t="n">
        <v>0</v>
      </c>
      <c r="I154" t="n">
        <v>244</v>
      </c>
      <c r="J154" t="n">
        <v>360</v>
      </c>
      <c r="K154" t="n">
        <v>1</v>
      </c>
      <c r="L154" t="inlineStr">
        <is>
          <t>Urban</t>
        </is>
      </c>
      <c r="M154" t="inlineStr">
        <is>
          <t>N</t>
        </is>
      </c>
      <c r="N154">
        <f>IF(AND(K154=1,M154="Y"),"Lower Risk",IF(AND(K154=0,M154="N"),"High Risk","Medium Risk"))</f>
        <v/>
      </c>
    </row>
    <row r="155">
      <c r="A155" t="inlineStr">
        <is>
          <t>LP001532</t>
        </is>
      </c>
      <c r="B155" t="inlineStr">
        <is>
          <t>Male</t>
        </is>
      </c>
      <c r="C155" t="inlineStr">
        <is>
          <t>Yes</t>
        </is>
      </c>
      <c r="D155" t="n">
        <v>2</v>
      </c>
      <c r="E155" t="inlineStr">
        <is>
          <t>Not Graduate</t>
        </is>
      </c>
      <c r="F155" t="inlineStr">
        <is>
          <t>No</t>
        </is>
      </c>
      <c r="G155" t="n">
        <v>2281</v>
      </c>
      <c r="H155" t="n">
        <v>0</v>
      </c>
      <c r="I155" t="n">
        <v>113</v>
      </c>
      <c r="J155" t="n">
        <v>360</v>
      </c>
      <c r="K155" t="n">
        <v>1</v>
      </c>
      <c r="L155" t="inlineStr">
        <is>
          <t>Rural</t>
        </is>
      </c>
      <c r="M155" t="inlineStr">
        <is>
          <t>N</t>
        </is>
      </c>
      <c r="N155">
        <f>IF(AND(K155=1,M155="Y"),"Lower Risk",IF(AND(K155=0,M155="N"),"High Risk","Medium Risk"))</f>
        <v/>
      </c>
    </row>
    <row r="156">
      <c r="A156" t="inlineStr">
        <is>
          <t>LP001535</t>
        </is>
      </c>
      <c r="B156" t="inlineStr">
        <is>
          <t>Male</t>
        </is>
      </c>
      <c r="C156" t="inlineStr">
        <is>
          <t>No</t>
        </is>
      </c>
      <c r="D156" t="n">
        <v>0</v>
      </c>
      <c r="E156" t="inlineStr">
        <is>
          <t>Graduate</t>
        </is>
      </c>
      <c r="F156" t="inlineStr">
        <is>
          <t>No</t>
        </is>
      </c>
      <c r="G156" t="n">
        <v>3254</v>
      </c>
      <c r="H156" t="n">
        <v>0</v>
      </c>
      <c r="I156" t="n">
        <v>50</v>
      </c>
      <c r="J156" t="n">
        <v>360</v>
      </c>
      <c r="K156" t="n">
        <v>1</v>
      </c>
      <c r="L156" t="inlineStr">
        <is>
          <t>Urban</t>
        </is>
      </c>
      <c r="M156" t="inlineStr">
        <is>
          <t>Y</t>
        </is>
      </c>
      <c r="N156">
        <f>IF(AND(K156=1,M156="Y"),"Lower Risk",IF(AND(K156=0,M156="N"),"High Risk","Medium Risk"))</f>
        <v/>
      </c>
    </row>
    <row r="157">
      <c r="A157" t="inlineStr">
        <is>
          <t>LP001536</t>
        </is>
      </c>
      <c r="B157" t="inlineStr">
        <is>
          <t>Male</t>
        </is>
      </c>
      <c r="C157" t="inlineStr">
        <is>
          <t>Yes</t>
        </is>
      </c>
      <c r="D157" t="inlineStr">
        <is>
          <t>3+</t>
        </is>
      </c>
      <c r="E157" t="inlineStr">
        <is>
          <t>Graduate</t>
        </is>
      </c>
      <c r="F157" t="inlineStr">
        <is>
          <t>No</t>
        </is>
      </c>
      <c r="G157" t="n">
        <v>39999</v>
      </c>
      <c r="H157" t="n">
        <v>0</v>
      </c>
      <c r="I157" t="n">
        <v>600</v>
      </c>
      <c r="J157" t="n">
        <v>180</v>
      </c>
      <c r="K157" t="n">
        <v>0</v>
      </c>
      <c r="L157" t="inlineStr">
        <is>
          <t>Semiurban</t>
        </is>
      </c>
      <c r="M157" t="inlineStr">
        <is>
          <t>Y</t>
        </is>
      </c>
      <c r="N157">
        <f>IF(AND(K157=1,M157="Y"),"Lower Risk",IF(AND(K157=0,M157="N"),"High Risk","Medium Risk"))</f>
        <v/>
      </c>
    </row>
    <row r="158">
      <c r="A158" t="inlineStr">
        <is>
          <t>LP001541</t>
        </is>
      </c>
      <c r="B158" t="inlineStr">
        <is>
          <t>Male</t>
        </is>
      </c>
      <c r="C158" t="inlineStr">
        <is>
          <t>Yes</t>
        </is>
      </c>
      <c r="D158" t="n">
        <v>1</v>
      </c>
      <c r="E158" t="inlineStr">
        <is>
          <t>Graduate</t>
        </is>
      </c>
      <c r="F158" t="inlineStr">
        <is>
          <t>No</t>
        </is>
      </c>
      <c r="G158" t="n">
        <v>6000</v>
      </c>
      <c r="H158" t="n">
        <v>0</v>
      </c>
      <c r="I158" t="n">
        <v>160</v>
      </c>
      <c r="J158" t="n">
        <v>360</v>
      </c>
      <c r="L158" t="inlineStr">
        <is>
          <t>Rural</t>
        </is>
      </c>
      <c r="M158" t="inlineStr">
        <is>
          <t>Y</t>
        </is>
      </c>
      <c r="N158">
        <f>IF(AND(K158=1,M158="Y"),"Lower Risk",IF(AND(K158=0,M158="N"),"High Risk","Medium Risk"))</f>
        <v/>
      </c>
    </row>
    <row r="159">
      <c r="A159" t="inlineStr">
        <is>
          <t>LP001543</t>
        </is>
      </c>
      <c r="B159" t="inlineStr">
        <is>
          <t>Male</t>
        </is>
      </c>
      <c r="C159" t="inlineStr">
        <is>
          <t>Yes</t>
        </is>
      </c>
      <c r="D159" t="n">
        <v>1</v>
      </c>
      <c r="E159" t="inlineStr">
        <is>
          <t>Graduate</t>
        </is>
      </c>
      <c r="F159" t="inlineStr">
        <is>
          <t>No</t>
        </is>
      </c>
      <c r="G159" t="n">
        <v>9538</v>
      </c>
      <c r="H159" t="n">
        <v>0</v>
      </c>
      <c r="I159" t="n">
        <v>187</v>
      </c>
      <c r="J159" t="n">
        <v>360</v>
      </c>
      <c r="K159" t="n">
        <v>1</v>
      </c>
      <c r="L159" t="inlineStr">
        <is>
          <t>Urban</t>
        </is>
      </c>
      <c r="M159" t="inlineStr">
        <is>
          <t>Y</t>
        </is>
      </c>
      <c r="N159">
        <f>IF(AND(K159=1,M159="Y"),"Lower Risk",IF(AND(K159=0,M159="N"),"High Risk","Medium Risk"))</f>
        <v/>
      </c>
    </row>
    <row r="160">
      <c r="A160" t="inlineStr">
        <is>
          <t>LP001546</t>
        </is>
      </c>
      <c r="B160" t="inlineStr">
        <is>
          <t>Male</t>
        </is>
      </c>
      <c r="C160" t="inlineStr">
        <is>
          <t>No</t>
        </is>
      </c>
      <c r="D160" t="n">
        <v>0</v>
      </c>
      <c r="E160" t="inlineStr">
        <is>
          <t>Graduate</t>
        </is>
      </c>
      <c r="G160" t="n">
        <v>2980</v>
      </c>
      <c r="H160" t="n">
        <v>2083</v>
      </c>
      <c r="I160" t="n">
        <v>120</v>
      </c>
      <c r="J160" t="n">
        <v>360</v>
      </c>
      <c r="K160" t="n">
        <v>1</v>
      </c>
      <c r="L160" t="inlineStr">
        <is>
          <t>Rural</t>
        </is>
      </c>
      <c r="M160" t="inlineStr">
        <is>
          <t>Y</t>
        </is>
      </c>
      <c r="N160">
        <f>IF(AND(K160=1,M160="Y"),"Lower Risk",IF(AND(K160=0,M160="N"),"High Risk","Medium Risk"))</f>
        <v/>
      </c>
    </row>
    <row r="161">
      <c r="A161" t="inlineStr">
        <is>
          <t>LP001552</t>
        </is>
      </c>
      <c r="B161" t="inlineStr">
        <is>
          <t>Male</t>
        </is>
      </c>
      <c r="C161" t="inlineStr">
        <is>
          <t>Yes</t>
        </is>
      </c>
      <c r="D161" t="n">
        <v>0</v>
      </c>
      <c r="E161" t="inlineStr">
        <is>
          <t>Graduate</t>
        </is>
      </c>
      <c r="F161" t="inlineStr">
        <is>
          <t>No</t>
        </is>
      </c>
      <c r="G161" t="n">
        <v>4583</v>
      </c>
      <c r="H161" t="n">
        <v>5625</v>
      </c>
      <c r="I161" t="n">
        <v>255</v>
      </c>
      <c r="J161" t="n">
        <v>360</v>
      </c>
      <c r="K161" t="n">
        <v>1</v>
      </c>
      <c r="L161" t="inlineStr">
        <is>
          <t>Semiurban</t>
        </is>
      </c>
      <c r="M161" t="inlineStr">
        <is>
          <t>Y</t>
        </is>
      </c>
      <c r="N161">
        <f>IF(AND(K161=1,M161="Y"),"Lower Risk",IF(AND(K161=0,M161="N"),"High Risk","Medium Risk"))</f>
        <v/>
      </c>
    </row>
    <row r="162">
      <c r="A162" t="inlineStr">
        <is>
          <t>LP001560</t>
        </is>
      </c>
      <c r="B162" t="inlineStr">
        <is>
          <t>Male</t>
        </is>
      </c>
      <c r="C162" t="inlineStr">
        <is>
          <t>Yes</t>
        </is>
      </c>
      <c r="D162" t="n">
        <v>0</v>
      </c>
      <c r="E162" t="inlineStr">
        <is>
          <t>Not Graduate</t>
        </is>
      </c>
      <c r="F162" t="inlineStr">
        <is>
          <t>No</t>
        </is>
      </c>
      <c r="G162" t="n">
        <v>1863</v>
      </c>
      <c r="H162" t="n">
        <v>1041</v>
      </c>
      <c r="I162" t="n">
        <v>98</v>
      </c>
      <c r="J162" t="n">
        <v>360</v>
      </c>
      <c r="K162" t="n">
        <v>1</v>
      </c>
      <c r="L162" t="inlineStr">
        <is>
          <t>Semiurban</t>
        </is>
      </c>
      <c r="M162" t="inlineStr">
        <is>
          <t>Y</t>
        </is>
      </c>
      <c r="N162">
        <f>IF(AND(K162=1,M162="Y"),"Lower Risk",IF(AND(K162=0,M162="N"),"High Risk","Medium Risk"))</f>
        <v/>
      </c>
    </row>
    <row r="163">
      <c r="A163" t="inlineStr">
        <is>
          <t>LP001562</t>
        </is>
      </c>
      <c r="B163" t="inlineStr">
        <is>
          <t>Male</t>
        </is>
      </c>
      <c r="C163" t="inlineStr">
        <is>
          <t>Yes</t>
        </is>
      </c>
      <c r="D163" t="n">
        <v>0</v>
      </c>
      <c r="E163" t="inlineStr">
        <is>
          <t>Graduate</t>
        </is>
      </c>
      <c r="F163" t="inlineStr">
        <is>
          <t>No</t>
        </is>
      </c>
      <c r="G163" t="n">
        <v>7933</v>
      </c>
      <c r="H163" t="n">
        <v>0</v>
      </c>
      <c r="I163" t="n">
        <v>275</v>
      </c>
      <c r="J163" t="n">
        <v>360</v>
      </c>
      <c r="K163" t="n">
        <v>1</v>
      </c>
      <c r="L163" t="inlineStr">
        <is>
          <t>Urban</t>
        </is>
      </c>
      <c r="M163" t="inlineStr">
        <is>
          <t>N</t>
        </is>
      </c>
      <c r="N163">
        <f>IF(AND(K163=1,M163="Y"),"Lower Risk",IF(AND(K163=0,M163="N"),"High Risk","Medium Risk"))</f>
        <v/>
      </c>
    </row>
    <row r="164">
      <c r="A164" t="inlineStr">
        <is>
          <t>LP001565</t>
        </is>
      </c>
      <c r="B164" t="inlineStr">
        <is>
          <t>Male</t>
        </is>
      </c>
      <c r="C164" t="inlineStr">
        <is>
          <t>Yes</t>
        </is>
      </c>
      <c r="D164" t="n">
        <v>1</v>
      </c>
      <c r="E164" t="inlineStr">
        <is>
          <t>Graduate</t>
        </is>
      </c>
      <c r="F164" t="inlineStr">
        <is>
          <t>No</t>
        </is>
      </c>
      <c r="G164" t="n">
        <v>3089</v>
      </c>
      <c r="H164" t="n">
        <v>1280</v>
      </c>
      <c r="I164" t="n">
        <v>121</v>
      </c>
      <c r="J164" t="n">
        <v>360</v>
      </c>
      <c r="K164" t="n">
        <v>0</v>
      </c>
      <c r="L164" t="inlineStr">
        <is>
          <t>Semiurban</t>
        </is>
      </c>
      <c r="M164" t="inlineStr">
        <is>
          <t>N</t>
        </is>
      </c>
      <c r="N164">
        <f>IF(AND(K164=1,M164="Y"),"Lower Risk",IF(AND(K164=0,M164="N"),"High Risk","Medium Risk"))</f>
        <v/>
      </c>
    </row>
    <row r="165">
      <c r="A165" t="inlineStr">
        <is>
          <t>LP001570</t>
        </is>
      </c>
      <c r="B165" t="inlineStr">
        <is>
          <t>Male</t>
        </is>
      </c>
      <c r="C165" t="inlineStr">
        <is>
          <t>Yes</t>
        </is>
      </c>
      <c r="D165" t="n">
        <v>2</v>
      </c>
      <c r="E165" t="inlineStr">
        <is>
          <t>Graduate</t>
        </is>
      </c>
      <c r="F165" t="inlineStr">
        <is>
          <t>No</t>
        </is>
      </c>
      <c r="G165" t="n">
        <v>4167</v>
      </c>
      <c r="H165" t="n">
        <v>1447</v>
      </c>
      <c r="I165" t="n">
        <v>158</v>
      </c>
      <c r="J165" t="n">
        <v>360</v>
      </c>
      <c r="K165" t="n">
        <v>1</v>
      </c>
      <c r="L165" t="inlineStr">
        <is>
          <t>Rural</t>
        </is>
      </c>
      <c r="M165" t="inlineStr">
        <is>
          <t>Y</t>
        </is>
      </c>
      <c r="N165">
        <f>IF(AND(K165=1,M165="Y"),"Lower Risk",IF(AND(K165=0,M165="N"),"High Risk","Medium Risk"))</f>
        <v/>
      </c>
    </row>
    <row r="166">
      <c r="A166" t="inlineStr">
        <is>
          <t>LP001572</t>
        </is>
      </c>
      <c r="B166" t="inlineStr">
        <is>
          <t>Male</t>
        </is>
      </c>
      <c r="C166" t="inlineStr">
        <is>
          <t>Yes</t>
        </is>
      </c>
      <c r="D166" t="n">
        <v>0</v>
      </c>
      <c r="E166" t="inlineStr">
        <is>
          <t>Graduate</t>
        </is>
      </c>
      <c r="F166" t="inlineStr">
        <is>
          <t>No</t>
        </is>
      </c>
      <c r="G166" t="n">
        <v>9323</v>
      </c>
      <c r="H166" t="n">
        <v>0</v>
      </c>
      <c r="I166" t="n">
        <v>75</v>
      </c>
      <c r="J166" t="n">
        <v>180</v>
      </c>
      <c r="K166" t="n">
        <v>1</v>
      </c>
      <c r="L166" t="inlineStr">
        <is>
          <t>Urban</t>
        </is>
      </c>
      <c r="M166" t="inlineStr">
        <is>
          <t>Y</t>
        </is>
      </c>
      <c r="N166">
        <f>IF(AND(K166=1,M166="Y"),"Lower Risk",IF(AND(K166=0,M166="N"),"High Risk","Medium Risk"))</f>
        <v/>
      </c>
    </row>
    <row r="167">
      <c r="A167" t="inlineStr">
        <is>
          <t>LP001574</t>
        </is>
      </c>
      <c r="B167" t="inlineStr">
        <is>
          <t>Male</t>
        </is>
      </c>
      <c r="C167" t="inlineStr">
        <is>
          <t>Yes</t>
        </is>
      </c>
      <c r="D167" t="n">
        <v>0</v>
      </c>
      <c r="E167" t="inlineStr">
        <is>
          <t>Graduate</t>
        </is>
      </c>
      <c r="F167" t="inlineStr">
        <is>
          <t>No</t>
        </is>
      </c>
      <c r="G167" t="n">
        <v>3707</v>
      </c>
      <c r="H167" t="n">
        <v>3166</v>
      </c>
      <c r="I167" t="n">
        <v>182</v>
      </c>
      <c r="K167" t="n">
        <v>1</v>
      </c>
      <c r="L167" t="inlineStr">
        <is>
          <t>Rural</t>
        </is>
      </c>
      <c r="M167" t="inlineStr">
        <is>
          <t>Y</t>
        </is>
      </c>
      <c r="N167">
        <f>IF(AND(K167=1,M167="Y"),"Lower Risk",IF(AND(K167=0,M167="N"),"High Risk","Medium Risk"))</f>
        <v/>
      </c>
    </row>
    <row r="168">
      <c r="A168" t="inlineStr">
        <is>
          <t>LP001577</t>
        </is>
      </c>
      <c r="B168" t="inlineStr">
        <is>
          <t>Female</t>
        </is>
      </c>
      <c r="C168" t="inlineStr">
        <is>
          <t>Yes</t>
        </is>
      </c>
      <c r="D168" t="n">
        <v>0</v>
      </c>
      <c r="E168" t="inlineStr">
        <is>
          <t>Graduate</t>
        </is>
      </c>
      <c r="F168" t="inlineStr">
        <is>
          <t>No</t>
        </is>
      </c>
      <c r="G168" t="n">
        <v>4583</v>
      </c>
      <c r="H168" t="n">
        <v>0</v>
      </c>
      <c r="I168" t="n">
        <v>112</v>
      </c>
      <c r="J168" t="n">
        <v>360</v>
      </c>
      <c r="K168" t="n">
        <v>1</v>
      </c>
      <c r="L168" t="inlineStr">
        <is>
          <t>Rural</t>
        </is>
      </c>
      <c r="M168" t="inlineStr">
        <is>
          <t>N</t>
        </is>
      </c>
      <c r="N168">
        <f>IF(AND(K168=1,M168="Y"),"Lower Risk",IF(AND(K168=0,M168="N"),"High Risk","Medium Risk"))</f>
        <v/>
      </c>
    </row>
    <row r="169">
      <c r="A169" t="inlineStr">
        <is>
          <t>LP001578</t>
        </is>
      </c>
      <c r="B169" t="inlineStr">
        <is>
          <t>Male</t>
        </is>
      </c>
      <c r="C169" t="inlineStr">
        <is>
          <t>Yes</t>
        </is>
      </c>
      <c r="D169" t="n">
        <v>0</v>
      </c>
      <c r="E169" t="inlineStr">
        <is>
          <t>Graduate</t>
        </is>
      </c>
      <c r="F169" t="inlineStr">
        <is>
          <t>No</t>
        </is>
      </c>
      <c r="G169" t="n">
        <v>2439</v>
      </c>
      <c r="H169" t="n">
        <v>3333</v>
      </c>
      <c r="I169" t="n">
        <v>129</v>
      </c>
      <c r="J169" t="n">
        <v>360</v>
      </c>
      <c r="K169" t="n">
        <v>1</v>
      </c>
      <c r="L169" t="inlineStr">
        <is>
          <t>Rural</t>
        </is>
      </c>
      <c r="M169" t="inlineStr">
        <is>
          <t>Y</t>
        </is>
      </c>
      <c r="N169">
        <f>IF(AND(K169=1,M169="Y"),"Lower Risk",IF(AND(K169=0,M169="N"),"High Risk","Medium Risk"))</f>
        <v/>
      </c>
    </row>
    <row r="170">
      <c r="A170" t="inlineStr">
        <is>
          <t>LP001579</t>
        </is>
      </c>
      <c r="B170" t="inlineStr">
        <is>
          <t>Male</t>
        </is>
      </c>
      <c r="C170" t="inlineStr">
        <is>
          <t>No</t>
        </is>
      </c>
      <c r="D170" t="n">
        <v>0</v>
      </c>
      <c r="E170" t="inlineStr">
        <is>
          <t>Graduate</t>
        </is>
      </c>
      <c r="F170" t="inlineStr">
        <is>
          <t>No</t>
        </is>
      </c>
      <c r="G170" t="n">
        <v>2237</v>
      </c>
      <c r="H170" t="n">
        <v>0</v>
      </c>
      <c r="I170" t="n">
        <v>63</v>
      </c>
      <c r="J170" t="n">
        <v>480</v>
      </c>
      <c r="K170" t="n">
        <v>0</v>
      </c>
      <c r="L170" t="inlineStr">
        <is>
          <t>Semiurban</t>
        </is>
      </c>
      <c r="M170" t="inlineStr">
        <is>
          <t>N</t>
        </is>
      </c>
      <c r="N170">
        <f>IF(AND(K170=1,M170="Y"),"Lower Risk",IF(AND(K170=0,M170="N"),"High Risk","Medium Risk"))</f>
        <v/>
      </c>
    </row>
    <row r="171">
      <c r="A171" t="inlineStr">
        <is>
          <t>LP001580</t>
        </is>
      </c>
      <c r="B171" t="inlineStr">
        <is>
          <t>Male</t>
        </is>
      </c>
      <c r="C171" t="inlineStr">
        <is>
          <t>Yes</t>
        </is>
      </c>
      <c r="D171" t="n">
        <v>2</v>
      </c>
      <c r="E171" t="inlineStr">
        <is>
          <t>Graduate</t>
        </is>
      </c>
      <c r="F171" t="inlineStr">
        <is>
          <t>No</t>
        </is>
      </c>
      <c r="G171" t="n">
        <v>8000</v>
      </c>
      <c r="H171" t="n">
        <v>0</v>
      </c>
      <c r="I171" t="n">
        <v>200</v>
      </c>
      <c r="J171" t="n">
        <v>360</v>
      </c>
      <c r="K171" t="n">
        <v>1</v>
      </c>
      <c r="L171" t="inlineStr">
        <is>
          <t>Semiurban</t>
        </is>
      </c>
      <c r="M171" t="inlineStr">
        <is>
          <t>Y</t>
        </is>
      </c>
      <c r="N171">
        <f>IF(AND(K171=1,M171="Y"),"Lower Risk",IF(AND(K171=0,M171="N"),"High Risk","Medium Risk"))</f>
        <v/>
      </c>
    </row>
    <row r="172">
      <c r="A172" t="inlineStr">
        <is>
          <t>LP001581</t>
        </is>
      </c>
      <c r="B172" t="inlineStr">
        <is>
          <t>Male</t>
        </is>
      </c>
      <c r="C172" t="inlineStr">
        <is>
          <t>Yes</t>
        </is>
      </c>
      <c r="D172" t="n">
        <v>0</v>
      </c>
      <c r="E172" t="inlineStr">
        <is>
          <t>Not Graduate</t>
        </is>
      </c>
      <c r="G172" t="n">
        <v>1820</v>
      </c>
      <c r="H172" t="n">
        <v>1769</v>
      </c>
      <c r="I172" t="n">
        <v>95</v>
      </c>
      <c r="J172" t="n">
        <v>360</v>
      </c>
      <c r="K172" t="n">
        <v>1</v>
      </c>
      <c r="L172" t="inlineStr">
        <is>
          <t>Rural</t>
        </is>
      </c>
      <c r="M172" t="inlineStr">
        <is>
          <t>Y</t>
        </is>
      </c>
      <c r="N172">
        <f>IF(AND(K172=1,M172="Y"),"Lower Risk",IF(AND(K172=0,M172="N"),"High Risk","Medium Risk"))</f>
        <v/>
      </c>
    </row>
    <row r="173">
      <c r="A173" t="inlineStr">
        <is>
          <t>LP001585</t>
        </is>
      </c>
      <c r="C173" t="inlineStr">
        <is>
          <t>Yes</t>
        </is>
      </c>
      <c r="D173" t="inlineStr">
        <is>
          <t>3+</t>
        </is>
      </c>
      <c r="E173" t="inlineStr">
        <is>
          <t>Graduate</t>
        </is>
      </c>
      <c r="F173" t="inlineStr">
        <is>
          <t>No</t>
        </is>
      </c>
      <c r="G173" t="n">
        <v>51763</v>
      </c>
      <c r="H173" t="n">
        <v>0</v>
      </c>
      <c r="I173" t="n">
        <v>700</v>
      </c>
      <c r="J173" t="n">
        <v>300</v>
      </c>
      <c r="K173" t="n">
        <v>1</v>
      </c>
      <c r="L173" t="inlineStr">
        <is>
          <t>Urban</t>
        </is>
      </c>
      <c r="M173" t="inlineStr">
        <is>
          <t>Y</t>
        </is>
      </c>
      <c r="N173">
        <f>IF(AND(K173=1,M173="Y"),"Lower Risk",IF(AND(K173=0,M173="N"),"High Risk","Medium Risk"))</f>
        <v/>
      </c>
    </row>
    <row r="174">
      <c r="A174" t="inlineStr">
        <is>
          <t>LP001586</t>
        </is>
      </c>
      <c r="B174" t="inlineStr">
        <is>
          <t>Male</t>
        </is>
      </c>
      <c r="C174" t="inlineStr">
        <is>
          <t>Yes</t>
        </is>
      </c>
      <c r="D174" t="inlineStr">
        <is>
          <t>3+</t>
        </is>
      </c>
      <c r="E174" t="inlineStr">
        <is>
          <t>Not Graduate</t>
        </is>
      </c>
      <c r="F174" t="inlineStr">
        <is>
          <t>No</t>
        </is>
      </c>
      <c r="G174" t="n">
        <v>3522</v>
      </c>
      <c r="H174" t="n">
        <v>0</v>
      </c>
      <c r="I174" t="n">
        <v>81</v>
      </c>
      <c r="J174" t="n">
        <v>180</v>
      </c>
      <c r="K174" t="n">
        <v>1</v>
      </c>
      <c r="L174" t="inlineStr">
        <is>
          <t>Rural</t>
        </is>
      </c>
      <c r="M174" t="inlineStr">
        <is>
          <t>N</t>
        </is>
      </c>
      <c r="N174">
        <f>IF(AND(K174=1,M174="Y"),"Lower Risk",IF(AND(K174=0,M174="N"),"High Risk","Medium Risk"))</f>
        <v/>
      </c>
    </row>
    <row r="175">
      <c r="A175" t="inlineStr">
        <is>
          <t>LP001594</t>
        </is>
      </c>
      <c r="B175" t="inlineStr">
        <is>
          <t>Male</t>
        </is>
      </c>
      <c r="C175" t="inlineStr">
        <is>
          <t>Yes</t>
        </is>
      </c>
      <c r="D175" t="n">
        <v>0</v>
      </c>
      <c r="E175" t="inlineStr">
        <is>
          <t>Graduate</t>
        </is>
      </c>
      <c r="F175" t="inlineStr">
        <is>
          <t>No</t>
        </is>
      </c>
      <c r="G175" t="n">
        <v>5708</v>
      </c>
      <c r="H175" t="n">
        <v>5625</v>
      </c>
      <c r="I175" t="n">
        <v>187</v>
      </c>
      <c r="J175" t="n">
        <v>360</v>
      </c>
      <c r="K175" t="n">
        <v>1</v>
      </c>
      <c r="L175" t="inlineStr">
        <is>
          <t>Semiurban</t>
        </is>
      </c>
      <c r="M175" t="inlineStr">
        <is>
          <t>Y</t>
        </is>
      </c>
      <c r="N175">
        <f>IF(AND(K175=1,M175="Y"),"Lower Risk",IF(AND(K175=0,M175="N"),"High Risk","Medium Risk"))</f>
        <v/>
      </c>
    </row>
    <row r="176">
      <c r="A176" t="inlineStr">
        <is>
          <t>LP001603</t>
        </is>
      </c>
      <c r="B176" t="inlineStr">
        <is>
          <t>Male</t>
        </is>
      </c>
      <c r="C176" t="inlineStr">
        <is>
          <t>Yes</t>
        </is>
      </c>
      <c r="D176" t="n">
        <v>0</v>
      </c>
      <c r="E176" t="inlineStr">
        <is>
          <t>Not Graduate</t>
        </is>
      </c>
      <c r="F176" t="inlineStr">
        <is>
          <t>Yes</t>
        </is>
      </c>
      <c r="G176" t="n">
        <v>4344</v>
      </c>
      <c r="H176" t="n">
        <v>736</v>
      </c>
      <c r="I176" t="n">
        <v>87</v>
      </c>
      <c r="J176" t="n">
        <v>360</v>
      </c>
      <c r="K176" t="n">
        <v>1</v>
      </c>
      <c r="L176" t="inlineStr">
        <is>
          <t>Semiurban</t>
        </is>
      </c>
      <c r="M176" t="inlineStr">
        <is>
          <t>N</t>
        </is>
      </c>
      <c r="N176">
        <f>IF(AND(K176=1,M176="Y"),"Lower Risk",IF(AND(K176=0,M176="N"),"High Risk","Medium Risk"))</f>
        <v/>
      </c>
    </row>
    <row r="177">
      <c r="A177" t="inlineStr">
        <is>
          <t>LP001606</t>
        </is>
      </c>
      <c r="B177" t="inlineStr">
        <is>
          <t>Male</t>
        </is>
      </c>
      <c r="C177" t="inlineStr">
        <is>
          <t>Yes</t>
        </is>
      </c>
      <c r="D177" t="n">
        <v>0</v>
      </c>
      <c r="E177" t="inlineStr">
        <is>
          <t>Graduate</t>
        </is>
      </c>
      <c r="F177" t="inlineStr">
        <is>
          <t>No</t>
        </is>
      </c>
      <c r="G177" t="n">
        <v>3497</v>
      </c>
      <c r="H177" t="n">
        <v>1964</v>
      </c>
      <c r="I177" t="n">
        <v>116</v>
      </c>
      <c r="J177" t="n">
        <v>360</v>
      </c>
      <c r="K177" t="n">
        <v>1</v>
      </c>
      <c r="L177" t="inlineStr">
        <is>
          <t>Rural</t>
        </is>
      </c>
      <c r="M177" t="inlineStr">
        <is>
          <t>Y</t>
        </is>
      </c>
      <c r="N177">
        <f>IF(AND(K177=1,M177="Y"),"Lower Risk",IF(AND(K177=0,M177="N"),"High Risk","Medium Risk"))</f>
        <v/>
      </c>
    </row>
    <row r="178">
      <c r="A178" t="inlineStr">
        <is>
          <t>LP001608</t>
        </is>
      </c>
      <c r="B178" t="inlineStr">
        <is>
          <t>Male</t>
        </is>
      </c>
      <c r="C178" t="inlineStr">
        <is>
          <t>Yes</t>
        </is>
      </c>
      <c r="D178" t="n">
        <v>2</v>
      </c>
      <c r="E178" t="inlineStr">
        <is>
          <t>Graduate</t>
        </is>
      </c>
      <c r="F178" t="inlineStr">
        <is>
          <t>No</t>
        </is>
      </c>
      <c r="G178" t="n">
        <v>2045</v>
      </c>
      <c r="H178" t="n">
        <v>1619</v>
      </c>
      <c r="I178" t="n">
        <v>101</v>
      </c>
      <c r="J178" t="n">
        <v>360</v>
      </c>
      <c r="K178" t="n">
        <v>1</v>
      </c>
      <c r="L178" t="inlineStr">
        <is>
          <t>Rural</t>
        </is>
      </c>
      <c r="M178" t="inlineStr">
        <is>
          <t>Y</t>
        </is>
      </c>
      <c r="N178">
        <f>IF(AND(K178=1,M178="Y"),"Lower Risk",IF(AND(K178=0,M178="N"),"High Risk","Medium Risk"))</f>
        <v/>
      </c>
    </row>
    <row r="179">
      <c r="A179" t="inlineStr">
        <is>
          <t>LP001610</t>
        </is>
      </c>
      <c r="B179" t="inlineStr">
        <is>
          <t>Male</t>
        </is>
      </c>
      <c r="C179" t="inlineStr">
        <is>
          <t>Yes</t>
        </is>
      </c>
      <c r="D179" t="inlineStr">
        <is>
          <t>3+</t>
        </is>
      </c>
      <c r="E179" t="inlineStr">
        <is>
          <t>Graduate</t>
        </is>
      </c>
      <c r="F179" t="inlineStr">
        <is>
          <t>No</t>
        </is>
      </c>
      <c r="G179" t="n">
        <v>5516</v>
      </c>
      <c r="H179" t="n">
        <v>11300</v>
      </c>
      <c r="I179" t="n">
        <v>495</v>
      </c>
      <c r="J179" t="n">
        <v>360</v>
      </c>
      <c r="K179" t="n">
        <v>0</v>
      </c>
      <c r="L179" t="inlineStr">
        <is>
          <t>Semiurban</t>
        </is>
      </c>
      <c r="M179" t="inlineStr">
        <is>
          <t>N</t>
        </is>
      </c>
      <c r="N179">
        <f>IF(AND(K179=1,M179="Y"),"Lower Risk",IF(AND(K179=0,M179="N"),"High Risk","Medium Risk"))</f>
        <v/>
      </c>
    </row>
    <row r="180">
      <c r="A180" t="inlineStr">
        <is>
          <t>LP001616</t>
        </is>
      </c>
      <c r="B180" t="inlineStr">
        <is>
          <t>Male</t>
        </is>
      </c>
      <c r="C180" t="inlineStr">
        <is>
          <t>Yes</t>
        </is>
      </c>
      <c r="D180" t="n">
        <v>1</v>
      </c>
      <c r="E180" t="inlineStr">
        <is>
          <t>Graduate</t>
        </is>
      </c>
      <c r="F180" t="inlineStr">
        <is>
          <t>No</t>
        </is>
      </c>
      <c r="G180" t="n">
        <v>3750</v>
      </c>
      <c r="H180" t="n">
        <v>0</v>
      </c>
      <c r="I180" t="n">
        <v>116</v>
      </c>
      <c r="J180" t="n">
        <v>360</v>
      </c>
      <c r="K180" t="n">
        <v>1</v>
      </c>
      <c r="L180" t="inlineStr">
        <is>
          <t>Semiurban</t>
        </is>
      </c>
      <c r="M180" t="inlineStr">
        <is>
          <t>Y</t>
        </is>
      </c>
      <c r="N180">
        <f>IF(AND(K180=1,M180="Y"),"Lower Risk",IF(AND(K180=0,M180="N"),"High Risk","Medium Risk"))</f>
        <v/>
      </c>
    </row>
    <row r="181">
      <c r="A181" t="inlineStr">
        <is>
          <t>LP001630</t>
        </is>
      </c>
      <c r="B181" t="inlineStr">
        <is>
          <t>Male</t>
        </is>
      </c>
      <c r="C181" t="inlineStr">
        <is>
          <t>No</t>
        </is>
      </c>
      <c r="D181" t="n">
        <v>0</v>
      </c>
      <c r="E181" t="inlineStr">
        <is>
          <t>Not Graduate</t>
        </is>
      </c>
      <c r="F181" t="inlineStr">
        <is>
          <t>No</t>
        </is>
      </c>
      <c r="G181" t="n">
        <v>2333</v>
      </c>
      <c r="H181" t="n">
        <v>1451</v>
      </c>
      <c r="I181" t="n">
        <v>102</v>
      </c>
      <c r="J181" t="n">
        <v>480</v>
      </c>
      <c r="K181" t="n">
        <v>0</v>
      </c>
      <c r="L181" t="inlineStr">
        <is>
          <t>Urban</t>
        </is>
      </c>
      <c r="M181" t="inlineStr">
        <is>
          <t>N</t>
        </is>
      </c>
      <c r="N181">
        <f>IF(AND(K181=1,M181="Y"),"Lower Risk",IF(AND(K181=0,M181="N"),"High Risk","Medium Risk"))</f>
        <v/>
      </c>
    </row>
    <row r="182">
      <c r="A182" t="inlineStr">
        <is>
          <t>LP001633</t>
        </is>
      </c>
      <c r="B182" t="inlineStr">
        <is>
          <t>Male</t>
        </is>
      </c>
      <c r="C182" t="inlineStr">
        <is>
          <t>Yes</t>
        </is>
      </c>
      <c r="D182" t="n">
        <v>1</v>
      </c>
      <c r="E182" t="inlineStr">
        <is>
          <t>Graduate</t>
        </is>
      </c>
      <c r="F182" t="inlineStr">
        <is>
          <t>No</t>
        </is>
      </c>
      <c r="G182" t="n">
        <v>6400</v>
      </c>
      <c r="H182" t="n">
        <v>7250</v>
      </c>
      <c r="I182" t="n">
        <v>180</v>
      </c>
      <c r="J182" t="n">
        <v>360</v>
      </c>
      <c r="K182" t="n">
        <v>0</v>
      </c>
      <c r="L182" t="inlineStr">
        <is>
          <t>Urban</t>
        </is>
      </c>
      <c r="M182" t="inlineStr">
        <is>
          <t>N</t>
        </is>
      </c>
      <c r="N182">
        <f>IF(AND(K182=1,M182="Y"),"Lower Risk",IF(AND(K182=0,M182="N"),"High Risk","Medium Risk"))</f>
        <v/>
      </c>
    </row>
    <row r="183">
      <c r="A183" t="inlineStr">
        <is>
          <t>LP001634</t>
        </is>
      </c>
      <c r="B183" t="inlineStr">
        <is>
          <t>Male</t>
        </is>
      </c>
      <c r="C183" t="inlineStr">
        <is>
          <t>No</t>
        </is>
      </c>
      <c r="D183" t="n">
        <v>0</v>
      </c>
      <c r="E183" t="inlineStr">
        <is>
          <t>Graduate</t>
        </is>
      </c>
      <c r="F183" t="inlineStr">
        <is>
          <t>No</t>
        </is>
      </c>
      <c r="G183" t="n">
        <v>1916</v>
      </c>
      <c r="H183" t="n">
        <v>5063</v>
      </c>
      <c r="I183" t="n">
        <v>67</v>
      </c>
      <c r="J183" t="n">
        <v>360</v>
      </c>
      <c r="L183" t="inlineStr">
        <is>
          <t>Rural</t>
        </is>
      </c>
      <c r="M183" t="inlineStr">
        <is>
          <t>N</t>
        </is>
      </c>
      <c r="N183">
        <f>IF(AND(K183=1,M183="Y"),"Lower Risk",IF(AND(K183=0,M183="N"),"High Risk","Medium Risk"))</f>
        <v/>
      </c>
    </row>
    <row r="184">
      <c r="A184" t="inlineStr">
        <is>
          <t>LP001636</t>
        </is>
      </c>
      <c r="B184" t="inlineStr">
        <is>
          <t>Male</t>
        </is>
      </c>
      <c r="C184" t="inlineStr">
        <is>
          <t>Yes</t>
        </is>
      </c>
      <c r="D184" t="n">
        <v>0</v>
      </c>
      <c r="E184" t="inlineStr">
        <is>
          <t>Graduate</t>
        </is>
      </c>
      <c r="F184" t="inlineStr">
        <is>
          <t>No</t>
        </is>
      </c>
      <c r="G184" t="n">
        <v>4600</v>
      </c>
      <c r="H184" t="n">
        <v>0</v>
      </c>
      <c r="I184" t="n">
        <v>73</v>
      </c>
      <c r="J184" t="n">
        <v>180</v>
      </c>
      <c r="K184" t="n">
        <v>1</v>
      </c>
      <c r="L184" t="inlineStr">
        <is>
          <t>Semiurban</t>
        </is>
      </c>
      <c r="M184" t="inlineStr">
        <is>
          <t>Y</t>
        </is>
      </c>
      <c r="N184">
        <f>IF(AND(K184=1,M184="Y"),"Lower Risk",IF(AND(K184=0,M184="N"),"High Risk","Medium Risk"))</f>
        <v/>
      </c>
    </row>
    <row r="185">
      <c r="A185" t="inlineStr">
        <is>
          <t>LP001637</t>
        </is>
      </c>
      <c r="B185" t="inlineStr">
        <is>
          <t>Male</t>
        </is>
      </c>
      <c r="C185" t="inlineStr">
        <is>
          <t>Yes</t>
        </is>
      </c>
      <c r="D185" t="n">
        <v>1</v>
      </c>
      <c r="E185" t="inlineStr">
        <is>
          <t>Graduate</t>
        </is>
      </c>
      <c r="F185" t="inlineStr">
        <is>
          <t>No</t>
        </is>
      </c>
      <c r="G185" t="n">
        <v>33846</v>
      </c>
      <c r="H185" t="n">
        <v>0</v>
      </c>
      <c r="I185" t="n">
        <v>260</v>
      </c>
      <c r="J185" t="n">
        <v>360</v>
      </c>
      <c r="K185" t="n">
        <v>1</v>
      </c>
      <c r="L185" t="inlineStr">
        <is>
          <t>Semiurban</t>
        </is>
      </c>
      <c r="M185" t="inlineStr">
        <is>
          <t>N</t>
        </is>
      </c>
      <c r="N185">
        <f>IF(AND(K185=1,M185="Y"),"Lower Risk",IF(AND(K185=0,M185="N"),"High Risk","Medium Risk"))</f>
        <v/>
      </c>
    </row>
    <row r="186">
      <c r="A186" t="inlineStr">
        <is>
          <t>LP001639</t>
        </is>
      </c>
      <c r="B186" t="inlineStr">
        <is>
          <t>Female</t>
        </is>
      </c>
      <c r="C186" t="inlineStr">
        <is>
          <t>Yes</t>
        </is>
      </c>
      <c r="D186" t="n">
        <v>0</v>
      </c>
      <c r="E186" t="inlineStr">
        <is>
          <t>Graduate</t>
        </is>
      </c>
      <c r="F186" t="inlineStr">
        <is>
          <t>No</t>
        </is>
      </c>
      <c r="G186" t="n">
        <v>3625</v>
      </c>
      <c r="H186" t="n">
        <v>0</v>
      </c>
      <c r="I186" t="n">
        <v>108</v>
      </c>
      <c r="J186" t="n">
        <v>360</v>
      </c>
      <c r="K186" t="n">
        <v>1</v>
      </c>
      <c r="L186" t="inlineStr">
        <is>
          <t>Semiurban</t>
        </is>
      </c>
      <c r="M186" t="inlineStr">
        <is>
          <t>Y</t>
        </is>
      </c>
      <c r="N186">
        <f>IF(AND(K186=1,M186="Y"),"Lower Risk",IF(AND(K186=0,M186="N"),"High Risk","Medium Risk"))</f>
        <v/>
      </c>
    </row>
    <row r="187">
      <c r="A187" t="inlineStr">
        <is>
          <t>LP001640</t>
        </is>
      </c>
      <c r="B187" t="inlineStr">
        <is>
          <t>Male</t>
        </is>
      </c>
      <c r="C187" t="inlineStr">
        <is>
          <t>Yes</t>
        </is>
      </c>
      <c r="D187" t="n">
        <v>0</v>
      </c>
      <c r="E187" t="inlineStr">
        <is>
          <t>Graduate</t>
        </is>
      </c>
      <c r="F187" t="inlineStr">
        <is>
          <t>Yes</t>
        </is>
      </c>
      <c r="G187" t="n">
        <v>39147</v>
      </c>
      <c r="H187" t="n">
        <v>4750</v>
      </c>
      <c r="I187" t="n">
        <v>120</v>
      </c>
      <c r="J187" t="n">
        <v>360</v>
      </c>
      <c r="K187" t="n">
        <v>1</v>
      </c>
      <c r="L187" t="inlineStr">
        <is>
          <t>Semiurban</t>
        </is>
      </c>
      <c r="M187" t="inlineStr">
        <is>
          <t>Y</t>
        </is>
      </c>
      <c r="N187">
        <f>IF(AND(K187=1,M187="Y"),"Lower Risk",IF(AND(K187=0,M187="N"),"High Risk","Medium Risk"))</f>
        <v/>
      </c>
    </row>
    <row r="188">
      <c r="A188" t="inlineStr">
        <is>
          <t>LP001641</t>
        </is>
      </c>
      <c r="B188" t="inlineStr">
        <is>
          <t>Male</t>
        </is>
      </c>
      <c r="C188" t="inlineStr">
        <is>
          <t>Yes</t>
        </is>
      </c>
      <c r="D188" t="n">
        <v>1</v>
      </c>
      <c r="E188" t="inlineStr">
        <is>
          <t>Graduate</t>
        </is>
      </c>
      <c r="F188" t="inlineStr">
        <is>
          <t>Yes</t>
        </is>
      </c>
      <c r="G188" t="n">
        <v>2178</v>
      </c>
      <c r="H188" t="n">
        <v>0</v>
      </c>
      <c r="I188" t="n">
        <v>66</v>
      </c>
      <c r="J188" t="n">
        <v>300</v>
      </c>
      <c r="K188" t="n">
        <v>0</v>
      </c>
      <c r="L188" t="inlineStr">
        <is>
          <t>Rural</t>
        </is>
      </c>
      <c r="M188" t="inlineStr">
        <is>
          <t>N</t>
        </is>
      </c>
      <c r="N188">
        <f>IF(AND(K188=1,M188="Y"),"Lower Risk",IF(AND(K188=0,M188="N"),"High Risk","Medium Risk"))</f>
        <v/>
      </c>
    </row>
    <row r="189">
      <c r="A189" t="inlineStr">
        <is>
          <t>LP001643</t>
        </is>
      </c>
      <c r="B189" t="inlineStr">
        <is>
          <t>Male</t>
        </is>
      </c>
      <c r="C189" t="inlineStr">
        <is>
          <t>Yes</t>
        </is>
      </c>
      <c r="D189" t="n">
        <v>0</v>
      </c>
      <c r="E189" t="inlineStr">
        <is>
          <t>Graduate</t>
        </is>
      </c>
      <c r="F189" t="inlineStr">
        <is>
          <t>No</t>
        </is>
      </c>
      <c r="G189" t="n">
        <v>2383</v>
      </c>
      <c r="H189" t="n">
        <v>2138</v>
      </c>
      <c r="I189" t="n">
        <v>58</v>
      </c>
      <c r="J189" t="n">
        <v>360</v>
      </c>
      <c r="L189" t="inlineStr">
        <is>
          <t>Rural</t>
        </is>
      </c>
      <c r="M189" t="inlineStr">
        <is>
          <t>Y</t>
        </is>
      </c>
      <c r="N189">
        <f>IF(AND(K189=1,M189="Y"),"Lower Risk",IF(AND(K189=0,M189="N"),"High Risk","Medium Risk"))</f>
        <v/>
      </c>
    </row>
    <row r="190">
      <c r="A190" t="inlineStr">
        <is>
          <t>LP001644</t>
        </is>
      </c>
      <c r="C190" t="inlineStr">
        <is>
          <t>Yes</t>
        </is>
      </c>
      <c r="D190" t="n">
        <v>0</v>
      </c>
      <c r="E190" t="inlineStr">
        <is>
          <t>Graduate</t>
        </is>
      </c>
      <c r="F190" t="inlineStr">
        <is>
          <t>Yes</t>
        </is>
      </c>
      <c r="G190" t="n">
        <v>674</v>
      </c>
      <c r="H190" t="n">
        <v>5296</v>
      </c>
      <c r="I190" t="n">
        <v>168</v>
      </c>
      <c r="J190" t="n">
        <v>360</v>
      </c>
      <c r="K190" t="n">
        <v>1</v>
      </c>
      <c r="L190" t="inlineStr">
        <is>
          <t>Rural</t>
        </is>
      </c>
      <c r="M190" t="inlineStr">
        <is>
          <t>Y</t>
        </is>
      </c>
      <c r="N190">
        <f>IF(AND(K190=1,M190="Y"),"Lower Risk",IF(AND(K190=0,M190="N"),"High Risk","Medium Risk"))</f>
        <v/>
      </c>
    </row>
    <row r="191">
      <c r="A191" t="inlineStr">
        <is>
          <t>LP001647</t>
        </is>
      </c>
      <c r="B191" t="inlineStr">
        <is>
          <t>Male</t>
        </is>
      </c>
      <c r="C191" t="inlineStr">
        <is>
          <t>Yes</t>
        </is>
      </c>
      <c r="D191" t="n">
        <v>0</v>
      </c>
      <c r="E191" t="inlineStr">
        <is>
          <t>Graduate</t>
        </is>
      </c>
      <c r="F191" t="inlineStr">
        <is>
          <t>No</t>
        </is>
      </c>
      <c r="G191" t="n">
        <v>9328</v>
      </c>
      <c r="H191" t="n">
        <v>0</v>
      </c>
      <c r="I191" t="n">
        <v>188</v>
      </c>
      <c r="J191" t="n">
        <v>180</v>
      </c>
      <c r="K191" t="n">
        <v>1</v>
      </c>
      <c r="L191" t="inlineStr">
        <is>
          <t>Rural</t>
        </is>
      </c>
      <c r="M191" t="inlineStr">
        <is>
          <t>Y</t>
        </is>
      </c>
      <c r="N191">
        <f>IF(AND(K191=1,M191="Y"),"Lower Risk",IF(AND(K191=0,M191="N"),"High Risk","Medium Risk"))</f>
        <v/>
      </c>
    </row>
    <row r="192">
      <c r="A192" t="inlineStr">
        <is>
          <t>LP001653</t>
        </is>
      </c>
      <c r="B192" t="inlineStr">
        <is>
          <t>Male</t>
        </is>
      </c>
      <c r="C192" t="inlineStr">
        <is>
          <t>No</t>
        </is>
      </c>
      <c r="D192" t="n">
        <v>0</v>
      </c>
      <c r="E192" t="inlineStr">
        <is>
          <t>Not Graduate</t>
        </is>
      </c>
      <c r="F192" t="inlineStr">
        <is>
          <t>No</t>
        </is>
      </c>
      <c r="G192" t="n">
        <v>4885</v>
      </c>
      <c r="H192" t="n">
        <v>0</v>
      </c>
      <c r="I192" t="n">
        <v>48</v>
      </c>
      <c r="J192" t="n">
        <v>360</v>
      </c>
      <c r="K192" t="n">
        <v>1</v>
      </c>
      <c r="L192" t="inlineStr">
        <is>
          <t>Rural</t>
        </is>
      </c>
      <c r="M192" t="inlineStr">
        <is>
          <t>Y</t>
        </is>
      </c>
      <c r="N192">
        <f>IF(AND(K192=1,M192="Y"),"Lower Risk",IF(AND(K192=0,M192="N"),"High Risk","Medium Risk"))</f>
        <v/>
      </c>
    </row>
    <row r="193">
      <c r="A193" t="inlineStr">
        <is>
          <t>LP001656</t>
        </is>
      </c>
      <c r="B193" t="inlineStr">
        <is>
          <t>Male</t>
        </is>
      </c>
      <c r="C193" t="inlineStr">
        <is>
          <t>No</t>
        </is>
      </c>
      <c r="D193" t="n">
        <v>0</v>
      </c>
      <c r="E193" t="inlineStr">
        <is>
          <t>Graduate</t>
        </is>
      </c>
      <c r="F193" t="inlineStr">
        <is>
          <t>No</t>
        </is>
      </c>
      <c r="G193" t="n">
        <v>12000</v>
      </c>
      <c r="H193" t="n">
        <v>0</v>
      </c>
      <c r="I193" t="n">
        <v>164</v>
      </c>
      <c r="J193" t="n">
        <v>360</v>
      </c>
      <c r="K193" t="n">
        <v>1</v>
      </c>
      <c r="L193" t="inlineStr">
        <is>
          <t>Semiurban</t>
        </is>
      </c>
      <c r="M193" t="inlineStr">
        <is>
          <t>N</t>
        </is>
      </c>
      <c r="N193">
        <f>IF(AND(K193=1,M193="Y"),"Lower Risk",IF(AND(K193=0,M193="N"),"High Risk","Medium Risk"))</f>
        <v/>
      </c>
    </row>
    <row r="194">
      <c r="A194" t="inlineStr">
        <is>
          <t>LP001657</t>
        </is>
      </c>
      <c r="B194" t="inlineStr">
        <is>
          <t>Male</t>
        </is>
      </c>
      <c r="C194" t="inlineStr">
        <is>
          <t>Yes</t>
        </is>
      </c>
      <c r="D194" t="n">
        <v>0</v>
      </c>
      <c r="E194" t="inlineStr">
        <is>
          <t>Not Graduate</t>
        </is>
      </c>
      <c r="F194" t="inlineStr">
        <is>
          <t>No</t>
        </is>
      </c>
      <c r="G194" t="n">
        <v>6033</v>
      </c>
      <c r="H194" t="n">
        <v>0</v>
      </c>
      <c r="I194" t="n">
        <v>160</v>
      </c>
      <c r="J194" t="n">
        <v>360</v>
      </c>
      <c r="K194" t="n">
        <v>1</v>
      </c>
      <c r="L194" t="inlineStr">
        <is>
          <t>Urban</t>
        </is>
      </c>
      <c r="M194" t="inlineStr">
        <is>
          <t>N</t>
        </is>
      </c>
      <c r="N194">
        <f>IF(AND(K194=1,M194="Y"),"Lower Risk",IF(AND(K194=0,M194="N"),"High Risk","Medium Risk"))</f>
        <v/>
      </c>
    </row>
    <row r="195">
      <c r="A195" t="inlineStr">
        <is>
          <t>LP001658</t>
        </is>
      </c>
      <c r="B195" t="inlineStr">
        <is>
          <t>Male</t>
        </is>
      </c>
      <c r="C195" t="inlineStr">
        <is>
          <t>No</t>
        </is>
      </c>
      <c r="D195" t="n">
        <v>0</v>
      </c>
      <c r="E195" t="inlineStr">
        <is>
          <t>Graduate</t>
        </is>
      </c>
      <c r="F195" t="inlineStr">
        <is>
          <t>No</t>
        </is>
      </c>
      <c r="G195" t="n">
        <v>3858</v>
      </c>
      <c r="H195" t="n">
        <v>0</v>
      </c>
      <c r="I195" t="n">
        <v>76</v>
      </c>
      <c r="J195" t="n">
        <v>360</v>
      </c>
      <c r="K195" t="n">
        <v>1</v>
      </c>
      <c r="L195" t="inlineStr">
        <is>
          <t>Semiurban</t>
        </is>
      </c>
      <c r="M195" t="inlineStr">
        <is>
          <t>Y</t>
        </is>
      </c>
      <c r="N195">
        <f>IF(AND(K195=1,M195="Y"),"Lower Risk",IF(AND(K195=0,M195="N"),"High Risk","Medium Risk"))</f>
        <v/>
      </c>
    </row>
    <row r="196">
      <c r="A196" t="inlineStr">
        <is>
          <t>LP001664</t>
        </is>
      </c>
      <c r="B196" t="inlineStr">
        <is>
          <t>Male</t>
        </is>
      </c>
      <c r="C196" t="inlineStr">
        <is>
          <t>No</t>
        </is>
      </c>
      <c r="D196" t="n">
        <v>0</v>
      </c>
      <c r="E196" t="inlineStr">
        <is>
          <t>Graduate</t>
        </is>
      </c>
      <c r="F196" t="inlineStr">
        <is>
          <t>No</t>
        </is>
      </c>
      <c r="G196" t="n">
        <v>4191</v>
      </c>
      <c r="H196" t="n">
        <v>0</v>
      </c>
      <c r="I196" t="n">
        <v>120</v>
      </c>
      <c r="J196" t="n">
        <v>360</v>
      </c>
      <c r="K196" t="n">
        <v>1</v>
      </c>
      <c r="L196" t="inlineStr">
        <is>
          <t>Rural</t>
        </is>
      </c>
      <c r="M196" t="inlineStr">
        <is>
          <t>Y</t>
        </is>
      </c>
      <c r="N196">
        <f>IF(AND(K196=1,M196="Y"),"Lower Risk",IF(AND(K196=0,M196="N"),"High Risk","Medium Risk"))</f>
        <v/>
      </c>
    </row>
    <row r="197">
      <c r="A197" t="inlineStr">
        <is>
          <t>LP001665</t>
        </is>
      </c>
      <c r="B197" t="inlineStr">
        <is>
          <t>Male</t>
        </is>
      </c>
      <c r="C197" t="inlineStr">
        <is>
          <t>Yes</t>
        </is>
      </c>
      <c r="D197" t="n">
        <v>1</v>
      </c>
      <c r="E197" t="inlineStr">
        <is>
          <t>Graduate</t>
        </is>
      </c>
      <c r="F197" t="inlineStr">
        <is>
          <t>No</t>
        </is>
      </c>
      <c r="G197" t="n">
        <v>3125</v>
      </c>
      <c r="H197" t="n">
        <v>2583</v>
      </c>
      <c r="I197" t="n">
        <v>170</v>
      </c>
      <c r="J197" t="n">
        <v>360</v>
      </c>
      <c r="K197" t="n">
        <v>1</v>
      </c>
      <c r="L197" t="inlineStr">
        <is>
          <t>Semiurban</t>
        </is>
      </c>
      <c r="M197" t="inlineStr">
        <is>
          <t>N</t>
        </is>
      </c>
      <c r="N197">
        <f>IF(AND(K197=1,M197="Y"),"Lower Risk",IF(AND(K197=0,M197="N"),"High Risk","Medium Risk"))</f>
        <v/>
      </c>
    </row>
    <row r="198">
      <c r="A198" t="inlineStr">
        <is>
          <t>LP001666</t>
        </is>
      </c>
      <c r="B198" t="inlineStr">
        <is>
          <t>Male</t>
        </is>
      </c>
      <c r="C198" t="inlineStr">
        <is>
          <t>No</t>
        </is>
      </c>
      <c r="D198" t="n">
        <v>0</v>
      </c>
      <c r="E198" t="inlineStr">
        <is>
          <t>Graduate</t>
        </is>
      </c>
      <c r="F198" t="inlineStr">
        <is>
          <t>No</t>
        </is>
      </c>
      <c r="G198" t="n">
        <v>8333</v>
      </c>
      <c r="H198" t="n">
        <v>3750</v>
      </c>
      <c r="I198" t="n">
        <v>187</v>
      </c>
      <c r="J198" t="n">
        <v>360</v>
      </c>
      <c r="K198" t="n">
        <v>1</v>
      </c>
      <c r="L198" t="inlineStr">
        <is>
          <t>Rural</t>
        </is>
      </c>
      <c r="M198" t="inlineStr">
        <is>
          <t>Y</t>
        </is>
      </c>
      <c r="N198">
        <f>IF(AND(K198=1,M198="Y"),"Lower Risk",IF(AND(K198=0,M198="N"),"High Risk","Medium Risk"))</f>
        <v/>
      </c>
    </row>
    <row r="199">
      <c r="A199" t="inlineStr">
        <is>
          <t>LP001669</t>
        </is>
      </c>
      <c r="B199" t="inlineStr">
        <is>
          <t>Female</t>
        </is>
      </c>
      <c r="C199" t="inlineStr">
        <is>
          <t>No</t>
        </is>
      </c>
      <c r="D199" t="n">
        <v>0</v>
      </c>
      <c r="E199" t="inlineStr">
        <is>
          <t>Not Graduate</t>
        </is>
      </c>
      <c r="F199" t="inlineStr">
        <is>
          <t>No</t>
        </is>
      </c>
      <c r="G199" t="n">
        <v>1907</v>
      </c>
      <c r="H199" t="n">
        <v>2365</v>
      </c>
      <c r="I199" t="n">
        <v>120</v>
      </c>
      <c r="K199" t="n">
        <v>1</v>
      </c>
      <c r="L199" t="inlineStr">
        <is>
          <t>Urban</t>
        </is>
      </c>
      <c r="M199" t="inlineStr">
        <is>
          <t>Y</t>
        </is>
      </c>
      <c r="N199">
        <f>IF(AND(K199=1,M199="Y"),"Lower Risk",IF(AND(K199=0,M199="N"),"High Risk","Medium Risk"))</f>
        <v/>
      </c>
    </row>
    <row r="200">
      <c r="A200" t="inlineStr">
        <is>
          <t>LP001671</t>
        </is>
      </c>
      <c r="B200" t="inlineStr">
        <is>
          <t>Female</t>
        </is>
      </c>
      <c r="C200" t="inlineStr">
        <is>
          <t>Yes</t>
        </is>
      </c>
      <c r="D200" t="n">
        <v>0</v>
      </c>
      <c r="E200" t="inlineStr">
        <is>
          <t>Graduate</t>
        </is>
      </c>
      <c r="F200" t="inlineStr">
        <is>
          <t>No</t>
        </is>
      </c>
      <c r="G200" t="n">
        <v>3416</v>
      </c>
      <c r="H200" t="n">
        <v>2816</v>
      </c>
      <c r="I200" t="n">
        <v>113</v>
      </c>
      <c r="J200" t="n">
        <v>360</v>
      </c>
      <c r="L200" t="inlineStr">
        <is>
          <t>Semiurban</t>
        </is>
      </c>
      <c r="M200" t="inlineStr">
        <is>
          <t>Y</t>
        </is>
      </c>
      <c r="N200">
        <f>IF(AND(K200=1,M200="Y"),"Lower Risk",IF(AND(K200=0,M200="N"),"High Risk","Medium Risk"))</f>
        <v/>
      </c>
    </row>
    <row r="201">
      <c r="A201" t="inlineStr">
        <is>
          <t>LP001673</t>
        </is>
      </c>
      <c r="B201" t="inlineStr">
        <is>
          <t>Male</t>
        </is>
      </c>
      <c r="C201" t="inlineStr">
        <is>
          <t>No</t>
        </is>
      </c>
      <c r="D201" t="n">
        <v>0</v>
      </c>
      <c r="E201" t="inlineStr">
        <is>
          <t>Graduate</t>
        </is>
      </c>
      <c r="F201" t="inlineStr">
        <is>
          <t>Yes</t>
        </is>
      </c>
      <c r="G201" t="n">
        <v>11000</v>
      </c>
      <c r="H201" t="n">
        <v>0</v>
      </c>
      <c r="I201" t="n">
        <v>83</v>
      </c>
      <c r="J201" t="n">
        <v>360</v>
      </c>
      <c r="K201" t="n">
        <v>1</v>
      </c>
      <c r="L201" t="inlineStr">
        <is>
          <t>Urban</t>
        </is>
      </c>
      <c r="M201" t="inlineStr">
        <is>
          <t>N</t>
        </is>
      </c>
      <c r="N201">
        <f>IF(AND(K201=1,M201="Y"),"Lower Risk",IF(AND(K201=0,M201="N"),"High Risk","Medium Risk"))</f>
        <v/>
      </c>
    </row>
    <row r="202">
      <c r="A202" t="inlineStr">
        <is>
          <t>LP001674</t>
        </is>
      </c>
      <c r="B202" t="inlineStr">
        <is>
          <t>Male</t>
        </is>
      </c>
      <c r="C202" t="inlineStr">
        <is>
          <t>Yes</t>
        </is>
      </c>
      <c r="D202" t="n">
        <v>1</v>
      </c>
      <c r="E202" t="inlineStr">
        <is>
          <t>Not Graduate</t>
        </is>
      </c>
      <c r="F202" t="inlineStr">
        <is>
          <t>No</t>
        </is>
      </c>
      <c r="G202" t="n">
        <v>2600</v>
      </c>
      <c r="H202" t="n">
        <v>2500</v>
      </c>
      <c r="I202" t="n">
        <v>90</v>
      </c>
      <c r="J202" t="n">
        <v>360</v>
      </c>
      <c r="K202" t="n">
        <v>1</v>
      </c>
      <c r="L202" t="inlineStr">
        <is>
          <t>Semiurban</t>
        </is>
      </c>
      <c r="M202" t="inlineStr">
        <is>
          <t>Y</t>
        </is>
      </c>
      <c r="N202">
        <f>IF(AND(K202=1,M202="Y"),"Lower Risk",IF(AND(K202=0,M202="N"),"High Risk","Medium Risk"))</f>
        <v/>
      </c>
    </row>
    <row r="203">
      <c r="A203" t="inlineStr">
        <is>
          <t>LP001677</t>
        </is>
      </c>
      <c r="B203" t="inlineStr">
        <is>
          <t>Male</t>
        </is>
      </c>
      <c r="C203" t="inlineStr">
        <is>
          <t>No</t>
        </is>
      </c>
      <c r="D203" t="n">
        <v>2</v>
      </c>
      <c r="E203" t="inlineStr">
        <is>
          <t>Graduate</t>
        </is>
      </c>
      <c r="F203" t="inlineStr">
        <is>
          <t>No</t>
        </is>
      </c>
      <c r="G203" t="n">
        <v>4923</v>
      </c>
      <c r="H203" t="n">
        <v>0</v>
      </c>
      <c r="I203" t="n">
        <v>166</v>
      </c>
      <c r="J203" t="n">
        <v>360</v>
      </c>
      <c r="K203" t="n">
        <v>0</v>
      </c>
      <c r="L203" t="inlineStr">
        <is>
          <t>Semiurban</t>
        </is>
      </c>
      <c r="M203" t="inlineStr">
        <is>
          <t>Y</t>
        </is>
      </c>
      <c r="N203">
        <f>IF(AND(K203=1,M203="Y"),"Lower Risk",IF(AND(K203=0,M203="N"),"High Risk","Medium Risk"))</f>
        <v/>
      </c>
    </row>
    <row r="204">
      <c r="A204" t="inlineStr">
        <is>
          <t>LP001682</t>
        </is>
      </c>
      <c r="B204" t="inlineStr">
        <is>
          <t>Male</t>
        </is>
      </c>
      <c r="C204" t="inlineStr">
        <is>
          <t>Yes</t>
        </is>
      </c>
      <c r="D204" t="inlineStr">
        <is>
          <t>3+</t>
        </is>
      </c>
      <c r="E204" t="inlineStr">
        <is>
          <t>Not Graduate</t>
        </is>
      </c>
      <c r="F204" t="inlineStr">
        <is>
          <t>No</t>
        </is>
      </c>
      <c r="G204" t="n">
        <v>3992</v>
      </c>
      <c r="H204" t="n">
        <v>0</v>
      </c>
      <c r="J204" t="n">
        <v>180</v>
      </c>
      <c r="K204" t="n">
        <v>1</v>
      </c>
      <c r="L204" t="inlineStr">
        <is>
          <t>Urban</t>
        </is>
      </c>
      <c r="M204" t="inlineStr">
        <is>
          <t>N</t>
        </is>
      </c>
      <c r="N204">
        <f>IF(AND(K204=1,M204="Y"),"Lower Risk",IF(AND(K204=0,M204="N"),"High Risk","Medium Risk"))</f>
        <v/>
      </c>
    </row>
    <row r="205">
      <c r="A205" t="inlineStr">
        <is>
          <t>LP001688</t>
        </is>
      </c>
      <c r="B205" t="inlineStr">
        <is>
          <t>Male</t>
        </is>
      </c>
      <c r="C205" t="inlineStr">
        <is>
          <t>Yes</t>
        </is>
      </c>
      <c r="D205" t="n">
        <v>1</v>
      </c>
      <c r="E205" t="inlineStr">
        <is>
          <t>Not Graduate</t>
        </is>
      </c>
      <c r="F205" t="inlineStr">
        <is>
          <t>No</t>
        </is>
      </c>
      <c r="G205" t="n">
        <v>3500</v>
      </c>
      <c r="H205" t="n">
        <v>1083</v>
      </c>
      <c r="I205" t="n">
        <v>135</v>
      </c>
      <c r="J205" t="n">
        <v>360</v>
      </c>
      <c r="K205" t="n">
        <v>1</v>
      </c>
      <c r="L205" t="inlineStr">
        <is>
          <t>Urban</t>
        </is>
      </c>
      <c r="M205" t="inlineStr">
        <is>
          <t>Y</t>
        </is>
      </c>
      <c r="N205">
        <f>IF(AND(K205=1,M205="Y"),"Lower Risk",IF(AND(K205=0,M205="N"),"High Risk","Medium Risk"))</f>
        <v/>
      </c>
    </row>
    <row r="206">
      <c r="A206" t="inlineStr">
        <is>
          <t>LP001691</t>
        </is>
      </c>
      <c r="B206" t="inlineStr">
        <is>
          <t>Male</t>
        </is>
      </c>
      <c r="C206" t="inlineStr">
        <is>
          <t>Yes</t>
        </is>
      </c>
      <c r="D206" t="n">
        <v>2</v>
      </c>
      <c r="E206" t="inlineStr">
        <is>
          <t>Not Graduate</t>
        </is>
      </c>
      <c r="F206" t="inlineStr">
        <is>
          <t>No</t>
        </is>
      </c>
      <c r="G206" t="n">
        <v>3917</v>
      </c>
      <c r="H206" t="n">
        <v>0</v>
      </c>
      <c r="I206" t="n">
        <v>124</v>
      </c>
      <c r="J206" t="n">
        <v>360</v>
      </c>
      <c r="K206" t="n">
        <v>1</v>
      </c>
      <c r="L206" t="inlineStr">
        <is>
          <t>Semiurban</t>
        </is>
      </c>
      <c r="M206" t="inlineStr">
        <is>
          <t>Y</t>
        </is>
      </c>
      <c r="N206">
        <f>IF(AND(K206=1,M206="Y"),"Lower Risk",IF(AND(K206=0,M206="N"),"High Risk","Medium Risk"))</f>
        <v/>
      </c>
    </row>
    <row r="207">
      <c r="A207" t="inlineStr">
        <is>
          <t>LP001692</t>
        </is>
      </c>
      <c r="B207" t="inlineStr">
        <is>
          <t>Female</t>
        </is>
      </c>
      <c r="C207" t="inlineStr">
        <is>
          <t>No</t>
        </is>
      </c>
      <c r="D207" t="n">
        <v>0</v>
      </c>
      <c r="E207" t="inlineStr">
        <is>
          <t>Not Graduate</t>
        </is>
      </c>
      <c r="F207" t="inlineStr">
        <is>
          <t>No</t>
        </is>
      </c>
      <c r="G207" t="n">
        <v>4408</v>
      </c>
      <c r="H207" t="n">
        <v>0</v>
      </c>
      <c r="I207" t="n">
        <v>120</v>
      </c>
      <c r="J207" t="n">
        <v>360</v>
      </c>
      <c r="K207" t="n">
        <v>1</v>
      </c>
      <c r="L207" t="inlineStr">
        <is>
          <t>Semiurban</t>
        </is>
      </c>
      <c r="M207" t="inlineStr">
        <is>
          <t>Y</t>
        </is>
      </c>
      <c r="N207">
        <f>IF(AND(K207=1,M207="Y"),"Lower Risk",IF(AND(K207=0,M207="N"),"High Risk","Medium Risk"))</f>
        <v/>
      </c>
    </row>
    <row r="208">
      <c r="A208" t="inlineStr">
        <is>
          <t>LP001693</t>
        </is>
      </c>
      <c r="B208" t="inlineStr">
        <is>
          <t>Female</t>
        </is>
      </c>
      <c r="C208" t="inlineStr">
        <is>
          <t>No</t>
        </is>
      </c>
      <c r="D208" t="n">
        <v>0</v>
      </c>
      <c r="E208" t="inlineStr">
        <is>
          <t>Graduate</t>
        </is>
      </c>
      <c r="F208" t="inlineStr">
        <is>
          <t>No</t>
        </is>
      </c>
      <c r="G208" t="n">
        <v>3244</v>
      </c>
      <c r="H208" t="n">
        <v>0</v>
      </c>
      <c r="I208" t="n">
        <v>80</v>
      </c>
      <c r="J208" t="n">
        <v>360</v>
      </c>
      <c r="K208" t="n">
        <v>1</v>
      </c>
      <c r="L208" t="inlineStr">
        <is>
          <t>Urban</t>
        </is>
      </c>
      <c r="M208" t="inlineStr">
        <is>
          <t>Y</t>
        </is>
      </c>
      <c r="N208">
        <f>IF(AND(K208=1,M208="Y"),"Lower Risk",IF(AND(K208=0,M208="N"),"High Risk","Medium Risk"))</f>
        <v/>
      </c>
    </row>
    <row r="209">
      <c r="A209" t="inlineStr">
        <is>
          <t>LP001698</t>
        </is>
      </c>
      <c r="B209" t="inlineStr">
        <is>
          <t>Male</t>
        </is>
      </c>
      <c r="C209" t="inlineStr">
        <is>
          <t>No</t>
        </is>
      </c>
      <c r="D209" t="n">
        <v>0</v>
      </c>
      <c r="E209" t="inlineStr">
        <is>
          <t>Not Graduate</t>
        </is>
      </c>
      <c r="F209" t="inlineStr">
        <is>
          <t>No</t>
        </is>
      </c>
      <c r="G209" t="n">
        <v>3975</v>
      </c>
      <c r="H209" t="n">
        <v>2531</v>
      </c>
      <c r="I209" t="n">
        <v>55</v>
      </c>
      <c r="J209" t="n">
        <v>360</v>
      </c>
      <c r="K209" t="n">
        <v>1</v>
      </c>
      <c r="L209" t="inlineStr">
        <is>
          <t>Rural</t>
        </is>
      </c>
      <c r="M209" t="inlineStr">
        <is>
          <t>Y</t>
        </is>
      </c>
      <c r="N209">
        <f>IF(AND(K209=1,M209="Y"),"Lower Risk",IF(AND(K209=0,M209="N"),"High Risk","Medium Risk"))</f>
        <v/>
      </c>
    </row>
    <row r="210">
      <c r="A210" t="inlineStr">
        <is>
          <t>LP001699</t>
        </is>
      </c>
      <c r="B210" t="inlineStr">
        <is>
          <t>Male</t>
        </is>
      </c>
      <c r="C210" t="inlineStr">
        <is>
          <t>No</t>
        </is>
      </c>
      <c r="D210" t="n">
        <v>0</v>
      </c>
      <c r="E210" t="inlineStr">
        <is>
          <t>Graduate</t>
        </is>
      </c>
      <c r="F210" t="inlineStr">
        <is>
          <t>No</t>
        </is>
      </c>
      <c r="G210" t="n">
        <v>2479</v>
      </c>
      <c r="H210" t="n">
        <v>0</v>
      </c>
      <c r="I210" t="n">
        <v>59</v>
      </c>
      <c r="J210" t="n">
        <v>360</v>
      </c>
      <c r="K210" t="n">
        <v>1</v>
      </c>
      <c r="L210" t="inlineStr">
        <is>
          <t>Urban</t>
        </is>
      </c>
      <c r="M210" t="inlineStr">
        <is>
          <t>Y</t>
        </is>
      </c>
      <c r="N210">
        <f>IF(AND(K210=1,M210="Y"),"Lower Risk",IF(AND(K210=0,M210="N"),"High Risk","Medium Risk"))</f>
        <v/>
      </c>
    </row>
    <row r="211">
      <c r="A211" t="inlineStr">
        <is>
          <t>LP001702</t>
        </is>
      </c>
      <c r="B211" t="inlineStr">
        <is>
          <t>Male</t>
        </is>
      </c>
      <c r="C211" t="inlineStr">
        <is>
          <t>No</t>
        </is>
      </c>
      <c r="D211" t="n">
        <v>0</v>
      </c>
      <c r="E211" t="inlineStr">
        <is>
          <t>Graduate</t>
        </is>
      </c>
      <c r="F211" t="inlineStr">
        <is>
          <t>No</t>
        </is>
      </c>
      <c r="G211" t="n">
        <v>3418</v>
      </c>
      <c r="H211" t="n">
        <v>0</v>
      </c>
      <c r="I211" t="n">
        <v>127</v>
      </c>
      <c r="J211" t="n">
        <v>360</v>
      </c>
      <c r="K211" t="n">
        <v>1</v>
      </c>
      <c r="L211" t="inlineStr">
        <is>
          <t>Semiurban</t>
        </is>
      </c>
      <c r="M211" t="inlineStr">
        <is>
          <t>N</t>
        </is>
      </c>
      <c r="N211">
        <f>IF(AND(K211=1,M211="Y"),"Lower Risk",IF(AND(K211=0,M211="N"),"High Risk","Medium Risk"))</f>
        <v/>
      </c>
    </row>
    <row r="212">
      <c r="A212" t="inlineStr">
        <is>
          <t>LP001708</t>
        </is>
      </c>
      <c r="B212" t="inlineStr">
        <is>
          <t>Female</t>
        </is>
      </c>
      <c r="C212" t="inlineStr">
        <is>
          <t>No</t>
        </is>
      </c>
      <c r="D212" t="n">
        <v>0</v>
      </c>
      <c r="E212" t="inlineStr">
        <is>
          <t>Graduate</t>
        </is>
      </c>
      <c r="F212" t="inlineStr">
        <is>
          <t>No</t>
        </is>
      </c>
      <c r="G212" t="n">
        <v>10000</v>
      </c>
      <c r="H212" t="n">
        <v>0</v>
      </c>
      <c r="I212" t="n">
        <v>214</v>
      </c>
      <c r="J212" t="n">
        <v>360</v>
      </c>
      <c r="K212" t="n">
        <v>1</v>
      </c>
      <c r="L212" t="inlineStr">
        <is>
          <t>Semiurban</t>
        </is>
      </c>
      <c r="M212" t="inlineStr">
        <is>
          <t>N</t>
        </is>
      </c>
      <c r="N212">
        <f>IF(AND(K212=1,M212="Y"),"Lower Risk",IF(AND(K212=0,M212="N"),"High Risk","Medium Risk"))</f>
        <v/>
      </c>
    </row>
    <row r="213">
      <c r="A213" t="inlineStr">
        <is>
          <t>LP001711</t>
        </is>
      </c>
      <c r="B213" t="inlineStr">
        <is>
          <t>Male</t>
        </is>
      </c>
      <c r="C213" t="inlineStr">
        <is>
          <t>Yes</t>
        </is>
      </c>
      <c r="D213" t="inlineStr">
        <is>
          <t>3+</t>
        </is>
      </c>
      <c r="E213" t="inlineStr">
        <is>
          <t>Graduate</t>
        </is>
      </c>
      <c r="F213" t="inlineStr">
        <is>
          <t>No</t>
        </is>
      </c>
      <c r="G213" t="n">
        <v>3430</v>
      </c>
      <c r="H213" t="n">
        <v>1250</v>
      </c>
      <c r="I213" t="n">
        <v>128</v>
      </c>
      <c r="J213" t="n">
        <v>360</v>
      </c>
      <c r="K213" t="n">
        <v>0</v>
      </c>
      <c r="L213" t="inlineStr">
        <is>
          <t>Semiurban</t>
        </is>
      </c>
      <c r="M213" t="inlineStr">
        <is>
          <t>N</t>
        </is>
      </c>
      <c r="N213">
        <f>IF(AND(K213=1,M213="Y"),"Lower Risk",IF(AND(K213=0,M213="N"),"High Risk","Medium Risk"))</f>
        <v/>
      </c>
    </row>
    <row r="214">
      <c r="A214" t="inlineStr">
        <is>
          <t>LP001713</t>
        </is>
      </c>
      <c r="B214" t="inlineStr">
        <is>
          <t>Male</t>
        </is>
      </c>
      <c r="C214" t="inlineStr">
        <is>
          <t>Yes</t>
        </is>
      </c>
      <c r="D214" t="n">
        <v>1</v>
      </c>
      <c r="E214" t="inlineStr">
        <is>
          <t>Graduate</t>
        </is>
      </c>
      <c r="F214" t="inlineStr">
        <is>
          <t>Yes</t>
        </is>
      </c>
      <c r="G214" t="n">
        <v>7787</v>
      </c>
      <c r="H214" t="n">
        <v>0</v>
      </c>
      <c r="I214" t="n">
        <v>240</v>
      </c>
      <c r="J214" t="n">
        <v>360</v>
      </c>
      <c r="K214" t="n">
        <v>1</v>
      </c>
      <c r="L214" t="inlineStr">
        <is>
          <t>Urban</t>
        </is>
      </c>
      <c r="M214" t="inlineStr">
        <is>
          <t>Y</t>
        </is>
      </c>
      <c r="N214">
        <f>IF(AND(K214=1,M214="Y"),"Lower Risk",IF(AND(K214=0,M214="N"),"High Risk","Medium Risk"))</f>
        <v/>
      </c>
    </row>
    <row r="215">
      <c r="A215" t="inlineStr">
        <is>
          <t>LP001715</t>
        </is>
      </c>
      <c r="B215" t="inlineStr">
        <is>
          <t>Male</t>
        </is>
      </c>
      <c r="C215" t="inlineStr">
        <is>
          <t>Yes</t>
        </is>
      </c>
      <c r="D215" t="inlineStr">
        <is>
          <t>3+</t>
        </is>
      </c>
      <c r="E215" t="inlineStr">
        <is>
          <t>Not Graduate</t>
        </is>
      </c>
      <c r="F215" t="inlineStr">
        <is>
          <t>Yes</t>
        </is>
      </c>
      <c r="G215" t="n">
        <v>5703</v>
      </c>
      <c r="H215" t="n">
        <v>0</v>
      </c>
      <c r="I215" t="n">
        <v>130</v>
      </c>
      <c r="J215" t="n">
        <v>360</v>
      </c>
      <c r="K215" t="n">
        <v>1</v>
      </c>
      <c r="L215" t="inlineStr">
        <is>
          <t>Rural</t>
        </is>
      </c>
      <c r="M215" t="inlineStr">
        <is>
          <t>Y</t>
        </is>
      </c>
      <c r="N215">
        <f>IF(AND(K215=1,M215="Y"),"Lower Risk",IF(AND(K215=0,M215="N"),"High Risk","Medium Risk"))</f>
        <v/>
      </c>
    </row>
    <row r="216">
      <c r="A216" t="inlineStr">
        <is>
          <t>LP001716</t>
        </is>
      </c>
      <c r="B216" t="inlineStr">
        <is>
          <t>Male</t>
        </is>
      </c>
      <c r="C216" t="inlineStr">
        <is>
          <t>Yes</t>
        </is>
      </c>
      <c r="D216" t="n">
        <v>0</v>
      </c>
      <c r="E216" t="inlineStr">
        <is>
          <t>Graduate</t>
        </is>
      </c>
      <c r="F216" t="inlineStr">
        <is>
          <t>No</t>
        </is>
      </c>
      <c r="G216" t="n">
        <v>3173</v>
      </c>
      <c r="H216" t="n">
        <v>3021</v>
      </c>
      <c r="I216" t="n">
        <v>137</v>
      </c>
      <c r="J216" t="n">
        <v>360</v>
      </c>
      <c r="K216" t="n">
        <v>1</v>
      </c>
      <c r="L216" t="inlineStr">
        <is>
          <t>Urban</t>
        </is>
      </c>
      <c r="M216" t="inlineStr">
        <is>
          <t>Y</t>
        </is>
      </c>
      <c r="N216">
        <f>IF(AND(K216=1,M216="Y"),"Lower Risk",IF(AND(K216=0,M216="N"),"High Risk","Medium Risk"))</f>
        <v/>
      </c>
    </row>
    <row r="217">
      <c r="A217" t="inlineStr">
        <is>
          <t>LP001720</t>
        </is>
      </c>
      <c r="B217" t="inlineStr">
        <is>
          <t>Male</t>
        </is>
      </c>
      <c r="C217" t="inlineStr">
        <is>
          <t>Yes</t>
        </is>
      </c>
      <c r="D217" t="inlineStr">
        <is>
          <t>3+</t>
        </is>
      </c>
      <c r="E217" t="inlineStr">
        <is>
          <t>Not Graduate</t>
        </is>
      </c>
      <c r="F217" t="inlineStr">
        <is>
          <t>No</t>
        </is>
      </c>
      <c r="G217" t="n">
        <v>3850</v>
      </c>
      <c r="H217" t="n">
        <v>983</v>
      </c>
      <c r="I217" t="n">
        <v>100</v>
      </c>
      <c r="J217" t="n">
        <v>360</v>
      </c>
      <c r="K217" t="n">
        <v>1</v>
      </c>
      <c r="L217" t="inlineStr">
        <is>
          <t>Semiurban</t>
        </is>
      </c>
      <c r="M217" t="inlineStr">
        <is>
          <t>Y</t>
        </is>
      </c>
      <c r="N217">
        <f>IF(AND(K217=1,M217="Y"),"Lower Risk",IF(AND(K217=0,M217="N"),"High Risk","Medium Risk"))</f>
        <v/>
      </c>
    </row>
    <row r="218">
      <c r="A218" t="inlineStr">
        <is>
          <t>LP001722</t>
        </is>
      </c>
      <c r="B218" t="inlineStr">
        <is>
          <t>Male</t>
        </is>
      </c>
      <c r="C218" t="inlineStr">
        <is>
          <t>Yes</t>
        </is>
      </c>
      <c r="D218" t="n">
        <v>0</v>
      </c>
      <c r="E218" t="inlineStr">
        <is>
          <t>Graduate</t>
        </is>
      </c>
      <c r="F218" t="inlineStr">
        <is>
          <t>No</t>
        </is>
      </c>
      <c r="G218" t="n">
        <v>150</v>
      </c>
      <c r="H218" t="n">
        <v>1800</v>
      </c>
      <c r="I218" t="n">
        <v>135</v>
      </c>
      <c r="J218" t="n">
        <v>360</v>
      </c>
      <c r="K218" t="n">
        <v>1</v>
      </c>
      <c r="L218" t="inlineStr">
        <is>
          <t>Rural</t>
        </is>
      </c>
      <c r="M218" t="inlineStr">
        <is>
          <t>N</t>
        </is>
      </c>
      <c r="N218">
        <f>IF(AND(K218=1,M218="Y"),"Lower Risk",IF(AND(K218=0,M218="N"),"High Risk","Medium Risk"))</f>
        <v/>
      </c>
    </row>
    <row r="219">
      <c r="A219" t="inlineStr">
        <is>
          <t>LP001726</t>
        </is>
      </c>
      <c r="B219" t="inlineStr">
        <is>
          <t>Male</t>
        </is>
      </c>
      <c r="C219" t="inlineStr">
        <is>
          <t>Yes</t>
        </is>
      </c>
      <c r="D219" t="n">
        <v>0</v>
      </c>
      <c r="E219" t="inlineStr">
        <is>
          <t>Graduate</t>
        </is>
      </c>
      <c r="F219" t="inlineStr">
        <is>
          <t>No</t>
        </is>
      </c>
      <c r="G219" t="n">
        <v>3727</v>
      </c>
      <c r="H219" t="n">
        <v>1775</v>
      </c>
      <c r="I219" t="n">
        <v>131</v>
      </c>
      <c r="J219" t="n">
        <v>360</v>
      </c>
      <c r="K219" t="n">
        <v>1</v>
      </c>
      <c r="L219" t="inlineStr">
        <is>
          <t>Semiurban</t>
        </is>
      </c>
      <c r="M219" t="inlineStr">
        <is>
          <t>Y</t>
        </is>
      </c>
      <c r="N219">
        <f>IF(AND(K219=1,M219="Y"),"Lower Risk",IF(AND(K219=0,M219="N"),"High Risk","Medium Risk"))</f>
        <v/>
      </c>
    </row>
    <row r="220">
      <c r="A220" t="inlineStr">
        <is>
          <t>LP001732</t>
        </is>
      </c>
      <c r="B220" t="inlineStr">
        <is>
          <t>Male</t>
        </is>
      </c>
      <c r="C220" t="inlineStr">
        <is>
          <t>Yes</t>
        </is>
      </c>
      <c r="D220" t="n">
        <v>2</v>
      </c>
      <c r="E220" t="inlineStr">
        <is>
          <t>Graduate</t>
        </is>
      </c>
      <c r="G220" t="n">
        <v>5000</v>
      </c>
      <c r="H220" t="n">
        <v>0</v>
      </c>
      <c r="I220" t="n">
        <v>72</v>
      </c>
      <c r="J220" t="n">
        <v>360</v>
      </c>
      <c r="K220" t="n">
        <v>0</v>
      </c>
      <c r="L220" t="inlineStr">
        <is>
          <t>Semiurban</t>
        </is>
      </c>
      <c r="M220" t="inlineStr">
        <is>
          <t>N</t>
        </is>
      </c>
      <c r="N220">
        <f>IF(AND(K220=1,M220="Y"),"Lower Risk",IF(AND(K220=0,M220="N"),"High Risk","Medium Risk"))</f>
        <v/>
      </c>
    </row>
    <row r="221">
      <c r="A221" t="inlineStr">
        <is>
          <t>LP001734</t>
        </is>
      </c>
      <c r="B221" t="inlineStr">
        <is>
          <t>Female</t>
        </is>
      </c>
      <c r="C221" t="inlineStr">
        <is>
          <t>Yes</t>
        </is>
      </c>
      <c r="D221" t="n">
        <v>2</v>
      </c>
      <c r="E221" t="inlineStr">
        <is>
          <t>Graduate</t>
        </is>
      </c>
      <c r="F221" t="inlineStr">
        <is>
          <t>No</t>
        </is>
      </c>
      <c r="G221" t="n">
        <v>4283</v>
      </c>
      <c r="H221" t="n">
        <v>2383</v>
      </c>
      <c r="I221" t="n">
        <v>127</v>
      </c>
      <c r="J221" t="n">
        <v>360</v>
      </c>
      <c r="L221" t="inlineStr">
        <is>
          <t>Semiurban</t>
        </is>
      </c>
      <c r="M221" t="inlineStr">
        <is>
          <t>Y</t>
        </is>
      </c>
      <c r="N221">
        <f>IF(AND(K221=1,M221="Y"),"Lower Risk",IF(AND(K221=0,M221="N"),"High Risk","Medium Risk"))</f>
        <v/>
      </c>
    </row>
    <row r="222">
      <c r="A222" t="inlineStr">
        <is>
          <t>LP001736</t>
        </is>
      </c>
      <c r="B222" t="inlineStr">
        <is>
          <t>Male</t>
        </is>
      </c>
      <c r="C222" t="inlineStr">
        <is>
          <t>Yes</t>
        </is>
      </c>
      <c r="D222" t="n">
        <v>0</v>
      </c>
      <c r="E222" t="inlineStr">
        <is>
          <t>Graduate</t>
        </is>
      </c>
      <c r="F222" t="inlineStr">
        <is>
          <t>No</t>
        </is>
      </c>
      <c r="G222" t="n">
        <v>2221</v>
      </c>
      <c r="H222" t="n">
        <v>0</v>
      </c>
      <c r="I222" t="n">
        <v>60</v>
      </c>
      <c r="J222" t="n">
        <v>360</v>
      </c>
      <c r="K222" t="n">
        <v>0</v>
      </c>
      <c r="L222" t="inlineStr">
        <is>
          <t>Urban</t>
        </is>
      </c>
      <c r="M222" t="inlineStr">
        <is>
          <t>N</t>
        </is>
      </c>
      <c r="N222">
        <f>IF(AND(K222=1,M222="Y"),"Lower Risk",IF(AND(K222=0,M222="N"),"High Risk","Medium Risk"))</f>
        <v/>
      </c>
    </row>
    <row r="223">
      <c r="A223" t="inlineStr">
        <is>
          <t>LP001743</t>
        </is>
      </c>
      <c r="B223" t="inlineStr">
        <is>
          <t>Male</t>
        </is>
      </c>
      <c r="C223" t="inlineStr">
        <is>
          <t>Yes</t>
        </is>
      </c>
      <c r="D223" t="n">
        <v>2</v>
      </c>
      <c r="E223" t="inlineStr">
        <is>
          <t>Graduate</t>
        </is>
      </c>
      <c r="F223" t="inlineStr">
        <is>
          <t>No</t>
        </is>
      </c>
      <c r="G223" t="n">
        <v>4009</v>
      </c>
      <c r="H223" t="n">
        <v>1717</v>
      </c>
      <c r="I223" t="n">
        <v>116</v>
      </c>
      <c r="J223" t="n">
        <v>360</v>
      </c>
      <c r="K223" t="n">
        <v>1</v>
      </c>
      <c r="L223" t="inlineStr">
        <is>
          <t>Semiurban</t>
        </is>
      </c>
      <c r="M223" t="inlineStr">
        <is>
          <t>Y</t>
        </is>
      </c>
      <c r="N223">
        <f>IF(AND(K223=1,M223="Y"),"Lower Risk",IF(AND(K223=0,M223="N"),"High Risk","Medium Risk"))</f>
        <v/>
      </c>
    </row>
    <row r="224">
      <c r="A224" t="inlineStr">
        <is>
          <t>LP001744</t>
        </is>
      </c>
      <c r="B224" t="inlineStr">
        <is>
          <t>Male</t>
        </is>
      </c>
      <c r="C224" t="inlineStr">
        <is>
          <t>No</t>
        </is>
      </c>
      <c r="D224" t="n">
        <v>0</v>
      </c>
      <c r="E224" t="inlineStr">
        <is>
          <t>Graduate</t>
        </is>
      </c>
      <c r="F224" t="inlineStr">
        <is>
          <t>No</t>
        </is>
      </c>
      <c r="G224" t="n">
        <v>2971</v>
      </c>
      <c r="H224" t="n">
        <v>2791</v>
      </c>
      <c r="I224" t="n">
        <v>144</v>
      </c>
      <c r="J224" t="n">
        <v>360</v>
      </c>
      <c r="K224" t="n">
        <v>1</v>
      </c>
      <c r="L224" t="inlineStr">
        <is>
          <t>Semiurban</t>
        </is>
      </c>
      <c r="M224" t="inlineStr">
        <is>
          <t>Y</t>
        </is>
      </c>
      <c r="N224">
        <f>IF(AND(K224=1,M224="Y"),"Lower Risk",IF(AND(K224=0,M224="N"),"High Risk","Medium Risk"))</f>
        <v/>
      </c>
    </row>
    <row r="225">
      <c r="A225" t="inlineStr">
        <is>
          <t>LP001749</t>
        </is>
      </c>
      <c r="B225" t="inlineStr">
        <is>
          <t>Male</t>
        </is>
      </c>
      <c r="C225" t="inlineStr">
        <is>
          <t>Yes</t>
        </is>
      </c>
      <c r="D225" t="n">
        <v>0</v>
      </c>
      <c r="E225" t="inlineStr">
        <is>
          <t>Graduate</t>
        </is>
      </c>
      <c r="F225" t="inlineStr">
        <is>
          <t>No</t>
        </is>
      </c>
      <c r="G225" t="n">
        <v>7578</v>
      </c>
      <c r="H225" t="n">
        <v>1010</v>
      </c>
      <c r="I225" t="n">
        <v>175</v>
      </c>
      <c r="K225" t="n">
        <v>1</v>
      </c>
      <c r="L225" t="inlineStr">
        <is>
          <t>Semiurban</t>
        </is>
      </c>
      <c r="M225" t="inlineStr">
        <is>
          <t>Y</t>
        </is>
      </c>
      <c r="N225">
        <f>IF(AND(K225=1,M225="Y"),"Lower Risk",IF(AND(K225=0,M225="N"),"High Risk","Medium Risk"))</f>
        <v/>
      </c>
    </row>
    <row r="226">
      <c r="A226" t="inlineStr">
        <is>
          <t>LP001750</t>
        </is>
      </c>
      <c r="B226" t="inlineStr">
        <is>
          <t>Male</t>
        </is>
      </c>
      <c r="C226" t="inlineStr">
        <is>
          <t>Yes</t>
        </is>
      </c>
      <c r="D226" t="n">
        <v>0</v>
      </c>
      <c r="E226" t="inlineStr">
        <is>
          <t>Graduate</t>
        </is>
      </c>
      <c r="F226" t="inlineStr">
        <is>
          <t>No</t>
        </is>
      </c>
      <c r="G226" t="n">
        <v>6250</v>
      </c>
      <c r="H226" t="n">
        <v>0</v>
      </c>
      <c r="I226" t="n">
        <v>128</v>
      </c>
      <c r="J226" t="n">
        <v>360</v>
      </c>
      <c r="K226" t="n">
        <v>1</v>
      </c>
      <c r="L226" t="inlineStr">
        <is>
          <t>Semiurban</t>
        </is>
      </c>
      <c r="M226" t="inlineStr">
        <is>
          <t>Y</t>
        </is>
      </c>
      <c r="N226">
        <f>IF(AND(K226=1,M226="Y"),"Lower Risk",IF(AND(K226=0,M226="N"),"High Risk","Medium Risk"))</f>
        <v/>
      </c>
    </row>
    <row r="227">
      <c r="A227" t="inlineStr">
        <is>
          <t>LP001751</t>
        </is>
      </c>
      <c r="B227" t="inlineStr">
        <is>
          <t>Male</t>
        </is>
      </c>
      <c r="C227" t="inlineStr">
        <is>
          <t>Yes</t>
        </is>
      </c>
      <c r="D227" t="n">
        <v>0</v>
      </c>
      <c r="E227" t="inlineStr">
        <is>
          <t>Graduate</t>
        </is>
      </c>
      <c r="F227" t="inlineStr">
        <is>
          <t>No</t>
        </is>
      </c>
      <c r="G227" t="n">
        <v>3250</v>
      </c>
      <c r="H227" t="n">
        <v>0</v>
      </c>
      <c r="I227" t="n">
        <v>170</v>
      </c>
      <c r="J227" t="n">
        <v>360</v>
      </c>
      <c r="K227" t="n">
        <v>1</v>
      </c>
      <c r="L227" t="inlineStr">
        <is>
          <t>Rural</t>
        </is>
      </c>
      <c r="M227" t="inlineStr">
        <is>
          <t>N</t>
        </is>
      </c>
      <c r="N227">
        <f>IF(AND(K227=1,M227="Y"),"Lower Risk",IF(AND(K227=0,M227="N"),"High Risk","Medium Risk"))</f>
        <v/>
      </c>
    </row>
    <row r="228">
      <c r="A228" t="inlineStr">
        <is>
          <t>LP001754</t>
        </is>
      </c>
      <c r="B228" t="inlineStr">
        <is>
          <t>Male</t>
        </is>
      </c>
      <c r="C228" t="inlineStr">
        <is>
          <t>Yes</t>
        </is>
      </c>
      <c r="E228" t="inlineStr">
        <is>
          <t>Not Graduate</t>
        </is>
      </c>
      <c r="F228" t="inlineStr">
        <is>
          <t>Yes</t>
        </is>
      </c>
      <c r="G228" t="n">
        <v>4735</v>
      </c>
      <c r="H228" t="n">
        <v>0</v>
      </c>
      <c r="I228" t="n">
        <v>138</v>
      </c>
      <c r="J228" t="n">
        <v>360</v>
      </c>
      <c r="K228" t="n">
        <v>1</v>
      </c>
      <c r="L228" t="inlineStr">
        <is>
          <t>Urban</t>
        </is>
      </c>
      <c r="M228" t="inlineStr">
        <is>
          <t>N</t>
        </is>
      </c>
      <c r="N228">
        <f>IF(AND(K228=1,M228="Y"),"Lower Risk",IF(AND(K228=0,M228="N"),"High Risk","Medium Risk"))</f>
        <v/>
      </c>
    </row>
    <row r="229">
      <c r="A229" t="inlineStr">
        <is>
          <t>LP001758</t>
        </is>
      </c>
      <c r="B229" t="inlineStr">
        <is>
          <t>Male</t>
        </is>
      </c>
      <c r="C229" t="inlineStr">
        <is>
          <t>Yes</t>
        </is>
      </c>
      <c r="D229" t="n">
        <v>2</v>
      </c>
      <c r="E229" t="inlineStr">
        <is>
          <t>Graduate</t>
        </is>
      </c>
      <c r="F229" t="inlineStr">
        <is>
          <t>No</t>
        </is>
      </c>
      <c r="G229" t="n">
        <v>6250</v>
      </c>
      <c r="H229" t="n">
        <v>1695</v>
      </c>
      <c r="I229" t="n">
        <v>210</v>
      </c>
      <c r="J229" t="n">
        <v>360</v>
      </c>
      <c r="K229" t="n">
        <v>1</v>
      </c>
      <c r="L229" t="inlineStr">
        <is>
          <t>Semiurban</t>
        </is>
      </c>
      <c r="M229" t="inlineStr">
        <is>
          <t>Y</t>
        </is>
      </c>
      <c r="N229">
        <f>IF(AND(K229=1,M229="Y"),"Lower Risk",IF(AND(K229=0,M229="N"),"High Risk","Medium Risk"))</f>
        <v/>
      </c>
    </row>
    <row r="230">
      <c r="A230" t="inlineStr">
        <is>
          <t>LP001760</t>
        </is>
      </c>
      <c r="B230" t="inlineStr">
        <is>
          <t>Male</t>
        </is>
      </c>
      <c r="E230" t="inlineStr">
        <is>
          <t>Graduate</t>
        </is>
      </c>
      <c r="F230" t="inlineStr">
        <is>
          <t>No</t>
        </is>
      </c>
      <c r="G230" t="n">
        <v>4758</v>
      </c>
      <c r="H230" t="n">
        <v>0</v>
      </c>
      <c r="I230" t="n">
        <v>158</v>
      </c>
      <c r="J230" t="n">
        <v>480</v>
      </c>
      <c r="K230" t="n">
        <v>1</v>
      </c>
      <c r="L230" t="inlineStr">
        <is>
          <t>Semiurban</t>
        </is>
      </c>
      <c r="M230" t="inlineStr">
        <is>
          <t>Y</t>
        </is>
      </c>
      <c r="N230">
        <f>IF(AND(K230=1,M230="Y"),"Lower Risk",IF(AND(K230=0,M230="N"),"High Risk","Medium Risk"))</f>
        <v/>
      </c>
    </row>
    <row r="231">
      <c r="A231" t="inlineStr">
        <is>
          <t>LP001761</t>
        </is>
      </c>
      <c r="B231" t="inlineStr">
        <is>
          <t>Male</t>
        </is>
      </c>
      <c r="C231" t="inlineStr">
        <is>
          <t>No</t>
        </is>
      </c>
      <c r="D231" t="n">
        <v>0</v>
      </c>
      <c r="E231" t="inlineStr">
        <is>
          <t>Graduate</t>
        </is>
      </c>
      <c r="F231" t="inlineStr">
        <is>
          <t>Yes</t>
        </is>
      </c>
      <c r="G231" t="n">
        <v>6400</v>
      </c>
      <c r="H231" t="n">
        <v>0</v>
      </c>
      <c r="I231" t="n">
        <v>200</v>
      </c>
      <c r="J231" t="n">
        <v>360</v>
      </c>
      <c r="K231" t="n">
        <v>1</v>
      </c>
      <c r="L231" t="inlineStr">
        <is>
          <t>Rural</t>
        </is>
      </c>
      <c r="M231" t="inlineStr">
        <is>
          <t>Y</t>
        </is>
      </c>
      <c r="N231">
        <f>IF(AND(K231=1,M231="Y"),"Lower Risk",IF(AND(K231=0,M231="N"),"High Risk","Medium Risk"))</f>
        <v/>
      </c>
    </row>
    <row r="232">
      <c r="A232" t="inlineStr">
        <is>
          <t>LP001765</t>
        </is>
      </c>
      <c r="B232" t="inlineStr">
        <is>
          <t>Male</t>
        </is>
      </c>
      <c r="C232" t="inlineStr">
        <is>
          <t>Yes</t>
        </is>
      </c>
      <c r="D232" t="n">
        <v>1</v>
      </c>
      <c r="E232" t="inlineStr">
        <is>
          <t>Graduate</t>
        </is>
      </c>
      <c r="F232" t="inlineStr">
        <is>
          <t>No</t>
        </is>
      </c>
      <c r="G232" t="n">
        <v>2491</v>
      </c>
      <c r="H232" t="n">
        <v>2054</v>
      </c>
      <c r="I232" t="n">
        <v>104</v>
      </c>
      <c r="J232" t="n">
        <v>360</v>
      </c>
      <c r="K232" t="n">
        <v>1</v>
      </c>
      <c r="L232" t="inlineStr">
        <is>
          <t>Semiurban</t>
        </is>
      </c>
      <c r="M232" t="inlineStr">
        <is>
          <t>Y</t>
        </is>
      </c>
      <c r="N232">
        <f>IF(AND(K232=1,M232="Y"),"Lower Risk",IF(AND(K232=0,M232="N"),"High Risk","Medium Risk"))</f>
        <v/>
      </c>
    </row>
    <row r="233">
      <c r="A233" t="inlineStr">
        <is>
          <t>LP001768</t>
        </is>
      </c>
      <c r="B233" t="inlineStr">
        <is>
          <t>Male</t>
        </is>
      </c>
      <c r="C233" t="inlineStr">
        <is>
          <t>Yes</t>
        </is>
      </c>
      <c r="D233" t="n">
        <v>0</v>
      </c>
      <c r="E233" t="inlineStr">
        <is>
          <t>Graduate</t>
        </is>
      </c>
      <c r="G233" t="n">
        <v>3716</v>
      </c>
      <c r="H233" t="n">
        <v>0</v>
      </c>
      <c r="I233" t="n">
        <v>42</v>
      </c>
      <c r="J233" t="n">
        <v>180</v>
      </c>
      <c r="K233" t="n">
        <v>1</v>
      </c>
      <c r="L233" t="inlineStr">
        <is>
          <t>Rural</t>
        </is>
      </c>
      <c r="M233" t="inlineStr">
        <is>
          <t>Y</t>
        </is>
      </c>
      <c r="N233">
        <f>IF(AND(K233=1,M233="Y"),"Lower Risk",IF(AND(K233=0,M233="N"),"High Risk","Medium Risk"))</f>
        <v/>
      </c>
    </row>
    <row r="234">
      <c r="A234" t="inlineStr">
        <is>
          <t>LP001770</t>
        </is>
      </c>
      <c r="B234" t="inlineStr">
        <is>
          <t>Male</t>
        </is>
      </c>
      <c r="C234" t="inlineStr">
        <is>
          <t>No</t>
        </is>
      </c>
      <c r="D234" t="n">
        <v>0</v>
      </c>
      <c r="E234" t="inlineStr">
        <is>
          <t>Not Graduate</t>
        </is>
      </c>
      <c r="F234" t="inlineStr">
        <is>
          <t>No</t>
        </is>
      </c>
      <c r="G234" t="n">
        <v>3189</v>
      </c>
      <c r="H234" t="n">
        <v>2598</v>
      </c>
      <c r="I234" t="n">
        <v>120</v>
      </c>
      <c r="K234" t="n">
        <v>1</v>
      </c>
      <c r="L234" t="inlineStr">
        <is>
          <t>Rural</t>
        </is>
      </c>
      <c r="M234" t="inlineStr">
        <is>
          <t>Y</t>
        </is>
      </c>
      <c r="N234">
        <f>IF(AND(K234=1,M234="Y"),"Lower Risk",IF(AND(K234=0,M234="N"),"High Risk","Medium Risk"))</f>
        <v/>
      </c>
    </row>
    <row r="235">
      <c r="A235" t="inlineStr">
        <is>
          <t>LP001776</t>
        </is>
      </c>
      <c r="B235" t="inlineStr">
        <is>
          <t>Female</t>
        </is>
      </c>
      <c r="C235" t="inlineStr">
        <is>
          <t>No</t>
        </is>
      </c>
      <c r="D235" t="n">
        <v>0</v>
      </c>
      <c r="E235" t="inlineStr">
        <is>
          <t>Graduate</t>
        </is>
      </c>
      <c r="F235" t="inlineStr">
        <is>
          <t>No</t>
        </is>
      </c>
      <c r="G235" t="n">
        <v>8333</v>
      </c>
      <c r="H235" t="n">
        <v>0</v>
      </c>
      <c r="I235" t="n">
        <v>280</v>
      </c>
      <c r="J235" t="n">
        <v>360</v>
      </c>
      <c r="K235" t="n">
        <v>1</v>
      </c>
      <c r="L235" t="inlineStr">
        <is>
          <t>Semiurban</t>
        </is>
      </c>
      <c r="M235" t="inlineStr">
        <is>
          <t>Y</t>
        </is>
      </c>
      <c r="N235">
        <f>IF(AND(K235=1,M235="Y"),"Lower Risk",IF(AND(K235=0,M235="N"),"High Risk","Medium Risk"))</f>
        <v/>
      </c>
    </row>
    <row r="236">
      <c r="A236" t="inlineStr">
        <is>
          <t>LP001778</t>
        </is>
      </c>
      <c r="B236" t="inlineStr">
        <is>
          <t>Male</t>
        </is>
      </c>
      <c r="C236" t="inlineStr">
        <is>
          <t>Yes</t>
        </is>
      </c>
      <c r="D236" t="n">
        <v>1</v>
      </c>
      <c r="E236" t="inlineStr">
        <is>
          <t>Graduate</t>
        </is>
      </c>
      <c r="F236" t="inlineStr">
        <is>
          <t>No</t>
        </is>
      </c>
      <c r="G236" t="n">
        <v>3155</v>
      </c>
      <c r="H236" t="n">
        <v>1779</v>
      </c>
      <c r="I236" t="n">
        <v>140</v>
      </c>
      <c r="J236" t="n">
        <v>360</v>
      </c>
      <c r="K236" t="n">
        <v>1</v>
      </c>
      <c r="L236" t="inlineStr">
        <is>
          <t>Semiurban</t>
        </is>
      </c>
      <c r="M236" t="inlineStr">
        <is>
          <t>Y</t>
        </is>
      </c>
      <c r="N236">
        <f>IF(AND(K236=1,M236="Y"),"Lower Risk",IF(AND(K236=0,M236="N"),"High Risk","Medium Risk"))</f>
        <v/>
      </c>
    </row>
    <row r="237">
      <c r="A237" t="inlineStr">
        <is>
          <t>LP001784</t>
        </is>
      </c>
      <c r="B237" t="inlineStr">
        <is>
          <t>Male</t>
        </is>
      </c>
      <c r="C237" t="inlineStr">
        <is>
          <t>Yes</t>
        </is>
      </c>
      <c r="D237" t="n">
        <v>1</v>
      </c>
      <c r="E237" t="inlineStr">
        <is>
          <t>Graduate</t>
        </is>
      </c>
      <c r="F237" t="inlineStr">
        <is>
          <t>No</t>
        </is>
      </c>
      <c r="G237" t="n">
        <v>5500</v>
      </c>
      <c r="H237" t="n">
        <v>1260</v>
      </c>
      <c r="I237" t="n">
        <v>170</v>
      </c>
      <c r="J237" t="n">
        <v>360</v>
      </c>
      <c r="K237" t="n">
        <v>1</v>
      </c>
      <c r="L237" t="inlineStr">
        <is>
          <t>Rural</t>
        </is>
      </c>
      <c r="M237" t="inlineStr">
        <is>
          <t>Y</t>
        </is>
      </c>
      <c r="N237">
        <f>IF(AND(K237=1,M237="Y"),"Lower Risk",IF(AND(K237=0,M237="N"),"High Risk","Medium Risk"))</f>
        <v/>
      </c>
    </row>
    <row r="238">
      <c r="A238" t="inlineStr">
        <is>
          <t>LP001786</t>
        </is>
      </c>
      <c r="B238" t="inlineStr">
        <is>
          <t>Male</t>
        </is>
      </c>
      <c r="C238" t="inlineStr">
        <is>
          <t>Yes</t>
        </is>
      </c>
      <c r="D238" t="n">
        <v>0</v>
      </c>
      <c r="E238" t="inlineStr">
        <is>
          <t>Graduate</t>
        </is>
      </c>
      <c r="G238" t="n">
        <v>5746</v>
      </c>
      <c r="H238" t="n">
        <v>0</v>
      </c>
      <c r="I238" t="n">
        <v>255</v>
      </c>
      <c r="J238" t="n">
        <v>360</v>
      </c>
      <c r="L238" t="inlineStr">
        <is>
          <t>Urban</t>
        </is>
      </c>
      <c r="M238" t="inlineStr">
        <is>
          <t>N</t>
        </is>
      </c>
      <c r="N238">
        <f>IF(AND(K238=1,M238="Y"),"Lower Risk",IF(AND(K238=0,M238="N"),"High Risk","Medium Risk"))</f>
        <v/>
      </c>
    </row>
    <row r="239">
      <c r="A239" t="inlineStr">
        <is>
          <t>LP001788</t>
        </is>
      </c>
      <c r="B239" t="inlineStr">
        <is>
          <t>Female</t>
        </is>
      </c>
      <c r="C239" t="inlineStr">
        <is>
          <t>No</t>
        </is>
      </c>
      <c r="D239" t="n">
        <v>0</v>
      </c>
      <c r="E239" t="inlineStr">
        <is>
          <t>Graduate</t>
        </is>
      </c>
      <c r="F239" t="inlineStr">
        <is>
          <t>Yes</t>
        </is>
      </c>
      <c r="G239" t="n">
        <v>3463</v>
      </c>
      <c r="H239" t="n">
        <v>0</v>
      </c>
      <c r="I239" t="n">
        <v>122</v>
      </c>
      <c r="J239" t="n">
        <v>360</v>
      </c>
      <c r="L239" t="inlineStr">
        <is>
          <t>Urban</t>
        </is>
      </c>
      <c r="M239" t="inlineStr">
        <is>
          <t>Y</t>
        </is>
      </c>
      <c r="N239">
        <f>IF(AND(K239=1,M239="Y"),"Lower Risk",IF(AND(K239=0,M239="N"),"High Risk","Medium Risk"))</f>
        <v/>
      </c>
    </row>
    <row r="240">
      <c r="A240" t="inlineStr">
        <is>
          <t>LP001790</t>
        </is>
      </c>
      <c r="B240" t="inlineStr">
        <is>
          <t>Female</t>
        </is>
      </c>
      <c r="C240" t="inlineStr">
        <is>
          <t>No</t>
        </is>
      </c>
      <c r="D240" t="n">
        <v>1</v>
      </c>
      <c r="E240" t="inlineStr">
        <is>
          <t>Graduate</t>
        </is>
      </c>
      <c r="F240" t="inlineStr">
        <is>
          <t>No</t>
        </is>
      </c>
      <c r="G240" t="n">
        <v>3812</v>
      </c>
      <c r="H240" t="n">
        <v>0</v>
      </c>
      <c r="I240" t="n">
        <v>112</v>
      </c>
      <c r="J240" t="n">
        <v>360</v>
      </c>
      <c r="K240" t="n">
        <v>1</v>
      </c>
      <c r="L240" t="inlineStr">
        <is>
          <t>Rural</t>
        </is>
      </c>
      <c r="M240" t="inlineStr">
        <is>
          <t>Y</t>
        </is>
      </c>
      <c r="N240">
        <f>IF(AND(K240=1,M240="Y"),"Lower Risk",IF(AND(K240=0,M240="N"),"High Risk","Medium Risk"))</f>
        <v/>
      </c>
    </row>
    <row r="241">
      <c r="A241" t="inlineStr">
        <is>
          <t>LP001792</t>
        </is>
      </c>
      <c r="B241" t="inlineStr">
        <is>
          <t>Male</t>
        </is>
      </c>
      <c r="C241" t="inlineStr">
        <is>
          <t>Yes</t>
        </is>
      </c>
      <c r="D241" t="n">
        <v>1</v>
      </c>
      <c r="E241" t="inlineStr">
        <is>
          <t>Graduate</t>
        </is>
      </c>
      <c r="F241" t="inlineStr">
        <is>
          <t>No</t>
        </is>
      </c>
      <c r="G241" t="n">
        <v>3315</v>
      </c>
      <c r="H241" t="n">
        <v>0</v>
      </c>
      <c r="I241" t="n">
        <v>96</v>
      </c>
      <c r="J241" t="n">
        <v>360</v>
      </c>
      <c r="K241" t="n">
        <v>1</v>
      </c>
      <c r="L241" t="inlineStr">
        <is>
          <t>Semiurban</t>
        </is>
      </c>
      <c r="M241" t="inlineStr">
        <is>
          <t>Y</t>
        </is>
      </c>
      <c r="N241">
        <f>IF(AND(K241=1,M241="Y"),"Lower Risk",IF(AND(K241=0,M241="N"),"High Risk","Medium Risk"))</f>
        <v/>
      </c>
    </row>
    <row r="242">
      <c r="A242" t="inlineStr">
        <is>
          <t>LP001798</t>
        </is>
      </c>
      <c r="B242" t="inlineStr">
        <is>
          <t>Male</t>
        </is>
      </c>
      <c r="C242" t="inlineStr">
        <is>
          <t>Yes</t>
        </is>
      </c>
      <c r="D242" t="n">
        <v>2</v>
      </c>
      <c r="E242" t="inlineStr">
        <is>
          <t>Graduate</t>
        </is>
      </c>
      <c r="F242" t="inlineStr">
        <is>
          <t>No</t>
        </is>
      </c>
      <c r="G242" t="n">
        <v>5819</v>
      </c>
      <c r="H242" t="n">
        <v>5000</v>
      </c>
      <c r="I242" t="n">
        <v>120</v>
      </c>
      <c r="J242" t="n">
        <v>360</v>
      </c>
      <c r="K242" t="n">
        <v>1</v>
      </c>
      <c r="L242" t="inlineStr">
        <is>
          <t>Rural</t>
        </is>
      </c>
      <c r="M242" t="inlineStr">
        <is>
          <t>Y</t>
        </is>
      </c>
      <c r="N242">
        <f>IF(AND(K242=1,M242="Y"),"Lower Risk",IF(AND(K242=0,M242="N"),"High Risk","Medium Risk"))</f>
        <v/>
      </c>
    </row>
    <row r="243">
      <c r="A243" t="inlineStr">
        <is>
          <t>LP001800</t>
        </is>
      </c>
      <c r="B243" t="inlineStr">
        <is>
          <t>Male</t>
        </is>
      </c>
      <c r="C243" t="inlineStr">
        <is>
          <t>Yes</t>
        </is>
      </c>
      <c r="D243" t="n">
        <v>1</v>
      </c>
      <c r="E243" t="inlineStr">
        <is>
          <t>Not Graduate</t>
        </is>
      </c>
      <c r="F243" t="inlineStr">
        <is>
          <t>No</t>
        </is>
      </c>
      <c r="G243" t="n">
        <v>2510</v>
      </c>
      <c r="H243" t="n">
        <v>1983</v>
      </c>
      <c r="I243" t="n">
        <v>140</v>
      </c>
      <c r="J243" t="n">
        <v>180</v>
      </c>
      <c r="K243" t="n">
        <v>1</v>
      </c>
      <c r="L243" t="inlineStr">
        <is>
          <t>Urban</t>
        </is>
      </c>
      <c r="M243" t="inlineStr">
        <is>
          <t>N</t>
        </is>
      </c>
      <c r="N243">
        <f>IF(AND(K243=1,M243="Y"),"Lower Risk",IF(AND(K243=0,M243="N"),"High Risk","Medium Risk"))</f>
        <v/>
      </c>
    </row>
    <row r="244">
      <c r="A244" t="inlineStr">
        <is>
          <t>LP001806</t>
        </is>
      </c>
      <c r="B244" t="inlineStr">
        <is>
          <t>Male</t>
        </is>
      </c>
      <c r="C244" t="inlineStr">
        <is>
          <t>No</t>
        </is>
      </c>
      <c r="D244" t="n">
        <v>0</v>
      </c>
      <c r="E244" t="inlineStr">
        <is>
          <t>Graduate</t>
        </is>
      </c>
      <c r="F244" t="inlineStr">
        <is>
          <t>No</t>
        </is>
      </c>
      <c r="G244" t="n">
        <v>2965</v>
      </c>
      <c r="H244" t="n">
        <v>5701</v>
      </c>
      <c r="I244" t="n">
        <v>155</v>
      </c>
      <c r="J244" t="n">
        <v>60</v>
      </c>
      <c r="K244" t="n">
        <v>1</v>
      </c>
      <c r="L244" t="inlineStr">
        <is>
          <t>Urban</t>
        </is>
      </c>
      <c r="M244" t="inlineStr">
        <is>
          <t>Y</t>
        </is>
      </c>
      <c r="N244">
        <f>IF(AND(K244=1,M244="Y"),"Lower Risk",IF(AND(K244=0,M244="N"),"High Risk","Medium Risk"))</f>
        <v/>
      </c>
    </row>
    <row r="245">
      <c r="A245" t="inlineStr">
        <is>
          <t>LP001807</t>
        </is>
      </c>
      <c r="B245" t="inlineStr">
        <is>
          <t>Male</t>
        </is>
      </c>
      <c r="C245" t="inlineStr">
        <is>
          <t>Yes</t>
        </is>
      </c>
      <c r="D245" t="n">
        <v>2</v>
      </c>
      <c r="E245" t="inlineStr">
        <is>
          <t>Graduate</t>
        </is>
      </c>
      <c r="F245" t="inlineStr">
        <is>
          <t>Yes</t>
        </is>
      </c>
      <c r="G245" t="n">
        <v>6250</v>
      </c>
      <c r="H245" t="n">
        <v>1300</v>
      </c>
      <c r="I245" t="n">
        <v>108</v>
      </c>
      <c r="J245" t="n">
        <v>360</v>
      </c>
      <c r="K245" t="n">
        <v>1</v>
      </c>
      <c r="L245" t="inlineStr">
        <is>
          <t>Rural</t>
        </is>
      </c>
      <c r="M245" t="inlineStr">
        <is>
          <t>Y</t>
        </is>
      </c>
      <c r="N245">
        <f>IF(AND(K245=1,M245="Y"),"Lower Risk",IF(AND(K245=0,M245="N"),"High Risk","Medium Risk"))</f>
        <v/>
      </c>
    </row>
    <row r="246">
      <c r="A246" t="inlineStr">
        <is>
          <t>LP001811</t>
        </is>
      </c>
      <c r="B246" t="inlineStr">
        <is>
          <t>Male</t>
        </is>
      </c>
      <c r="C246" t="inlineStr">
        <is>
          <t>Yes</t>
        </is>
      </c>
      <c r="D246" t="n">
        <v>0</v>
      </c>
      <c r="E246" t="inlineStr">
        <is>
          <t>Not Graduate</t>
        </is>
      </c>
      <c r="F246" t="inlineStr">
        <is>
          <t>No</t>
        </is>
      </c>
      <c r="G246" t="n">
        <v>3406</v>
      </c>
      <c r="H246" t="n">
        <v>4417</v>
      </c>
      <c r="I246" t="n">
        <v>123</v>
      </c>
      <c r="J246" t="n">
        <v>360</v>
      </c>
      <c r="K246" t="n">
        <v>1</v>
      </c>
      <c r="L246" t="inlineStr">
        <is>
          <t>Semiurban</t>
        </is>
      </c>
      <c r="M246" t="inlineStr">
        <is>
          <t>Y</t>
        </is>
      </c>
      <c r="N246">
        <f>IF(AND(K246=1,M246="Y"),"Lower Risk",IF(AND(K246=0,M246="N"),"High Risk","Medium Risk"))</f>
        <v/>
      </c>
    </row>
    <row r="247">
      <c r="A247" t="inlineStr">
        <is>
          <t>LP001813</t>
        </is>
      </c>
      <c r="B247" t="inlineStr">
        <is>
          <t>Male</t>
        </is>
      </c>
      <c r="C247" t="inlineStr">
        <is>
          <t>No</t>
        </is>
      </c>
      <c r="D247" t="n">
        <v>0</v>
      </c>
      <c r="E247" t="inlineStr">
        <is>
          <t>Graduate</t>
        </is>
      </c>
      <c r="F247" t="inlineStr">
        <is>
          <t>Yes</t>
        </is>
      </c>
      <c r="G247" t="n">
        <v>6050</v>
      </c>
      <c r="H247" t="n">
        <v>4333</v>
      </c>
      <c r="I247" t="n">
        <v>120</v>
      </c>
      <c r="J247" t="n">
        <v>180</v>
      </c>
      <c r="K247" t="n">
        <v>1</v>
      </c>
      <c r="L247" t="inlineStr">
        <is>
          <t>Urban</t>
        </is>
      </c>
      <c r="M247" t="inlineStr">
        <is>
          <t>N</t>
        </is>
      </c>
      <c r="N247">
        <f>IF(AND(K247=1,M247="Y"),"Lower Risk",IF(AND(K247=0,M247="N"),"High Risk","Medium Risk"))</f>
        <v/>
      </c>
    </row>
    <row r="248">
      <c r="A248" t="inlineStr">
        <is>
          <t>LP001814</t>
        </is>
      </c>
      <c r="B248" t="inlineStr">
        <is>
          <t>Male</t>
        </is>
      </c>
      <c r="C248" t="inlineStr">
        <is>
          <t>Yes</t>
        </is>
      </c>
      <c r="D248" t="n">
        <v>2</v>
      </c>
      <c r="E248" t="inlineStr">
        <is>
          <t>Graduate</t>
        </is>
      </c>
      <c r="F248" t="inlineStr">
        <is>
          <t>No</t>
        </is>
      </c>
      <c r="G248" t="n">
        <v>9703</v>
      </c>
      <c r="H248" t="n">
        <v>0</v>
      </c>
      <c r="I248" t="n">
        <v>112</v>
      </c>
      <c r="J248" t="n">
        <v>360</v>
      </c>
      <c r="K248" t="n">
        <v>1</v>
      </c>
      <c r="L248" t="inlineStr">
        <is>
          <t>Urban</t>
        </is>
      </c>
      <c r="M248" t="inlineStr">
        <is>
          <t>Y</t>
        </is>
      </c>
      <c r="N248">
        <f>IF(AND(K248=1,M248="Y"),"Lower Risk",IF(AND(K248=0,M248="N"),"High Risk","Medium Risk"))</f>
        <v/>
      </c>
    </row>
    <row r="249">
      <c r="A249" t="inlineStr">
        <is>
          <t>LP001819</t>
        </is>
      </c>
      <c r="B249" t="inlineStr">
        <is>
          <t>Male</t>
        </is>
      </c>
      <c r="C249" t="inlineStr">
        <is>
          <t>Yes</t>
        </is>
      </c>
      <c r="D249" t="n">
        <v>1</v>
      </c>
      <c r="E249" t="inlineStr">
        <is>
          <t>Not Graduate</t>
        </is>
      </c>
      <c r="F249" t="inlineStr">
        <is>
          <t>No</t>
        </is>
      </c>
      <c r="G249" t="n">
        <v>6608</v>
      </c>
      <c r="H249" t="n">
        <v>0</v>
      </c>
      <c r="I249" t="n">
        <v>137</v>
      </c>
      <c r="J249" t="n">
        <v>180</v>
      </c>
      <c r="K249" t="n">
        <v>1</v>
      </c>
      <c r="L249" t="inlineStr">
        <is>
          <t>Urban</t>
        </is>
      </c>
      <c r="M249" t="inlineStr">
        <is>
          <t>Y</t>
        </is>
      </c>
      <c r="N249">
        <f>IF(AND(K249=1,M249="Y"),"Lower Risk",IF(AND(K249=0,M249="N"),"High Risk","Medium Risk"))</f>
        <v/>
      </c>
    </row>
    <row r="250">
      <c r="A250" t="inlineStr">
        <is>
          <t>LP001824</t>
        </is>
      </c>
      <c r="B250" t="inlineStr">
        <is>
          <t>Male</t>
        </is>
      </c>
      <c r="C250" t="inlineStr">
        <is>
          <t>Yes</t>
        </is>
      </c>
      <c r="D250" t="n">
        <v>1</v>
      </c>
      <c r="E250" t="inlineStr">
        <is>
          <t>Graduate</t>
        </is>
      </c>
      <c r="F250" t="inlineStr">
        <is>
          <t>No</t>
        </is>
      </c>
      <c r="G250" t="n">
        <v>2882</v>
      </c>
      <c r="H250" t="n">
        <v>1843</v>
      </c>
      <c r="I250" t="n">
        <v>123</v>
      </c>
      <c r="J250" t="n">
        <v>480</v>
      </c>
      <c r="K250" t="n">
        <v>1</v>
      </c>
      <c r="L250" t="inlineStr">
        <is>
          <t>Semiurban</t>
        </is>
      </c>
      <c r="M250" t="inlineStr">
        <is>
          <t>Y</t>
        </is>
      </c>
      <c r="N250">
        <f>IF(AND(K250=1,M250="Y"),"Lower Risk",IF(AND(K250=0,M250="N"),"High Risk","Medium Risk"))</f>
        <v/>
      </c>
    </row>
    <row r="251">
      <c r="A251" t="inlineStr">
        <is>
          <t>LP001825</t>
        </is>
      </c>
      <c r="B251" t="inlineStr">
        <is>
          <t>Male</t>
        </is>
      </c>
      <c r="C251" t="inlineStr">
        <is>
          <t>Yes</t>
        </is>
      </c>
      <c r="D251" t="n">
        <v>0</v>
      </c>
      <c r="E251" t="inlineStr">
        <is>
          <t>Graduate</t>
        </is>
      </c>
      <c r="F251" t="inlineStr">
        <is>
          <t>No</t>
        </is>
      </c>
      <c r="G251" t="n">
        <v>1809</v>
      </c>
      <c r="H251" t="n">
        <v>1868</v>
      </c>
      <c r="I251" t="n">
        <v>90</v>
      </c>
      <c r="J251" t="n">
        <v>360</v>
      </c>
      <c r="K251" t="n">
        <v>1</v>
      </c>
      <c r="L251" t="inlineStr">
        <is>
          <t>Urban</t>
        </is>
      </c>
      <c r="M251" t="inlineStr">
        <is>
          <t>Y</t>
        </is>
      </c>
      <c r="N251">
        <f>IF(AND(K251=1,M251="Y"),"Lower Risk",IF(AND(K251=0,M251="N"),"High Risk","Medium Risk"))</f>
        <v/>
      </c>
    </row>
    <row r="252">
      <c r="A252" t="inlineStr">
        <is>
          <t>LP001835</t>
        </is>
      </c>
      <c r="B252" t="inlineStr">
        <is>
          <t>Male</t>
        </is>
      </c>
      <c r="C252" t="inlineStr">
        <is>
          <t>Yes</t>
        </is>
      </c>
      <c r="D252" t="n">
        <v>0</v>
      </c>
      <c r="E252" t="inlineStr">
        <is>
          <t>Not Graduate</t>
        </is>
      </c>
      <c r="F252" t="inlineStr">
        <is>
          <t>No</t>
        </is>
      </c>
      <c r="G252" t="n">
        <v>1668</v>
      </c>
      <c r="H252" t="n">
        <v>3890</v>
      </c>
      <c r="I252" t="n">
        <v>201</v>
      </c>
      <c r="J252" t="n">
        <v>360</v>
      </c>
      <c r="K252" t="n">
        <v>0</v>
      </c>
      <c r="L252" t="inlineStr">
        <is>
          <t>Semiurban</t>
        </is>
      </c>
      <c r="M252" t="inlineStr">
        <is>
          <t>N</t>
        </is>
      </c>
      <c r="N252">
        <f>IF(AND(K252=1,M252="Y"),"Lower Risk",IF(AND(K252=0,M252="N"),"High Risk","Medium Risk"))</f>
        <v/>
      </c>
    </row>
    <row r="253">
      <c r="A253" t="inlineStr">
        <is>
          <t>LP001836</t>
        </is>
      </c>
      <c r="B253" t="inlineStr">
        <is>
          <t>Female</t>
        </is>
      </c>
      <c r="C253" t="inlineStr">
        <is>
          <t>No</t>
        </is>
      </c>
      <c r="D253" t="n">
        <v>2</v>
      </c>
      <c r="E253" t="inlineStr">
        <is>
          <t>Graduate</t>
        </is>
      </c>
      <c r="F253" t="inlineStr">
        <is>
          <t>No</t>
        </is>
      </c>
      <c r="G253" t="n">
        <v>3427</v>
      </c>
      <c r="H253" t="n">
        <v>0</v>
      </c>
      <c r="I253" t="n">
        <v>138</v>
      </c>
      <c r="J253" t="n">
        <v>360</v>
      </c>
      <c r="K253" t="n">
        <v>1</v>
      </c>
      <c r="L253" t="inlineStr">
        <is>
          <t>Urban</t>
        </is>
      </c>
      <c r="M253" t="inlineStr">
        <is>
          <t>N</t>
        </is>
      </c>
      <c r="N253">
        <f>IF(AND(K253=1,M253="Y"),"Lower Risk",IF(AND(K253=0,M253="N"),"High Risk","Medium Risk"))</f>
        <v/>
      </c>
    </row>
    <row r="254">
      <c r="A254" t="inlineStr">
        <is>
          <t>LP001841</t>
        </is>
      </c>
      <c r="B254" t="inlineStr">
        <is>
          <t>Male</t>
        </is>
      </c>
      <c r="C254" t="inlineStr">
        <is>
          <t>No</t>
        </is>
      </c>
      <c r="D254" t="n">
        <v>0</v>
      </c>
      <c r="E254" t="inlineStr">
        <is>
          <t>Not Graduate</t>
        </is>
      </c>
      <c r="F254" t="inlineStr">
        <is>
          <t>Yes</t>
        </is>
      </c>
      <c r="G254" t="n">
        <v>2583</v>
      </c>
      <c r="H254" t="n">
        <v>2167</v>
      </c>
      <c r="I254" t="n">
        <v>104</v>
      </c>
      <c r="J254" t="n">
        <v>360</v>
      </c>
      <c r="K254" t="n">
        <v>1</v>
      </c>
      <c r="L254" t="inlineStr">
        <is>
          <t>Rural</t>
        </is>
      </c>
      <c r="M254" t="inlineStr">
        <is>
          <t>Y</t>
        </is>
      </c>
      <c r="N254">
        <f>IF(AND(K254=1,M254="Y"),"Lower Risk",IF(AND(K254=0,M254="N"),"High Risk","Medium Risk"))</f>
        <v/>
      </c>
    </row>
    <row r="255">
      <c r="A255" t="inlineStr">
        <is>
          <t>LP001843</t>
        </is>
      </c>
      <c r="B255" t="inlineStr">
        <is>
          <t>Male</t>
        </is>
      </c>
      <c r="C255" t="inlineStr">
        <is>
          <t>Yes</t>
        </is>
      </c>
      <c r="D255" t="n">
        <v>1</v>
      </c>
      <c r="E255" t="inlineStr">
        <is>
          <t>Not Graduate</t>
        </is>
      </c>
      <c r="F255" t="inlineStr">
        <is>
          <t>No</t>
        </is>
      </c>
      <c r="G255" t="n">
        <v>2661</v>
      </c>
      <c r="H255" t="n">
        <v>7101</v>
      </c>
      <c r="I255" t="n">
        <v>279</v>
      </c>
      <c r="J255" t="n">
        <v>180</v>
      </c>
      <c r="K255" t="n">
        <v>1</v>
      </c>
      <c r="L255" t="inlineStr">
        <is>
          <t>Semiurban</t>
        </is>
      </c>
      <c r="M255" t="inlineStr">
        <is>
          <t>Y</t>
        </is>
      </c>
      <c r="N255">
        <f>IF(AND(K255=1,M255="Y"),"Lower Risk",IF(AND(K255=0,M255="N"),"High Risk","Medium Risk"))</f>
        <v/>
      </c>
    </row>
    <row r="256">
      <c r="A256" t="inlineStr">
        <is>
          <t>LP001844</t>
        </is>
      </c>
      <c r="B256" t="inlineStr">
        <is>
          <t>Male</t>
        </is>
      </c>
      <c r="C256" t="inlineStr">
        <is>
          <t>No</t>
        </is>
      </c>
      <c r="D256" t="n">
        <v>0</v>
      </c>
      <c r="E256" t="inlineStr">
        <is>
          <t>Graduate</t>
        </is>
      </c>
      <c r="F256" t="inlineStr">
        <is>
          <t>Yes</t>
        </is>
      </c>
      <c r="G256" t="n">
        <v>16250</v>
      </c>
      <c r="H256" t="n">
        <v>0</v>
      </c>
      <c r="I256" t="n">
        <v>192</v>
      </c>
      <c r="J256" t="n">
        <v>360</v>
      </c>
      <c r="K256" t="n">
        <v>0</v>
      </c>
      <c r="L256" t="inlineStr">
        <is>
          <t>Urban</t>
        </is>
      </c>
      <c r="M256" t="inlineStr">
        <is>
          <t>N</t>
        </is>
      </c>
      <c r="N256">
        <f>IF(AND(K256=1,M256="Y"),"Lower Risk",IF(AND(K256=0,M256="N"),"High Risk","Medium Risk"))</f>
        <v/>
      </c>
    </row>
    <row r="257">
      <c r="A257" t="inlineStr">
        <is>
          <t>LP001846</t>
        </is>
      </c>
      <c r="B257" t="inlineStr">
        <is>
          <t>Female</t>
        </is>
      </c>
      <c r="C257" t="inlineStr">
        <is>
          <t>No</t>
        </is>
      </c>
      <c r="D257" t="inlineStr">
        <is>
          <t>3+</t>
        </is>
      </c>
      <c r="E257" t="inlineStr">
        <is>
          <t>Graduate</t>
        </is>
      </c>
      <c r="F257" t="inlineStr">
        <is>
          <t>No</t>
        </is>
      </c>
      <c r="G257" t="n">
        <v>3083</v>
      </c>
      <c r="H257" t="n">
        <v>0</v>
      </c>
      <c r="I257" t="n">
        <v>255</v>
      </c>
      <c r="J257" t="n">
        <v>360</v>
      </c>
      <c r="K257" t="n">
        <v>1</v>
      </c>
      <c r="L257" t="inlineStr">
        <is>
          <t>Rural</t>
        </is>
      </c>
      <c r="M257" t="inlineStr">
        <is>
          <t>Y</t>
        </is>
      </c>
      <c r="N257">
        <f>IF(AND(K257=1,M257="Y"),"Lower Risk",IF(AND(K257=0,M257="N"),"High Risk","Medium Risk"))</f>
        <v/>
      </c>
    </row>
    <row r="258">
      <c r="A258" t="inlineStr">
        <is>
          <t>LP001849</t>
        </is>
      </c>
      <c r="B258" t="inlineStr">
        <is>
          <t>Male</t>
        </is>
      </c>
      <c r="C258" t="inlineStr">
        <is>
          <t>No</t>
        </is>
      </c>
      <c r="D258" t="n">
        <v>0</v>
      </c>
      <c r="E258" t="inlineStr">
        <is>
          <t>Not Graduate</t>
        </is>
      </c>
      <c r="F258" t="inlineStr">
        <is>
          <t>No</t>
        </is>
      </c>
      <c r="G258" t="n">
        <v>6045</v>
      </c>
      <c r="H258" t="n">
        <v>0</v>
      </c>
      <c r="I258" t="n">
        <v>115</v>
      </c>
      <c r="J258" t="n">
        <v>360</v>
      </c>
      <c r="K258" t="n">
        <v>0</v>
      </c>
      <c r="L258" t="inlineStr">
        <is>
          <t>Rural</t>
        </is>
      </c>
      <c r="M258" t="inlineStr">
        <is>
          <t>N</t>
        </is>
      </c>
      <c r="N258">
        <f>IF(AND(K258=1,M258="Y"),"Lower Risk",IF(AND(K258=0,M258="N"),"High Risk","Medium Risk"))</f>
        <v/>
      </c>
    </row>
    <row r="259">
      <c r="A259" t="inlineStr">
        <is>
          <t>LP001854</t>
        </is>
      </c>
      <c r="B259" t="inlineStr">
        <is>
          <t>Male</t>
        </is>
      </c>
      <c r="C259" t="inlineStr">
        <is>
          <t>Yes</t>
        </is>
      </c>
      <c r="D259" t="inlineStr">
        <is>
          <t>3+</t>
        </is>
      </c>
      <c r="E259" t="inlineStr">
        <is>
          <t>Graduate</t>
        </is>
      </c>
      <c r="F259" t="inlineStr">
        <is>
          <t>No</t>
        </is>
      </c>
      <c r="G259" t="n">
        <v>5250</v>
      </c>
      <c r="H259" t="n">
        <v>0</v>
      </c>
      <c r="I259" t="n">
        <v>94</v>
      </c>
      <c r="J259" t="n">
        <v>360</v>
      </c>
      <c r="K259" t="n">
        <v>1</v>
      </c>
      <c r="L259" t="inlineStr">
        <is>
          <t>Urban</t>
        </is>
      </c>
      <c r="M259" t="inlineStr">
        <is>
          <t>N</t>
        </is>
      </c>
      <c r="N259">
        <f>IF(AND(K259=1,M259="Y"),"Lower Risk",IF(AND(K259=0,M259="N"),"High Risk","Medium Risk"))</f>
        <v/>
      </c>
    </row>
    <row r="260">
      <c r="A260" t="inlineStr">
        <is>
          <t>LP001859</t>
        </is>
      </c>
      <c r="B260" t="inlineStr">
        <is>
          <t>Male</t>
        </is>
      </c>
      <c r="C260" t="inlineStr">
        <is>
          <t>Yes</t>
        </is>
      </c>
      <c r="D260" t="n">
        <v>0</v>
      </c>
      <c r="E260" t="inlineStr">
        <is>
          <t>Graduate</t>
        </is>
      </c>
      <c r="F260" t="inlineStr">
        <is>
          <t>No</t>
        </is>
      </c>
      <c r="G260" t="n">
        <v>14683</v>
      </c>
      <c r="H260" t="n">
        <v>2100</v>
      </c>
      <c r="I260" t="n">
        <v>304</v>
      </c>
      <c r="J260" t="n">
        <v>360</v>
      </c>
      <c r="K260" t="n">
        <v>1</v>
      </c>
      <c r="L260" t="inlineStr">
        <is>
          <t>Rural</t>
        </is>
      </c>
      <c r="M260" t="inlineStr">
        <is>
          <t>N</t>
        </is>
      </c>
      <c r="N260">
        <f>IF(AND(K260=1,M260="Y"),"Lower Risk",IF(AND(K260=0,M260="N"),"High Risk","Medium Risk"))</f>
        <v/>
      </c>
    </row>
    <row r="261">
      <c r="A261" t="inlineStr">
        <is>
          <t>LP001864</t>
        </is>
      </c>
      <c r="B261" t="inlineStr">
        <is>
          <t>Male</t>
        </is>
      </c>
      <c r="C261" t="inlineStr">
        <is>
          <t>Yes</t>
        </is>
      </c>
      <c r="D261" t="inlineStr">
        <is>
          <t>3+</t>
        </is>
      </c>
      <c r="E261" t="inlineStr">
        <is>
          <t>Not Graduate</t>
        </is>
      </c>
      <c r="F261" t="inlineStr">
        <is>
          <t>No</t>
        </is>
      </c>
      <c r="G261" t="n">
        <v>4931</v>
      </c>
      <c r="H261" t="n">
        <v>0</v>
      </c>
      <c r="I261" t="n">
        <v>128</v>
      </c>
      <c r="J261" t="n">
        <v>360</v>
      </c>
      <c r="L261" t="inlineStr">
        <is>
          <t>Semiurban</t>
        </is>
      </c>
      <c r="M261" t="inlineStr">
        <is>
          <t>N</t>
        </is>
      </c>
      <c r="N261">
        <f>IF(AND(K261=1,M261="Y"),"Lower Risk",IF(AND(K261=0,M261="N"),"High Risk","Medium Risk"))</f>
        <v/>
      </c>
    </row>
    <row r="262">
      <c r="A262" t="inlineStr">
        <is>
          <t>LP001865</t>
        </is>
      </c>
      <c r="B262" t="inlineStr">
        <is>
          <t>Male</t>
        </is>
      </c>
      <c r="C262" t="inlineStr">
        <is>
          <t>Yes</t>
        </is>
      </c>
      <c r="D262" t="n">
        <v>1</v>
      </c>
      <c r="E262" t="inlineStr">
        <is>
          <t>Graduate</t>
        </is>
      </c>
      <c r="F262" t="inlineStr">
        <is>
          <t>No</t>
        </is>
      </c>
      <c r="G262" t="n">
        <v>6083</v>
      </c>
      <c r="H262" t="n">
        <v>4250</v>
      </c>
      <c r="I262" t="n">
        <v>330</v>
      </c>
      <c r="J262" t="n">
        <v>360</v>
      </c>
      <c r="L262" t="inlineStr">
        <is>
          <t>Urban</t>
        </is>
      </c>
      <c r="M262" t="inlineStr">
        <is>
          <t>Y</t>
        </is>
      </c>
      <c r="N262">
        <f>IF(AND(K262=1,M262="Y"),"Lower Risk",IF(AND(K262=0,M262="N"),"High Risk","Medium Risk"))</f>
        <v/>
      </c>
    </row>
    <row r="263">
      <c r="A263" t="inlineStr">
        <is>
          <t>LP001868</t>
        </is>
      </c>
      <c r="B263" t="inlineStr">
        <is>
          <t>Male</t>
        </is>
      </c>
      <c r="C263" t="inlineStr">
        <is>
          <t>No</t>
        </is>
      </c>
      <c r="D263" t="n">
        <v>0</v>
      </c>
      <c r="E263" t="inlineStr">
        <is>
          <t>Graduate</t>
        </is>
      </c>
      <c r="F263" t="inlineStr">
        <is>
          <t>No</t>
        </is>
      </c>
      <c r="G263" t="n">
        <v>2060</v>
      </c>
      <c r="H263" t="n">
        <v>2209</v>
      </c>
      <c r="I263" t="n">
        <v>134</v>
      </c>
      <c r="J263" t="n">
        <v>360</v>
      </c>
      <c r="K263" t="n">
        <v>1</v>
      </c>
      <c r="L263" t="inlineStr">
        <is>
          <t>Semiurban</t>
        </is>
      </c>
      <c r="M263" t="inlineStr">
        <is>
          <t>Y</t>
        </is>
      </c>
      <c r="N263">
        <f>IF(AND(K263=1,M263="Y"),"Lower Risk",IF(AND(K263=0,M263="N"),"High Risk","Medium Risk"))</f>
        <v/>
      </c>
    </row>
    <row r="264">
      <c r="A264" t="inlineStr">
        <is>
          <t>LP001870</t>
        </is>
      </c>
      <c r="B264" t="inlineStr">
        <is>
          <t>Female</t>
        </is>
      </c>
      <c r="C264" t="inlineStr">
        <is>
          <t>No</t>
        </is>
      </c>
      <c r="D264" t="n">
        <v>1</v>
      </c>
      <c r="E264" t="inlineStr">
        <is>
          <t>Graduate</t>
        </is>
      </c>
      <c r="F264" t="inlineStr">
        <is>
          <t>No</t>
        </is>
      </c>
      <c r="G264" t="n">
        <v>3481</v>
      </c>
      <c r="H264" t="n">
        <v>0</v>
      </c>
      <c r="I264" t="n">
        <v>155</v>
      </c>
      <c r="J264" t="n">
        <v>36</v>
      </c>
      <c r="K264" t="n">
        <v>1</v>
      </c>
      <c r="L264" t="inlineStr">
        <is>
          <t>Semiurban</t>
        </is>
      </c>
      <c r="M264" t="inlineStr">
        <is>
          <t>N</t>
        </is>
      </c>
      <c r="N264">
        <f>IF(AND(K264=1,M264="Y"),"Lower Risk",IF(AND(K264=0,M264="N"),"High Risk","Medium Risk"))</f>
        <v/>
      </c>
    </row>
    <row r="265">
      <c r="A265" t="inlineStr">
        <is>
          <t>LP001871</t>
        </is>
      </c>
      <c r="B265" t="inlineStr">
        <is>
          <t>Female</t>
        </is>
      </c>
      <c r="C265" t="inlineStr">
        <is>
          <t>No</t>
        </is>
      </c>
      <c r="D265" t="n">
        <v>0</v>
      </c>
      <c r="E265" t="inlineStr">
        <is>
          <t>Graduate</t>
        </is>
      </c>
      <c r="F265" t="inlineStr">
        <is>
          <t>No</t>
        </is>
      </c>
      <c r="G265" t="n">
        <v>7200</v>
      </c>
      <c r="H265" t="n">
        <v>0</v>
      </c>
      <c r="I265" t="n">
        <v>120</v>
      </c>
      <c r="J265" t="n">
        <v>360</v>
      </c>
      <c r="K265" t="n">
        <v>1</v>
      </c>
      <c r="L265" t="inlineStr">
        <is>
          <t>Rural</t>
        </is>
      </c>
      <c r="M265" t="inlineStr">
        <is>
          <t>Y</t>
        </is>
      </c>
      <c r="N265">
        <f>IF(AND(K265=1,M265="Y"),"Lower Risk",IF(AND(K265=0,M265="N"),"High Risk","Medium Risk"))</f>
        <v/>
      </c>
    </row>
    <row r="266">
      <c r="A266" t="inlineStr">
        <is>
          <t>LP001872</t>
        </is>
      </c>
      <c r="B266" t="inlineStr">
        <is>
          <t>Male</t>
        </is>
      </c>
      <c r="C266" t="inlineStr">
        <is>
          <t>No</t>
        </is>
      </c>
      <c r="D266" t="n">
        <v>0</v>
      </c>
      <c r="E266" t="inlineStr">
        <is>
          <t>Graduate</t>
        </is>
      </c>
      <c r="F266" t="inlineStr">
        <is>
          <t>Yes</t>
        </is>
      </c>
      <c r="G266" t="n">
        <v>5166</v>
      </c>
      <c r="H266" t="n">
        <v>0</v>
      </c>
      <c r="I266" t="n">
        <v>128</v>
      </c>
      <c r="J266" t="n">
        <v>360</v>
      </c>
      <c r="K266" t="n">
        <v>1</v>
      </c>
      <c r="L266" t="inlineStr">
        <is>
          <t>Semiurban</t>
        </is>
      </c>
      <c r="M266" t="inlineStr">
        <is>
          <t>Y</t>
        </is>
      </c>
      <c r="N266">
        <f>IF(AND(K266=1,M266="Y"),"Lower Risk",IF(AND(K266=0,M266="N"),"High Risk","Medium Risk"))</f>
        <v/>
      </c>
    </row>
    <row r="267">
      <c r="A267" t="inlineStr">
        <is>
          <t>LP001875</t>
        </is>
      </c>
      <c r="B267" t="inlineStr">
        <is>
          <t>Male</t>
        </is>
      </c>
      <c r="C267" t="inlineStr">
        <is>
          <t>No</t>
        </is>
      </c>
      <c r="D267" t="n">
        <v>0</v>
      </c>
      <c r="E267" t="inlineStr">
        <is>
          <t>Graduate</t>
        </is>
      </c>
      <c r="F267" t="inlineStr">
        <is>
          <t>No</t>
        </is>
      </c>
      <c r="G267" t="n">
        <v>4095</v>
      </c>
      <c r="H267" t="n">
        <v>3447</v>
      </c>
      <c r="I267" t="n">
        <v>151</v>
      </c>
      <c r="J267" t="n">
        <v>360</v>
      </c>
      <c r="K267" t="n">
        <v>1</v>
      </c>
      <c r="L267" t="inlineStr">
        <is>
          <t>Rural</t>
        </is>
      </c>
      <c r="M267" t="inlineStr">
        <is>
          <t>Y</t>
        </is>
      </c>
      <c r="N267">
        <f>IF(AND(K267=1,M267="Y"),"Lower Risk",IF(AND(K267=0,M267="N"),"High Risk","Medium Risk"))</f>
        <v/>
      </c>
    </row>
    <row r="268">
      <c r="A268" t="inlineStr">
        <is>
          <t>LP001877</t>
        </is>
      </c>
      <c r="B268" t="inlineStr">
        <is>
          <t>Male</t>
        </is>
      </c>
      <c r="C268" t="inlineStr">
        <is>
          <t>Yes</t>
        </is>
      </c>
      <c r="D268" t="n">
        <v>2</v>
      </c>
      <c r="E268" t="inlineStr">
        <is>
          <t>Graduate</t>
        </is>
      </c>
      <c r="F268" t="inlineStr">
        <is>
          <t>No</t>
        </is>
      </c>
      <c r="G268" t="n">
        <v>4708</v>
      </c>
      <c r="H268" t="n">
        <v>1387</v>
      </c>
      <c r="I268" t="n">
        <v>150</v>
      </c>
      <c r="J268" t="n">
        <v>360</v>
      </c>
      <c r="K268" t="n">
        <v>1</v>
      </c>
      <c r="L268" t="inlineStr">
        <is>
          <t>Semiurban</t>
        </is>
      </c>
      <c r="M268" t="inlineStr">
        <is>
          <t>Y</t>
        </is>
      </c>
      <c r="N268">
        <f>IF(AND(K268=1,M268="Y"),"Lower Risk",IF(AND(K268=0,M268="N"),"High Risk","Medium Risk"))</f>
        <v/>
      </c>
    </row>
    <row r="269">
      <c r="A269" t="inlineStr">
        <is>
          <t>LP001882</t>
        </is>
      </c>
      <c r="B269" t="inlineStr">
        <is>
          <t>Male</t>
        </is>
      </c>
      <c r="C269" t="inlineStr">
        <is>
          <t>Yes</t>
        </is>
      </c>
      <c r="D269" t="inlineStr">
        <is>
          <t>3+</t>
        </is>
      </c>
      <c r="E269" t="inlineStr">
        <is>
          <t>Graduate</t>
        </is>
      </c>
      <c r="F269" t="inlineStr">
        <is>
          <t>No</t>
        </is>
      </c>
      <c r="G269" t="n">
        <v>4333</v>
      </c>
      <c r="H269" t="n">
        <v>1811</v>
      </c>
      <c r="I269" t="n">
        <v>160</v>
      </c>
      <c r="J269" t="n">
        <v>360</v>
      </c>
      <c r="K269" t="n">
        <v>0</v>
      </c>
      <c r="L269" t="inlineStr">
        <is>
          <t>Urban</t>
        </is>
      </c>
      <c r="M269" t="inlineStr">
        <is>
          <t>Y</t>
        </is>
      </c>
      <c r="N269">
        <f>IF(AND(K269=1,M269="Y"),"Lower Risk",IF(AND(K269=0,M269="N"),"High Risk","Medium Risk"))</f>
        <v/>
      </c>
    </row>
    <row r="270">
      <c r="A270" t="inlineStr">
        <is>
          <t>LP001883</t>
        </is>
      </c>
      <c r="B270" t="inlineStr">
        <is>
          <t>Female</t>
        </is>
      </c>
      <c r="C270" t="inlineStr">
        <is>
          <t>No</t>
        </is>
      </c>
      <c r="D270" t="n">
        <v>0</v>
      </c>
      <c r="E270" t="inlineStr">
        <is>
          <t>Graduate</t>
        </is>
      </c>
      <c r="G270" t="n">
        <v>3418</v>
      </c>
      <c r="H270" t="n">
        <v>0</v>
      </c>
      <c r="I270" t="n">
        <v>135</v>
      </c>
      <c r="J270" t="n">
        <v>360</v>
      </c>
      <c r="K270" t="n">
        <v>1</v>
      </c>
      <c r="L270" t="inlineStr">
        <is>
          <t>Rural</t>
        </is>
      </c>
      <c r="M270" t="inlineStr">
        <is>
          <t>N</t>
        </is>
      </c>
      <c r="N270">
        <f>IF(AND(K270=1,M270="Y"),"Lower Risk",IF(AND(K270=0,M270="N"),"High Risk","Medium Risk"))</f>
        <v/>
      </c>
    </row>
    <row r="271">
      <c r="A271" t="inlineStr">
        <is>
          <t>LP001884</t>
        </is>
      </c>
      <c r="B271" t="inlineStr">
        <is>
          <t>Female</t>
        </is>
      </c>
      <c r="C271" t="inlineStr">
        <is>
          <t>No</t>
        </is>
      </c>
      <c r="D271" t="n">
        <v>1</v>
      </c>
      <c r="E271" t="inlineStr">
        <is>
          <t>Graduate</t>
        </is>
      </c>
      <c r="F271" t="inlineStr">
        <is>
          <t>No</t>
        </is>
      </c>
      <c r="G271" t="n">
        <v>2876</v>
      </c>
      <c r="H271" t="n">
        <v>1560</v>
      </c>
      <c r="I271" t="n">
        <v>90</v>
      </c>
      <c r="J271" t="n">
        <v>360</v>
      </c>
      <c r="K271" t="n">
        <v>1</v>
      </c>
      <c r="L271" t="inlineStr">
        <is>
          <t>Urban</t>
        </is>
      </c>
      <c r="M271" t="inlineStr">
        <is>
          <t>Y</t>
        </is>
      </c>
      <c r="N271">
        <f>IF(AND(K271=1,M271="Y"),"Lower Risk",IF(AND(K271=0,M271="N"),"High Risk","Medium Risk"))</f>
        <v/>
      </c>
    </row>
    <row r="272">
      <c r="A272" t="inlineStr">
        <is>
          <t>LP001888</t>
        </is>
      </c>
      <c r="B272" t="inlineStr">
        <is>
          <t>Female</t>
        </is>
      </c>
      <c r="C272" t="inlineStr">
        <is>
          <t>No</t>
        </is>
      </c>
      <c r="D272" t="n">
        <v>0</v>
      </c>
      <c r="E272" t="inlineStr">
        <is>
          <t>Graduate</t>
        </is>
      </c>
      <c r="F272" t="inlineStr">
        <is>
          <t>No</t>
        </is>
      </c>
      <c r="G272" t="n">
        <v>3237</v>
      </c>
      <c r="H272" t="n">
        <v>0</v>
      </c>
      <c r="I272" t="n">
        <v>30</v>
      </c>
      <c r="J272" t="n">
        <v>360</v>
      </c>
      <c r="K272" t="n">
        <v>1</v>
      </c>
      <c r="L272" t="inlineStr">
        <is>
          <t>Urban</t>
        </is>
      </c>
      <c r="M272" t="inlineStr">
        <is>
          <t>Y</t>
        </is>
      </c>
      <c r="N272">
        <f>IF(AND(K272=1,M272="Y"),"Lower Risk",IF(AND(K272=0,M272="N"),"High Risk","Medium Risk"))</f>
        <v/>
      </c>
    </row>
    <row r="273">
      <c r="A273" t="inlineStr">
        <is>
          <t>LP001891</t>
        </is>
      </c>
      <c r="B273" t="inlineStr">
        <is>
          <t>Male</t>
        </is>
      </c>
      <c r="C273" t="inlineStr">
        <is>
          <t>Yes</t>
        </is>
      </c>
      <c r="D273" t="n">
        <v>0</v>
      </c>
      <c r="E273" t="inlineStr">
        <is>
          <t>Graduate</t>
        </is>
      </c>
      <c r="F273" t="inlineStr">
        <is>
          <t>No</t>
        </is>
      </c>
      <c r="G273" t="n">
        <v>11146</v>
      </c>
      <c r="H273" t="n">
        <v>0</v>
      </c>
      <c r="I273" t="n">
        <v>136</v>
      </c>
      <c r="J273" t="n">
        <v>360</v>
      </c>
      <c r="K273" t="n">
        <v>1</v>
      </c>
      <c r="L273" t="inlineStr">
        <is>
          <t>Urban</t>
        </is>
      </c>
      <c r="M273" t="inlineStr">
        <is>
          <t>Y</t>
        </is>
      </c>
      <c r="N273">
        <f>IF(AND(K273=1,M273="Y"),"Lower Risk",IF(AND(K273=0,M273="N"),"High Risk","Medium Risk"))</f>
        <v/>
      </c>
    </row>
    <row r="274">
      <c r="A274" t="inlineStr">
        <is>
          <t>LP001892</t>
        </is>
      </c>
      <c r="B274" t="inlineStr">
        <is>
          <t>Male</t>
        </is>
      </c>
      <c r="C274" t="inlineStr">
        <is>
          <t>No</t>
        </is>
      </c>
      <c r="D274" t="n">
        <v>0</v>
      </c>
      <c r="E274" t="inlineStr">
        <is>
          <t>Graduate</t>
        </is>
      </c>
      <c r="F274" t="inlineStr">
        <is>
          <t>No</t>
        </is>
      </c>
      <c r="G274" t="n">
        <v>2833</v>
      </c>
      <c r="H274" t="n">
        <v>1857</v>
      </c>
      <c r="I274" t="n">
        <v>126</v>
      </c>
      <c r="J274" t="n">
        <v>360</v>
      </c>
      <c r="K274" t="n">
        <v>1</v>
      </c>
      <c r="L274" t="inlineStr">
        <is>
          <t>Rural</t>
        </is>
      </c>
      <c r="M274" t="inlineStr">
        <is>
          <t>Y</t>
        </is>
      </c>
      <c r="N274">
        <f>IF(AND(K274=1,M274="Y"),"Lower Risk",IF(AND(K274=0,M274="N"),"High Risk","Medium Risk"))</f>
        <v/>
      </c>
    </row>
    <row r="275">
      <c r="A275" t="inlineStr">
        <is>
          <t>LP001894</t>
        </is>
      </c>
      <c r="B275" t="inlineStr">
        <is>
          <t>Male</t>
        </is>
      </c>
      <c r="C275" t="inlineStr">
        <is>
          <t>Yes</t>
        </is>
      </c>
      <c r="D275" t="n">
        <v>0</v>
      </c>
      <c r="E275" t="inlineStr">
        <is>
          <t>Graduate</t>
        </is>
      </c>
      <c r="F275" t="inlineStr">
        <is>
          <t>No</t>
        </is>
      </c>
      <c r="G275" t="n">
        <v>2620</v>
      </c>
      <c r="H275" t="n">
        <v>2223</v>
      </c>
      <c r="I275" t="n">
        <v>150</v>
      </c>
      <c r="J275" t="n">
        <v>360</v>
      </c>
      <c r="K275" t="n">
        <v>1</v>
      </c>
      <c r="L275" t="inlineStr">
        <is>
          <t>Semiurban</t>
        </is>
      </c>
      <c r="M275" t="inlineStr">
        <is>
          <t>Y</t>
        </is>
      </c>
      <c r="N275">
        <f>IF(AND(K275=1,M275="Y"),"Lower Risk",IF(AND(K275=0,M275="N"),"High Risk","Medium Risk"))</f>
        <v/>
      </c>
    </row>
    <row r="276">
      <c r="A276" t="inlineStr">
        <is>
          <t>LP001896</t>
        </is>
      </c>
      <c r="B276" t="inlineStr">
        <is>
          <t>Male</t>
        </is>
      </c>
      <c r="C276" t="inlineStr">
        <is>
          <t>Yes</t>
        </is>
      </c>
      <c r="D276" t="n">
        <v>2</v>
      </c>
      <c r="E276" t="inlineStr">
        <is>
          <t>Graduate</t>
        </is>
      </c>
      <c r="F276" t="inlineStr">
        <is>
          <t>No</t>
        </is>
      </c>
      <c r="G276" t="n">
        <v>3900</v>
      </c>
      <c r="H276" t="n">
        <v>0</v>
      </c>
      <c r="I276" t="n">
        <v>90</v>
      </c>
      <c r="J276" t="n">
        <v>360</v>
      </c>
      <c r="K276" t="n">
        <v>1</v>
      </c>
      <c r="L276" t="inlineStr">
        <is>
          <t>Semiurban</t>
        </is>
      </c>
      <c r="M276" t="inlineStr">
        <is>
          <t>Y</t>
        </is>
      </c>
      <c r="N276">
        <f>IF(AND(K276=1,M276="Y"),"Lower Risk",IF(AND(K276=0,M276="N"),"High Risk","Medium Risk"))</f>
        <v/>
      </c>
    </row>
    <row r="277">
      <c r="A277" t="inlineStr">
        <is>
          <t>LP001900</t>
        </is>
      </c>
      <c r="B277" t="inlineStr">
        <is>
          <t>Male</t>
        </is>
      </c>
      <c r="C277" t="inlineStr">
        <is>
          <t>Yes</t>
        </is>
      </c>
      <c r="D277" t="n">
        <v>1</v>
      </c>
      <c r="E277" t="inlineStr">
        <is>
          <t>Graduate</t>
        </is>
      </c>
      <c r="F277" t="inlineStr">
        <is>
          <t>No</t>
        </is>
      </c>
      <c r="G277" t="n">
        <v>2750</v>
      </c>
      <c r="H277" t="n">
        <v>1842</v>
      </c>
      <c r="I277" t="n">
        <v>115</v>
      </c>
      <c r="J277" t="n">
        <v>360</v>
      </c>
      <c r="K277" t="n">
        <v>1</v>
      </c>
      <c r="L277" t="inlineStr">
        <is>
          <t>Semiurban</t>
        </is>
      </c>
      <c r="M277" t="inlineStr">
        <is>
          <t>Y</t>
        </is>
      </c>
      <c r="N277">
        <f>IF(AND(K277=1,M277="Y"),"Lower Risk",IF(AND(K277=0,M277="N"),"High Risk","Medium Risk"))</f>
        <v/>
      </c>
    </row>
    <row r="278">
      <c r="A278" t="inlineStr">
        <is>
          <t>LP001903</t>
        </is>
      </c>
      <c r="B278" t="inlineStr">
        <is>
          <t>Male</t>
        </is>
      </c>
      <c r="C278" t="inlineStr">
        <is>
          <t>Yes</t>
        </is>
      </c>
      <c r="D278" t="n">
        <v>0</v>
      </c>
      <c r="E278" t="inlineStr">
        <is>
          <t>Graduate</t>
        </is>
      </c>
      <c r="F278" t="inlineStr">
        <is>
          <t>No</t>
        </is>
      </c>
      <c r="G278" t="n">
        <v>3993</v>
      </c>
      <c r="H278" t="n">
        <v>3274</v>
      </c>
      <c r="I278" t="n">
        <v>207</v>
      </c>
      <c r="J278" t="n">
        <v>360</v>
      </c>
      <c r="K278" t="n">
        <v>1</v>
      </c>
      <c r="L278" t="inlineStr">
        <is>
          <t>Semiurban</t>
        </is>
      </c>
      <c r="M278" t="inlineStr">
        <is>
          <t>Y</t>
        </is>
      </c>
      <c r="N278">
        <f>IF(AND(K278=1,M278="Y"),"Lower Risk",IF(AND(K278=0,M278="N"),"High Risk","Medium Risk"))</f>
        <v/>
      </c>
    </row>
    <row r="279">
      <c r="A279" t="inlineStr">
        <is>
          <t>LP001904</t>
        </is>
      </c>
      <c r="B279" t="inlineStr">
        <is>
          <t>Male</t>
        </is>
      </c>
      <c r="C279" t="inlineStr">
        <is>
          <t>Yes</t>
        </is>
      </c>
      <c r="D279" t="n">
        <v>0</v>
      </c>
      <c r="E279" t="inlineStr">
        <is>
          <t>Graduate</t>
        </is>
      </c>
      <c r="F279" t="inlineStr">
        <is>
          <t>No</t>
        </is>
      </c>
      <c r="G279" t="n">
        <v>3103</v>
      </c>
      <c r="H279" t="n">
        <v>1300</v>
      </c>
      <c r="I279" t="n">
        <v>80</v>
      </c>
      <c r="J279" t="n">
        <v>360</v>
      </c>
      <c r="K279" t="n">
        <v>1</v>
      </c>
      <c r="L279" t="inlineStr">
        <is>
          <t>Urban</t>
        </is>
      </c>
      <c r="M279" t="inlineStr">
        <is>
          <t>Y</t>
        </is>
      </c>
      <c r="N279">
        <f>IF(AND(K279=1,M279="Y"),"Lower Risk",IF(AND(K279=0,M279="N"),"High Risk","Medium Risk"))</f>
        <v/>
      </c>
    </row>
    <row r="280">
      <c r="A280" t="inlineStr">
        <is>
          <t>LP001907</t>
        </is>
      </c>
      <c r="B280" t="inlineStr">
        <is>
          <t>Male</t>
        </is>
      </c>
      <c r="C280" t="inlineStr">
        <is>
          <t>Yes</t>
        </is>
      </c>
      <c r="D280" t="n">
        <v>0</v>
      </c>
      <c r="E280" t="inlineStr">
        <is>
          <t>Graduate</t>
        </is>
      </c>
      <c r="F280" t="inlineStr">
        <is>
          <t>No</t>
        </is>
      </c>
      <c r="G280" t="n">
        <v>14583</v>
      </c>
      <c r="H280" t="n">
        <v>0</v>
      </c>
      <c r="I280" t="n">
        <v>436</v>
      </c>
      <c r="J280" t="n">
        <v>360</v>
      </c>
      <c r="K280" t="n">
        <v>1</v>
      </c>
      <c r="L280" t="inlineStr">
        <is>
          <t>Semiurban</t>
        </is>
      </c>
      <c r="M280" t="inlineStr">
        <is>
          <t>Y</t>
        </is>
      </c>
      <c r="N280">
        <f>IF(AND(K280=1,M280="Y"),"Lower Risk",IF(AND(K280=0,M280="N"),"High Risk","Medium Risk"))</f>
        <v/>
      </c>
    </row>
    <row r="281">
      <c r="A281" t="inlineStr">
        <is>
          <t>LP001908</t>
        </is>
      </c>
      <c r="B281" t="inlineStr">
        <is>
          <t>Female</t>
        </is>
      </c>
      <c r="C281" t="inlineStr">
        <is>
          <t>Yes</t>
        </is>
      </c>
      <c r="D281" t="n">
        <v>0</v>
      </c>
      <c r="E281" t="inlineStr">
        <is>
          <t>Not Graduate</t>
        </is>
      </c>
      <c r="F281" t="inlineStr">
        <is>
          <t>No</t>
        </is>
      </c>
      <c r="G281" t="n">
        <v>4100</v>
      </c>
      <c r="H281" t="n">
        <v>0</v>
      </c>
      <c r="I281" t="n">
        <v>124</v>
      </c>
      <c r="J281" t="n">
        <v>360</v>
      </c>
      <c r="L281" t="inlineStr">
        <is>
          <t>Rural</t>
        </is>
      </c>
      <c r="M281" t="inlineStr">
        <is>
          <t>Y</t>
        </is>
      </c>
      <c r="N281">
        <f>IF(AND(K281=1,M281="Y"),"Lower Risk",IF(AND(K281=0,M281="N"),"High Risk","Medium Risk"))</f>
        <v/>
      </c>
    </row>
    <row r="282">
      <c r="A282" t="inlineStr">
        <is>
          <t>LP001910</t>
        </is>
      </c>
      <c r="B282" t="inlineStr">
        <is>
          <t>Male</t>
        </is>
      </c>
      <c r="C282" t="inlineStr">
        <is>
          <t>No</t>
        </is>
      </c>
      <c r="D282" t="n">
        <v>1</v>
      </c>
      <c r="E282" t="inlineStr">
        <is>
          <t>Not Graduate</t>
        </is>
      </c>
      <c r="F282" t="inlineStr">
        <is>
          <t>Yes</t>
        </is>
      </c>
      <c r="G282" t="n">
        <v>4053</v>
      </c>
      <c r="H282" t="n">
        <v>2426</v>
      </c>
      <c r="I282" t="n">
        <v>158</v>
      </c>
      <c r="J282" t="n">
        <v>360</v>
      </c>
      <c r="K282" t="n">
        <v>0</v>
      </c>
      <c r="L282" t="inlineStr">
        <is>
          <t>Urban</t>
        </is>
      </c>
      <c r="M282" t="inlineStr">
        <is>
          <t>N</t>
        </is>
      </c>
      <c r="N282">
        <f>IF(AND(K282=1,M282="Y"),"Lower Risk",IF(AND(K282=0,M282="N"),"High Risk","Medium Risk"))</f>
        <v/>
      </c>
    </row>
    <row r="283">
      <c r="A283" t="inlineStr">
        <is>
          <t>LP001914</t>
        </is>
      </c>
      <c r="B283" t="inlineStr">
        <is>
          <t>Male</t>
        </is>
      </c>
      <c r="C283" t="inlineStr">
        <is>
          <t>Yes</t>
        </is>
      </c>
      <c r="D283" t="n">
        <v>0</v>
      </c>
      <c r="E283" t="inlineStr">
        <is>
          <t>Graduate</t>
        </is>
      </c>
      <c r="F283" t="inlineStr">
        <is>
          <t>No</t>
        </is>
      </c>
      <c r="G283" t="n">
        <v>3927</v>
      </c>
      <c r="H283" t="n">
        <v>800</v>
      </c>
      <c r="I283" t="n">
        <v>112</v>
      </c>
      <c r="J283" t="n">
        <v>360</v>
      </c>
      <c r="K283" t="n">
        <v>1</v>
      </c>
      <c r="L283" t="inlineStr">
        <is>
          <t>Semiurban</t>
        </is>
      </c>
      <c r="M283" t="inlineStr">
        <is>
          <t>Y</t>
        </is>
      </c>
      <c r="N283">
        <f>IF(AND(K283=1,M283="Y"),"Lower Risk",IF(AND(K283=0,M283="N"),"High Risk","Medium Risk"))</f>
        <v/>
      </c>
    </row>
    <row r="284">
      <c r="A284" t="inlineStr">
        <is>
          <t>LP001915</t>
        </is>
      </c>
      <c r="B284" t="inlineStr">
        <is>
          <t>Male</t>
        </is>
      </c>
      <c r="C284" t="inlineStr">
        <is>
          <t>Yes</t>
        </is>
      </c>
      <c r="D284" t="n">
        <v>2</v>
      </c>
      <c r="E284" t="inlineStr">
        <is>
          <t>Graduate</t>
        </is>
      </c>
      <c r="F284" t="inlineStr">
        <is>
          <t>No</t>
        </is>
      </c>
      <c r="G284" t="n">
        <v>2301</v>
      </c>
      <c r="H284" t="n">
        <v>985.7999878000001</v>
      </c>
      <c r="I284" t="n">
        <v>78</v>
      </c>
      <c r="J284" t="n">
        <v>180</v>
      </c>
      <c r="K284" t="n">
        <v>1</v>
      </c>
      <c r="L284" t="inlineStr">
        <is>
          <t>Urban</t>
        </is>
      </c>
      <c r="M284" t="inlineStr">
        <is>
          <t>Y</t>
        </is>
      </c>
      <c r="N284">
        <f>IF(AND(K284=1,M284="Y"),"Lower Risk",IF(AND(K284=0,M284="N"),"High Risk","Medium Risk"))</f>
        <v/>
      </c>
    </row>
    <row r="285">
      <c r="A285" t="inlineStr">
        <is>
          <t>LP001917</t>
        </is>
      </c>
      <c r="B285" t="inlineStr">
        <is>
          <t>Female</t>
        </is>
      </c>
      <c r="C285" t="inlineStr">
        <is>
          <t>No</t>
        </is>
      </c>
      <c r="D285" t="n">
        <v>0</v>
      </c>
      <c r="E285" t="inlineStr">
        <is>
          <t>Graduate</t>
        </is>
      </c>
      <c r="F285" t="inlineStr">
        <is>
          <t>No</t>
        </is>
      </c>
      <c r="G285" t="n">
        <v>1811</v>
      </c>
      <c r="H285" t="n">
        <v>1666</v>
      </c>
      <c r="I285" t="n">
        <v>54</v>
      </c>
      <c r="J285" t="n">
        <v>360</v>
      </c>
      <c r="K285" t="n">
        <v>1</v>
      </c>
      <c r="L285" t="inlineStr">
        <is>
          <t>Urban</t>
        </is>
      </c>
      <c r="M285" t="inlineStr">
        <is>
          <t>Y</t>
        </is>
      </c>
      <c r="N285">
        <f>IF(AND(K285=1,M285="Y"),"Lower Risk",IF(AND(K285=0,M285="N"),"High Risk","Medium Risk"))</f>
        <v/>
      </c>
    </row>
    <row r="286">
      <c r="A286" t="inlineStr">
        <is>
          <t>LP001922</t>
        </is>
      </c>
      <c r="B286" t="inlineStr">
        <is>
          <t>Male</t>
        </is>
      </c>
      <c r="C286" t="inlineStr">
        <is>
          <t>Yes</t>
        </is>
      </c>
      <c r="D286" t="n">
        <v>0</v>
      </c>
      <c r="E286" t="inlineStr">
        <is>
          <t>Graduate</t>
        </is>
      </c>
      <c r="F286" t="inlineStr">
        <is>
          <t>No</t>
        </is>
      </c>
      <c r="G286" t="n">
        <v>20667</v>
      </c>
      <c r="H286" t="n">
        <v>0</v>
      </c>
      <c r="J286" t="n">
        <v>360</v>
      </c>
      <c r="K286" t="n">
        <v>1</v>
      </c>
      <c r="L286" t="inlineStr">
        <is>
          <t>Rural</t>
        </is>
      </c>
      <c r="M286" t="inlineStr">
        <is>
          <t>N</t>
        </is>
      </c>
      <c r="N286">
        <f>IF(AND(K286=1,M286="Y"),"Lower Risk",IF(AND(K286=0,M286="N"),"High Risk","Medium Risk"))</f>
        <v/>
      </c>
    </row>
    <row r="287">
      <c r="A287" t="inlineStr">
        <is>
          <t>LP001924</t>
        </is>
      </c>
      <c r="B287" t="inlineStr">
        <is>
          <t>Male</t>
        </is>
      </c>
      <c r="C287" t="inlineStr">
        <is>
          <t>No</t>
        </is>
      </c>
      <c r="D287" t="n">
        <v>0</v>
      </c>
      <c r="E287" t="inlineStr">
        <is>
          <t>Graduate</t>
        </is>
      </c>
      <c r="F287" t="inlineStr">
        <is>
          <t>No</t>
        </is>
      </c>
      <c r="G287" t="n">
        <v>3158</v>
      </c>
      <c r="H287" t="n">
        <v>3053</v>
      </c>
      <c r="I287" t="n">
        <v>89</v>
      </c>
      <c r="J287" t="n">
        <v>360</v>
      </c>
      <c r="K287" t="n">
        <v>1</v>
      </c>
      <c r="L287" t="inlineStr">
        <is>
          <t>Rural</t>
        </is>
      </c>
      <c r="M287" t="inlineStr">
        <is>
          <t>Y</t>
        </is>
      </c>
      <c r="N287">
        <f>IF(AND(K287=1,M287="Y"),"Lower Risk",IF(AND(K287=0,M287="N"),"High Risk","Medium Risk"))</f>
        <v/>
      </c>
    </row>
    <row r="288">
      <c r="A288" t="inlineStr">
        <is>
          <t>LP001925</t>
        </is>
      </c>
      <c r="B288" t="inlineStr">
        <is>
          <t>Female</t>
        </is>
      </c>
      <c r="C288" t="inlineStr">
        <is>
          <t>No</t>
        </is>
      </c>
      <c r="D288" t="n">
        <v>0</v>
      </c>
      <c r="E288" t="inlineStr">
        <is>
          <t>Graduate</t>
        </is>
      </c>
      <c r="F288" t="inlineStr">
        <is>
          <t>Yes</t>
        </is>
      </c>
      <c r="G288" t="n">
        <v>2600</v>
      </c>
      <c r="H288" t="n">
        <v>1717</v>
      </c>
      <c r="I288" t="n">
        <v>99</v>
      </c>
      <c r="J288" t="n">
        <v>300</v>
      </c>
      <c r="K288" t="n">
        <v>1</v>
      </c>
      <c r="L288" t="inlineStr">
        <is>
          <t>Semiurban</t>
        </is>
      </c>
      <c r="M288" t="inlineStr">
        <is>
          <t>N</t>
        </is>
      </c>
      <c r="N288">
        <f>IF(AND(K288=1,M288="Y"),"Lower Risk",IF(AND(K288=0,M288="N"),"High Risk","Medium Risk"))</f>
        <v/>
      </c>
    </row>
    <row r="289">
      <c r="A289" t="inlineStr">
        <is>
          <t>LP001926</t>
        </is>
      </c>
      <c r="B289" t="inlineStr">
        <is>
          <t>Male</t>
        </is>
      </c>
      <c r="C289" t="inlineStr">
        <is>
          <t>Yes</t>
        </is>
      </c>
      <c r="D289" t="n">
        <v>0</v>
      </c>
      <c r="E289" t="inlineStr">
        <is>
          <t>Graduate</t>
        </is>
      </c>
      <c r="F289" t="inlineStr">
        <is>
          <t>No</t>
        </is>
      </c>
      <c r="G289" t="n">
        <v>3704</v>
      </c>
      <c r="H289" t="n">
        <v>2000</v>
      </c>
      <c r="I289" t="n">
        <v>120</v>
      </c>
      <c r="J289" t="n">
        <v>360</v>
      </c>
      <c r="K289" t="n">
        <v>1</v>
      </c>
      <c r="L289" t="inlineStr">
        <is>
          <t>Rural</t>
        </is>
      </c>
      <c r="M289" t="inlineStr">
        <is>
          <t>Y</t>
        </is>
      </c>
      <c r="N289">
        <f>IF(AND(K289=1,M289="Y"),"Lower Risk",IF(AND(K289=0,M289="N"),"High Risk","Medium Risk"))</f>
        <v/>
      </c>
    </row>
    <row r="290">
      <c r="A290" t="inlineStr">
        <is>
          <t>LP001931</t>
        </is>
      </c>
      <c r="B290" t="inlineStr">
        <is>
          <t>Female</t>
        </is>
      </c>
      <c r="C290" t="inlineStr">
        <is>
          <t>No</t>
        </is>
      </c>
      <c r="D290" t="n">
        <v>0</v>
      </c>
      <c r="E290" t="inlineStr">
        <is>
          <t>Graduate</t>
        </is>
      </c>
      <c r="F290" t="inlineStr">
        <is>
          <t>No</t>
        </is>
      </c>
      <c r="G290" t="n">
        <v>4124</v>
      </c>
      <c r="H290" t="n">
        <v>0</v>
      </c>
      <c r="I290" t="n">
        <v>115</v>
      </c>
      <c r="J290" t="n">
        <v>360</v>
      </c>
      <c r="K290" t="n">
        <v>1</v>
      </c>
      <c r="L290" t="inlineStr">
        <is>
          <t>Semiurban</t>
        </is>
      </c>
      <c r="M290" t="inlineStr">
        <is>
          <t>Y</t>
        </is>
      </c>
      <c r="N290">
        <f>IF(AND(K290=1,M290="Y"),"Lower Risk",IF(AND(K290=0,M290="N"),"High Risk","Medium Risk"))</f>
        <v/>
      </c>
    </row>
    <row r="291">
      <c r="A291" t="inlineStr">
        <is>
          <t>LP001935</t>
        </is>
      </c>
      <c r="B291" t="inlineStr">
        <is>
          <t>Male</t>
        </is>
      </c>
      <c r="C291" t="inlineStr">
        <is>
          <t>No</t>
        </is>
      </c>
      <c r="D291" t="n">
        <v>0</v>
      </c>
      <c r="E291" t="inlineStr">
        <is>
          <t>Graduate</t>
        </is>
      </c>
      <c r="F291" t="inlineStr">
        <is>
          <t>No</t>
        </is>
      </c>
      <c r="G291" t="n">
        <v>9508</v>
      </c>
      <c r="H291" t="n">
        <v>0</v>
      </c>
      <c r="I291" t="n">
        <v>187</v>
      </c>
      <c r="J291" t="n">
        <v>360</v>
      </c>
      <c r="K291" t="n">
        <v>1</v>
      </c>
      <c r="L291" t="inlineStr">
        <is>
          <t>Rural</t>
        </is>
      </c>
      <c r="M291" t="inlineStr">
        <is>
          <t>Y</t>
        </is>
      </c>
      <c r="N291">
        <f>IF(AND(K291=1,M291="Y"),"Lower Risk",IF(AND(K291=0,M291="N"),"High Risk","Medium Risk"))</f>
        <v/>
      </c>
    </row>
    <row r="292">
      <c r="A292" t="inlineStr">
        <is>
          <t>LP001936</t>
        </is>
      </c>
      <c r="B292" t="inlineStr">
        <is>
          <t>Male</t>
        </is>
      </c>
      <c r="C292" t="inlineStr">
        <is>
          <t>Yes</t>
        </is>
      </c>
      <c r="D292" t="n">
        <v>0</v>
      </c>
      <c r="E292" t="inlineStr">
        <is>
          <t>Graduate</t>
        </is>
      </c>
      <c r="F292" t="inlineStr">
        <is>
          <t>No</t>
        </is>
      </c>
      <c r="G292" t="n">
        <v>3075</v>
      </c>
      <c r="H292" t="n">
        <v>2416</v>
      </c>
      <c r="I292" t="n">
        <v>139</v>
      </c>
      <c r="J292" t="n">
        <v>360</v>
      </c>
      <c r="K292" t="n">
        <v>1</v>
      </c>
      <c r="L292" t="inlineStr">
        <is>
          <t>Rural</t>
        </is>
      </c>
      <c r="M292" t="inlineStr">
        <is>
          <t>Y</t>
        </is>
      </c>
      <c r="N292">
        <f>IF(AND(K292=1,M292="Y"),"Lower Risk",IF(AND(K292=0,M292="N"),"High Risk","Medium Risk"))</f>
        <v/>
      </c>
    </row>
    <row r="293">
      <c r="A293" t="inlineStr">
        <is>
          <t>LP001938</t>
        </is>
      </c>
      <c r="B293" t="inlineStr">
        <is>
          <t>Male</t>
        </is>
      </c>
      <c r="C293" t="inlineStr">
        <is>
          <t>Yes</t>
        </is>
      </c>
      <c r="D293" t="n">
        <v>2</v>
      </c>
      <c r="E293" t="inlineStr">
        <is>
          <t>Graduate</t>
        </is>
      </c>
      <c r="F293" t="inlineStr">
        <is>
          <t>No</t>
        </is>
      </c>
      <c r="G293" t="n">
        <v>4400</v>
      </c>
      <c r="H293" t="n">
        <v>0</v>
      </c>
      <c r="I293" t="n">
        <v>127</v>
      </c>
      <c r="J293" t="n">
        <v>360</v>
      </c>
      <c r="K293" t="n">
        <v>0</v>
      </c>
      <c r="L293" t="inlineStr">
        <is>
          <t>Semiurban</t>
        </is>
      </c>
      <c r="M293" t="inlineStr">
        <is>
          <t>N</t>
        </is>
      </c>
      <c r="N293">
        <f>IF(AND(K293=1,M293="Y"),"Lower Risk",IF(AND(K293=0,M293="N"),"High Risk","Medium Risk"))</f>
        <v/>
      </c>
    </row>
    <row r="294">
      <c r="A294" t="inlineStr">
        <is>
          <t>LP001940</t>
        </is>
      </c>
      <c r="B294" t="inlineStr">
        <is>
          <t>Male</t>
        </is>
      </c>
      <c r="C294" t="inlineStr">
        <is>
          <t>Yes</t>
        </is>
      </c>
      <c r="D294" t="n">
        <v>2</v>
      </c>
      <c r="E294" t="inlineStr">
        <is>
          <t>Graduate</t>
        </is>
      </c>
      <c r="F294" t="inlineStr">
        <is>
          <t>No</t>
        </is>
      </c>
      <c r="G294" t="n">
        <v>3153</v>
      </c>
      <c r="H294" t="n">
        <v>1560</v>
      </c>
      <c r="I294" t="n">
        <v>134</v>
      </c>
      <c r="J294" t="n">
        <v>360</v>
      </c>
      <c r="K294" t="n">
        <v>1</v>
      </c>
      <c r="L294" t="inlineStr">
        <is>
          <t>Urban</t>
        </is>
      </c>
      <c r="M294" t="inlineStr">
        <is>
          <t>Y</t>
        </is>
      </c>
      <c r="N294">
        <f>IF(AND(K294=1,M294="Y"),"Lower Risk",IF(AND(K294=0,M294="N"),"High Risk","Medium Risk"))</f>
        <v/>
      </c>
    </row>
    <row r="295">
      <c r="A295" t="inlineStr">
        <is>
          <t>LP001945</t>
        </is>
      </c>
      <c r="B295" t="inlineStr">
        <is>
          <t>Female</t>
        </is>
      </c>
      <c r="C295" t="inlineStr">
        <is>
          <t>No</t>
        </is>
      </c>
      <c r="E295" t="inlineStr">
        <is>
          <t>Graduate</t>
        </is>
      </c>
      <c r="F295" t="inlineStr">
        <is>
          <t>No</t>
        </is>
      </c>
      <c r="G295" t="n">
        <v>5417</v>
      </c>
      <c r="H295" t="n">
        <v>0</v>
      </c>
      <c r="I295" t="n">
        <v>143</v>
      </c>
      <c r="J295" t="n">
        <v>480</v>
      </c>
      <c r="K295" t="n">
        <v>0</v>
      </c>
      <c r="L295" t="inlineStr">
        <is>
          <t>Urban</t>
        </is>
      </c>
      <c r="M295" t="inlineStr">
        <is>
          <t>N</t>
        </is>
      </c>
      <c r="N295">
        <f>IF(AND(K295=1,M295="Y"),"Lower Risk",IF(AND(K295=0,M295="N"),"High Risk","Medium Risk"))</f>
        <v/>
      </c>
    </row>
    <row r="296">
      <c r="A296" t="inlineStr">
        <is>
          <t>LP001947</t>
        </is>
      </c>
      <c r="B296" t="inlineStr">
        <is>
          <t>Male</t>
        </is>
      </c>
      <c r="C296" t="inlineStr">
        <is>
          <t>Yes</t>
        </is>
      </c>
      <c r="D296" t="n">
        <v>0</v>
      </c>
      <c r="E296" t="inlineStr">
        <is>
          <t>Graduate</t>
        </is>
      </c>
      <c r="F296" t="inlineStr">
        <is>
          <t>No</t>
        </is>
      </c>
      <c r="G296" t="n">
        <v>2383</v>
      </c>
      <c r="H296" t="n">
        <v>3334</v>
      </c>
      <c r="I296" t="n">
        <v>172</v>
      </c>
      <c r="J296" t="n">
        <v>360</v>
      </c>
      <c r="K296" t="n">
        <v>1</v>
      </c>
      <c r="L296" t="inlineStr">
        <is>
          <t>Semiurban</t>
        </is>
      </c>
      <c r="M296" t="inlineStr">
        <is>
          <t>Y</t>
        </is>
      </c>
      <c r="N296">
        <f>IF(AND(K296=1,M296="Y"),"Lower Risk",IF(AND(K296=0,M296="N"),"High Risk","Medium Risk"))</f>
        <v/>
      </c>
    </row>
    <row r="297">
      <c r="A297" t="inlineStr">
        <is>
          <t>LP001949</t>
        </is>
      </c>
      <c r="B297" t="inlineStr">
        <is>
          <t>Male</t>
        </is>
      </c>
      <c r="C297" t="inlineStr">
        <is>
          <t>Yes</t>
        </is>
      </c>
      <c r="D297" t="inlineStr">
        <is>
          <t>3+</t>
        </is>
      </c>
      <c r="E297" t="inlineStr">
        <is>
          <t>Graduate</t>
        </is>
      </c>
      <c r="G297" t="n">
        <v>4416</v>
      </c>
      <c r="H297" t="n">
        <v>1250</v>
      </c>
      <c r="I297" t="n">
        <v>110</v>
      </c>
      <c r="J297" t="n">
        <v>360</v>
      </c>
      <c r="K297" t="n">
        <v>1</v>
      </c>
      <c r="L297" t="inlineStr">
        <is>
          <t>Urban</t>
        </is>
      </c>
      <c r="M297" t="inlineStr">
        <is>
          <t>Y</t>
        </is>
      </c>
      <c r="N297">
        <f>IF(AND(K297=1,M297="Y"),"Lower Risk",IF(AND(K297=0,M297="N"),"High Risk","Medium Risk"))</f>
        <v/>
      </c>
    </row>
    <row r="298">
      <c r="A298" t="inlineStr">
        <is>
          <t>LP001953</t>
        </is>
      </c>
      <c r="B298" t="inlineStr">
        <is>
          <t>Male</t>
        </is>
      </c>
      <c r="C298" t="inlineStr">
        <is>
          <t>Yes</t>
        </is>
      </c>
      <c r="D298" t="n">
        <v>1</v>
      </c>
      <c r="E298" t="inlineStr">
        <is>
          <t>Graduate</t>
        </is>
      </c>
      <c r="F298" t="inlineStr">
        <is>
          <t>No</t>
        </is>
      </c>
      <c r="G298" t="n">
        <v>6875</v>
      </c>
      <c r="H298" t="n">
        <v>0</v>
      </c>
      <c r="I298" t="n">
        <v>200</v>
      </c>
      <c r="J298" t="n">
        <v>360</v>
      </c>
      <c r="K298" t="n">
        <v>1</v>
      </c>
      <c r="L298" t="inlineStr">
        <is>
          <t>Semiurban</t>
        </is>
      </c>
      <c r="M298" t="inlineStr">
        <is>
          <t>Y</t>
        </is>
      </c>
      <c r="N298">
        <f>IF(AND(K298=1,M298="Y"),"Lower Risk",IF(AND(K298=0,M298="N"),"High Risk","Medium Risk"))</f>
        <v/>
      </c>
    </row>
    <row r="299">
      <c r="A299" t="inlineStr">
        <is>
          <t>LP001954</t>
        </is>
      </c>
      <c r="B299" t="inlineStr">
        <is>
          <t>Female</t>
        </is>
      </c>
      <c r="C299" t="inlineStr">
        <is>
          <t>Yes</t>
        </is>
      </c>
      <c r="D299" t="n">
        <v>1</v>
      </c>
      <c r="E299" t="inlineStr">
        <is>
          <t>Graduate</t>
        </is>
      </c>
      <c r="F299" t="inlineStr">
        <is>
          <t>No</t>
        </is>
      </c>
      <c r="G299" t="n">
        <v>4666</v>
      </c>
      <c r="H299" t="n">
        <v>0</v>
      </c>
      <c r="I299" t="n">
        <v>135</v>
      </c>
      <c r="J299" t="n">
        <v>360</v>
      </c>
      <c r="K299" t="n">
        <v>1</v>
      </c>
      <c r="L299" t="inlineStr">
        <is>
          <t>Urban</t>
        </is>
      </c>
      <c r="M299" t="inlineStr">
        <is>
          <t>Y</t>
        </is>
      </c>
      <c r="N299">
        <f>IF(AND(K299=1,M299="Y"),"Lower Risk",IF(AND(K299=0,M299="N"),"High Risk","Medium Risk"))</f>
        <v/>
      </c>
    </row>
    <row r="300">
      <c r="A300" t="inlineStr">
        <is>
          <t>LP001955</t>
        </is>
      </c>
      <c r="B300" t="inlineStr">
        <is>
          <t>Female</t>
        </is>
      </c>
      <c r="C300" t="inlineStr">
        <is>
          <t>No</t>
        </is>
      </c>
      <c r="D300" t="n">
        <v>0</v>
      </c>
      <c r="E300" t="inlineStr">
        <is>
          <t>Graduate</t>
        </is>
      </c>
      <c r="F300" t="inlineStr">
        <is>
          <t>No</t>
        </is>
      </c>
      <c r="G300" t="n">
        <v>5000</v>
      </c>
      <c r="H300" t="n">
        <v>2541</v>
      </c>
      <c r="I300" t="n">
        <v>151</v>
      </c>
      <c r="J300" t="n">
        <v>480</v>
      </c>
      <c r="K300" t="n">
        <v>1</v>
      </c>
      <c r="L300" t="inlineStr">
        <is>
          <t>Rural</t>
        </is>
      </c>
      <c r="M300" t="inlineStr">
        <is>
          <t>N</t>
        </is>
      </c>
      <c r="N300">
        <f>IF(AND(K300=1,M300="Y"),"Lower Risk",IF(AND(K300=0,M300="N"),"High Risk","Medium Risk"))</f>
        <v/>
      </c>
    </row>
    <row r="301">
      <c r="A301" t="inlineStr">
        <is>
          <t>LP001963</t>
        </is>
      </c>
      <c r="B301" t="inlineStr">
        <is>
          <t>Male</t>
        </is>
      </c>
      <c r="C301" t="inlineStr">
        <is>
          <t>Yes</t>
        </is>
      </c>
      <c r="D301" t="n">
        <v>1</v>
      </c>
      <c r="E301" t="inlineStr">
        <is>
          <t>Graduate</t>
        </is>
      </c>
      <c r="F301" t="inlineStr">
        <is>
          <t>No</t>
        </is>
      </c>
      <c r="G301" t="n">
        <v>2014</v>
      </c>
      <c r="H301" t="n">
        <v>2925</v>
      </c>
      <c r="I301" t="n">
        <v>113</v>
      </c>
      <c r="J301" t="n">
        <v>360</v>
      </c>
      <c r="K301" t="n">
        <v>1</v>
      </c>
      <c r="L301" t="inlineStr">
        <is>
          <t>Urban</t>
        </is>
      </c>
      <c r="M301" t="inlineStr">
        <is>
          <t>N</t>
        </is>
      </c>
      <c r="N301">
        <f>IF(AND(K301=1,M301="Y"),"Lower Risk",IF(AND(K301=0,M301="N"),"High Risk","Medium Risk"))</f>
        <v/>
      </c>
    </row>
    <row r="302">
      <c r="A302" t="inlineStr">
        <is>
          <t>LP001964</t>
        </is>
      </c>
      <c r="B302" t="inlineStr">
        <is>
          <t>Male</t>
        </is>
      </c>
      <c r="C302" t="inlineStr">
        <is>
          <t>Yes</t>
        </is>
      </c>
      <c r="D302" t="n">
        <v>0</v>
      </c>
      <c r="E302" t="inlineStr">
        <is>
          <t>Not Graduate</t>
        </is>
      </c>
      <c r="F302" t="inlineStr">
        <is>
          <t>No</t>
        </is>
      </c>
      <c r="G302" t="n">
        <v>1800</v>
      </c>
      <c r="H302" t="n">
        <v>2934</v>
      </c>
      <c r="I302" t="n">
        <v>93</v>
      </c>
      <c r="J302" t="n">
        <v>360</v>
      </c>
      <c r="K302" t="n">
        <v>0</v>
      </c>
      <c r="L302" t="inlineStr">
        <is>
          <t>Urban</t>
        </is>
      </c>
      <c r="M302" t="inlineStr">
        <is>
          <t>N</t>
        </is>
      </c>
      <c r="N302">
        <f>IF(AND(K302=1,M302="Y"),"Lower Risk",IF(AND(K302=0,M302="N"),"High Risk","Medium Risk"))</f>
        <v/>
      </c>
    </row>
    <row r="303">
      <c r="A303" t="inlineStr">
        <is>
          <t>LP001972</t>
        </is>
      </c>
      <c r="B303" t="inlineStr">
        <is>
          <t>Male</t>
        </is>
      </c>
      <c r="C303" t="inlineStr">
        <is>
          <t>Yes</t>
        </is>
      </c>
      <c r="E303" t="inlineStr">
        <is>
          <t>Not Graduate</t>
        </is>
      </c>
      <c r="F303" t="inlineStr">
        <is>
          <t>No</t>
        </is>
      </c>
      <c r="G303" t="n">
        <v>2875</v>
      </c>
      <c r="H303" t="n">
        <v>1750</v>
      </c>
      <c r="I303" t="n">
        <v>105</v>
      </c>
      <c r="J303" t="n">
        <v>360</v>
      </c>
      <c r="K303" t="n">
        <v>1</v>
      </c>
      <c r="L303" t="inlineStr">
        <is>
          <t>Semiurban</t>
        </is>
      </c>
      <c r="M303" t="inlineStr">
        <is>
          <t>Y</t>
        </is>
      </c>
      <c r="N303">
        <f>IF(AND(K303=1,M303="Y"),"Lower Risk",IF(AND(K303=0,M303="N"),"High Risk","Medium Risk"))</f>
        <v/>
      </c>
    </row>
    <row r="304">
      <c r="A304" t="inlineStr">
        <is>
          <t>LP001974</t>
        </is>
      </c>
      <c r="B304" t="inlineStr">
        <is>
          <t>Female</t>
        </is>
      </c>
      <c r="C304" t="inlineStr">
        <is>
          <t>No</t>
        </is>
      </c>
      <c r="D304" t="n">
        <v>0</v>
      </c>
      <c r="E304" t="inlineStr">
        <is>
          <t>Graduate</t>
        </is>
      </c>
      <c r="F304" t="inlineStr">
        <is>
          <t>No</t>
        </is>
      </c>
      <c r="G304" t="n">
        <v>5000</v>
      </c>
      <c r="H304" t="n">
        <v>0</v>
      </c>
      <c r="I304" t="n">
        <v>132</v>
      </c>
      <c r="J304" t="n">
        <v>360</v>
      </c>
      <c r="K304" t="n">
        <v>1</v>
      </c>
      <c r="L304" t="inlineStr">
        <is>
          <t>Rural</t>
        </is>
      </c>
      <c r="M304" t="inlineStr">
        <is>
          <t>Y</t>
        </is>
      </c>
      <c r="N304">
        <f>IF(AND(K304=1,M304="Y"),"Lower Risk",IF(AND(K304=0,M304="N"),"High Risk","Medium Risk"))</f>
        <v/>
      </c>
    </row>
    <row r="305">
      <c r="A305" t="inlineStr">
        <is>
          <t>LP001977</t>
        </is>
      </c>
      <c r="B305" t="inlineStr">
        <is>
          <t>Male</t>
        </is>
      </c>
      <c r="C305" t="inlineStr">
        <is>
          <t>Yes</t>
        </is>
      </c>
      <c r="D305" t="n">
        <v>1</v>
      </c>
      <c r="E305" t="inlineStr">
        <is>
          <t>Graduate</t>
        </is>
      </c>
      <c r="F305" t="inlineStr">
        <is>
          <t>No</t>
        </is>
      </c>
      <c r="G305" t="n">
        <v>1625</v>
      </c>
      <c r="H305" t="n">
        <v>1803</v>
      </c>
      <c r="I305" t="n">
        <v>96</v>
      </c>
      <c r="J305" t="n">
        <v>360</v>
      </c>
      <c r="K305" t="n">
        <v>1</v>
      </c>
      <c r="L305" t="inlineStr">
        <is>
          <t>Urban</t>
        </is>
      </c>
      <c r="M305" t="inlineStr">
        <is>
          <t>Y</t>
        </is>
      </c>
      <c r="N305">
        <f>IF(AND(K305=1,M305="Y"),"Lower Risk",IF(AND(K305=0,M305="N"),"High Risk","Medium Risk"))</f>
        <v/>
      </c>
    </row>
    <row r="306">
      <c r="A306" t="inlineStr">
        <is>
          <t>LP001978</t>
        </is>
      </c>
      <c r="B306" t="inlineStr">
        <is>
          <t>Male</t>
        </is>
      </c>
      <c r="C306" t="inlineStr">
        <is>
          <t>No</t>
        </is>
      </c>
      <c r="D306" t="n">
        <v>0</v>
      </c>
      <c r="E306" t="inlineStr">
        <is>
          <t>Graduate</t>
        </is>
      </c>
      <c r="F306" t="inlineStr">
        <is>
          <t>No</t>
        </is>
      </c>
      <c r="G306" t="n">
        <v>4000</v>
      </c>
      <c r="H306" t="n">
        <v>2500</v>
      </c>
      <c r="I306" t="n">
        <v>140</v>
      </c>
      <c r="J306" t="n">
        <v>360</v>
      </c>
      <c r="K306" t="n">
        <v>1</v>
      </c>
      <c r="L306" t="inlineStr">
        <is>
          <t>Rural</t>
        </is>
      </c>
      <c r="M306" t="inlineStr">
        <is>
          <t>Y</t>
        </is>
      </c>
      <c r="N306">
        <f>IF(AND(K306=1,M306="Y"),"Lower Risk",IF(AND(K306=0,M306="N"),"High Risk","Medium Risk"))</f>
        <v/>
      </c>
    </row>
    <row r="307">
      <c r="A307" t="inlineStr">
        <is>
          <t>LP001990</t>
        </is>
      </c>
      <c r="B307" t="inlineStr">
        <is>
          <t>Male</t>
        </is>
      </c>
      <c r="C307" t="inlineStr">
        <is>
          <t>No</t>
        </is>
      </c>
      <c r="D307" t="n">
        <v>0</v>
      </c>
      <c r="E307" t="inlineStr">
        <is>
          <t>Not Graduate</t>
        </is>
      </c>
      <c r="F307" t="inlineStr">
        <is>
          <t>No</t>
        </is>
      </c>
      <c r="G307" t="n">
        <v>2000</v>
      </c>
      <c r="H307" t="n">
        <v>0</v>
      </c>
      <c r="J307" t="n">
        <v>360</v>
      </c>
      <c r="K307" t="n">
        <v>1</v>
      </c>
      <c r="L307" t="inlineStr">
        <is>
          <t>Urban</t>
        </is>
      </c>
      <c r="M307" t="inlineStr">
        <is>
          <t>N</t>
        </is>
      </c>
      <c r="N307">
        <f>IF(AND(K307=1,M307="Y"),"Lower Risk",IF(AND(K307=0,M307="N"),"High Risk","Medium Risk"))</f>
        <v/>
      </c>
    </row>
    <row r="308">
      <c r="A308" t="inlineStr">
        <is>
          <t>LP001993</t>
        </is>
      </c>
      <c r="B308" t="inlineStr">
        <is>
          <t>Female</t>
        </is>
      </c>
      <c r="C308" t="inlineStr">
        <is>
          <t>No</t>
        </is>
      </c>
      <c r="D308" t="n">
        <v>0</v>
      </c>
      <c r="E308" t="inlineStr">
        <is>
          <t>Graduate</t>
        </is>
      </c>
      <c r="F308" t="inlineStr">
        <is>
          <t>No</t>
        </is>
      </c>
      <c r="G308" t="n">
        <v>3762</v>
      </c>
      <c r="H308" t="n">
        <v>1666</v>
      </c>
      <c r="I308" t="n">
        <v>135</v>
      </c>
      <c r="J308" t="n">
        <v>360</v>
      </c>
      <c r="K308" t="n">
        <v>1</v>
      </c>
      <c r="L308" t="inlineStr">
        <is>
          <t>Rural</t>
        </is>
      </c>
      <c r="M308" t="inlineStr">
        <is>
          <t>Y</t>
        </is>
      </c>
      <c r="N308">
        <f>IF(AND(K308=1,M308="Y"),"Lower Risk",IF(AND(K308=0,M308="N"),"High Risk","Medium Risk"))</f>
        <v/>
      </c>
    </row>
    <row r="309">
      <c r="A309" t="inlineStr">
        <is>
          <t>LP001994</t>
        </is>
      </c>
      <c r="B309" t="inlineStr">
        <is>
          <t>Female</t>
        </is>
      </c>
      <c r="C309" t="inlineStr">
        <is>
          <t>No</t>
        </is>
      </c>
      <c r="D309" t="n">
        <v>0</v>
      </c>
      <c r="E309" t="inlineStr">
        <is>
          <t>Graduate</t>
        </is>
      </c>
      <c r="F309" t="inlineStr">
        <is>
          <t>No</t>
        </is>
      </c>
      <c r="G309" t="n">
        <v>2400</v>
      </c>
      <c r="H309" t="n">
        <v>1863</v>
      </c>
      <c r="I309" t="n">
        <v>104</v>
      </c>
      <c r="J309" t="n">
        <v>360</v>
      </c>
      <c r="K309" t="n">
        <v>0</v>
      </c>
      <c r="L309" t="inlineStr">
        <is>
          <t>Urban</t>
        </is>
      </c>
      <c r="M309" t="inlineStr">
        <is>
          <t>N</t>
        </is>
      </c>
      <c r="N309">
        <f>IF(AND(K309=1,M309="Y"),"Lower Risk",IF(AND(K309=0,M309="N"),"High Risk","Medium Risk"))</f>
        <v/>
      </c>
    </row>
    <row r="310">
      <c r="A310" t="inlineStr">
        <is>
          <t>LP001996</t>
        </is>
      </c>
      <c r="B310" t="inlineStr">
        <is>
          <t>Male</t>
        </is>
      </c>
      <c r="C310" t="inlineStr">
        <is>
          <t>No</t>
        </is>
      </c>
      <c r="D310" t="n">
        <v>0</v>
      </c>
      <c r="E310" t="inlineStr">
        <is>
          <t>Graduate</t>
        </is>
      </c>
      <c r="F310" t="inlineStr">
        <is>
          <t>No</t>
        </is>
      </c>
      <c r="G310" t="n">
        <v>20233</v>
      </c>
      <c r="H310" t="n">
        <v>0</v>
      </c>
      <c r="I310" t="n">
        <v>480</v>
      </c>
      <c r="J310" t="n">
        <v>360</v>
      </c>
      <c r="K310" t="n">
        <v>1</v>
      </c>
      <c r="L310" t="inlineStr">
        <is>
          <t>Rural</t>
        </is>
      </c>
      <c r="M310" t="inlineStr">
        <is>
          <t>N</t>
        </is>
      </c>
      <c r="N310">
        <f>IF(AND(K310=1,M310="Y"),"Lower Risk",IF(AND(K310=0,M310="N"),"High Risk","Medium Risk"))</f>
        <v/>
      </c>
    </row>
    <row r="311">
      <c r="A311" t="inlineStr">
        <is>
          <t>LP001998</t>
        </is>
      </c>
      <c r="B311" t="inlineStr">
        <is>
          <t>Male</t>
        </is>
      </c>
      <c r="C311" t="inlineStr">
        <is>
          <t>Yes</t>
        </is>
      </c>
      <c r="D311" t="n">
        <v>2</v>
      </c>
      <c r="E311" t="inlineStr">
        <is>
          <t>Not Graduate</t>
        </is>
      </c>
      <c r="F311" t="inlineStr">
        <is>
          <t>No</t>
        </is>
      </c>
      <c r="G311" t="n">
        <v>7667</v>
      </c>
      <c r="H311" t="n">
        <v>0</v>
      </c>
      <c r="I311" t="n">
        <v>185</v>
      </c>
      <c r="J311" t="n">
        <v>360</v>
      </c>
      <c r="L311" t="inlineStr">
        <is>
          <t>Rural</t>
        </is>
      </c>
      <c r="M311" t="inlineStr">
        <is>
          <t>Y</t>
        </is>
      </c>
      <c r="N311">
        <f>IF(AND(K311=1,M311="Y"),"Lower Risk",IF(AND(K311=0,M311="N"),"High Risk","Medium Risk"))</f>
        <v/>
      </c>
    </row>
    <row r="312">
      <c r="A312" t="inlineStr">
        <is>
          <t>LP002002</t>
        </is>
      </c>
      <c r="B312" t="inlineStr">
        <is>
          <t>Female</t>
        </is>
      </c>
      <c r="C312" t="inlineStr">
        <is>
          <t>No</t>
        </is>
      </c>
      <c r="D312" t="n">
        <v>0</v>
      </c>
      <c r="E312" t="inlineStr">
        <is>
          <t>Graduate</t>
        </is>
      </c>
      <c r="F312" t="inlineStr">
        <is>
          <t>No</t>
        </is>
      </c>
      <c r="G312" t="n">
        <v>2917</v>
      </c>
      <c r="H312" t="n">
        <v>0</v>
      </c>
      <c r="I312" t="n">
        <v>84</v>
      </c>
      <c r="J312" t="n">
        <v>360</v>
      </c>
      <c r="K312" t="n">
        <v>1</v>
      </c>
      <c r="L312" t="inlineStr">
        <is>
          <t>Semiurban</t>
        </is>
      </c>
      <c r="M312" t="inlineStr">
        <is>
          <t>Y</t>
        </is>
      </c>
      <c r="N312">
        <f>IF(AND(K312=1,M312="Y"),"Lower Risk",IF(AND(K312=0,M312="N"),"High Risk","Medium Risk"))</f>
        <v/>
      </c>
    </row>
    <row r="313">
      <c r="A313" t="inlineStr">
        <is>
          <t>LP002004</t>
        </is>
      </c>
      <c r="B313" t="inlineStr">
        <is>
          <t>Male</t>
        </is>
      </c>
      <c r="C313" t="inlineStr">
        <is>
          <t>No</t>
        </is>
      </c>
      <c r="D313" t="n">
        <v>0</v>
      </c>
      <c r="E313" t="inlineStr">
        <is>
          <t>Not Graduate</t>
        </is>
      </c>
      <c r="F313" t="inlineStr">
        <is>
          <t>No</t>
        </is>
      </c>
      <c r="G313" t="n">
        <v>2927</v>
      </c>
      <c r="H313" t="n">
        <v>2405</v>
      </c>
      <c r="I313" t="n">
        <v>111</v>
      </c>
      <c r="J313" t="n">
        <v>360</v>
      </c>
      <c r="K313" t="n">
        <v>1</v>
      </c>
      <c r="L313" t="inlineStr">
        <is>
          <t>Semiurban</t>
        </is>
      </c>
      <c r="M313" t="inlineStr">
        <is>
          <t>Y</t>
        </is>
      </c>
      <c r="N313">
        <f>IF(AND(K313=1,M313="Y"),"Lower Risk",IF(AND(K313=0,M313="N"),"High Risk","Medium Risk"))</f>
        <v/>
      </c>
    </row>
    <row r="314">
      <c r="A314" t="inlineStr">
        <is>
          <t>LP002006</t>
        </is>
      </c>
      <c r="B314" t="inlineStr">
        <is>
          <t>Female</t>
        </is>
      </c>
      <c r="C314" t="inlineStr">
        <is>
          <t>No</t>
        </is>
      </c>
      <c r="D314" t="n">
        <v>0</v>
      </c>
      <c r="E314" t="inlineStr">
        <is>
          <t>Graduate</t>
        </is>
      </c>
      <c r="F314" t="inlineStr">
        <is>
          <t>No</t>
        </is>
      </c>
      <c r="G314" t="n">
        <v>2507</v>
      </c>
      <c r="H314" t="n">
        <v>0</v>
      </c>
      <c r="I314" t="n">
        <v>56</v>
      </c>
      <c r="J314" t="n">
        <v>360</v>
      </c>
      <c r="K314" t="n">
        <v>1</v>
      </c>
      <c r="L314" t="inlineStr">
        <is>
          <t>Rural</t>
        </is>
      </c>
      <c r="M314" t="inlineStr">
        <is>
          <t>Y</t>
        </is>
      </c>
      <c r="N314">
        <f>IF(AND(K314=1,M314="Y"),"Lower Risk",IF(AND(K314=0,M314="N"),"High Risk","Medium Risk"))</f>
        <v/>
      </c>
    </row>
    <row r="315">
      <c r="A315" t="inlineStr">
        <is>
          <t>LP002008</t>
        </is>
      </c>
      <c r="B315" t="inlineStr">
        <is>
          <t>Male</t>
        </is>
      </c>
      <c r="C315" t="inlineStr">
        <is>
          <t>Yes</t>
        </is>
      </c>
      <c r="D315" t="n">
        <v>2</v>
      </c>
      <c r="E315" t="inlineStr">
        <is>
          <t>Graduate</t>
        </is>
      </c>
      <c r="F315" t="inlineStr">
        <is>
          <t>Yes</t>
        </is>
      </c>
      <c r="G315" t="n">
        <v>5746</v>
      </c>
      <c r="H315" t="n">
        <v>0</v>
      </c>
      <c r="I315" t="n">
        <v>144</v>
      </c>
      <c r="J315" t="n">
        <v>84</v>
      </c>
      <c r="L315" t="inlineStr">
        <is>
          <t>Rural</t>
        </is>
      </c>
      <c r="M315" t="inlineStr">
        <is>
          <t>Y</t>
        </is>
      </c>
      <c r="N315">
        <f>IF(AND(K315=1,M315="Y"),"Lower Risk",IF(AND(K315=0,M315="N"),"High Risk","Medium Risk"))</f>
        <v/>
      </c>
    </row>
    <row r="316">
      <c r="A316" t="inlineStr">
        <is>
          <t>LP002024</t>
        </is>
      </c>
      <c r="C316" t="inlineStr">
        <is>
          <t>Yes</t>
        </is>
      </c>
      <c r="D316" t="n">
        <v>0</v>
      </c>
      <c r="E316" t="inlineStr">
        <is>
          <t>Graduate</t>
        </is>
      </c>
      <c r="F316" t="inlineStr">
        <is>
          <t>No</t>
        </is>
      </c>
      <c r="G316" t="n">
        <v>2473</v>
      </c>
      <c r="H316" t="n">
        <v>1843</v>
      </c>
      <c r="I316" t="n">
        <v>159</v>
      </c>
      <c r="J316" t="n">
        <v>360</v>
      </c>
      <c r="K316" t="n">
        <v>1</v>
      </c>
      <c r="L316" t="inlineStr">
        <is>
          <t>Rural</t>
        </is>
      </c>
      <c r="M316" t="inlineStr">
        <is>
          <t>N</t>
        </is>
      </c>
      <c r="N316">
        <f>IF(AND(K316=1,M316="Y"),"Lower Risk",IF(AND(K316=0,M316="N"),"High Risk","Medium Risk"))</f>
        <v/>
      </c>
    </row>
    <row r="317">
      <c r="A317" t="inlineStr">
        <is>
          <t>LP002031</t>
        </is>
      </c>
      <c r="B317" t="inlineStr">
        <is>
          <t>Male</t>
        </is>
      </c>
      <c r="C317" t="inlineStr">
        <is>
          <t>Yes</t>
        </is>
      </c>
      <c r="D317" t="n">
        <v>1</v>
      </c>
      <c r="E317" t="inlineStr">
        <is>
          <t>Not Graduate</t>
        </is>
      </c>
      <c r="F317" t="inlineStr">
        <is>
          <t>No</t>
        </is>
      </c>
      <c r="G317" t="n">
        <v>3399</v>
      </c>
      <c r="H317" t="n">
        <v>1640</v>
      </c>
      <c r="I317" t="n">
        <v>111</v>
      </c>
      <c r="J317" t="n">
        <v>180</v>
      </c>
      <c r="K317" t="n">
        <v>1</v>
      </c>
      <c r="L317" t="inlineStr">
        <is>
          <t>Urban</t>
        </is>
      </c>
      <c r="M317" t="inlineStr">
        <is>
          <t>Y</t>
        </is>
      </c>
      <c r="N317">
        <f>IF(AND(K317=1,M317="Y"),"Lower Risk",IF(AND(K317=0,M317="N"),"High Risk","Medium Risk"))</f>
        <v/>
      </c>
    </row>
    <row r="318">
      <c r="A318" t="inlineStr">
        <is>
          <t>LP002035</t>
        </is>
      </c>
      <c r="B318" t="inlineStr">
        <is>
          <t>Male</t>
        </is>
      </c>
      <c r="C318" t="inlineStr">
        <is>
          <t>Yes</t>
        </is>
      </c>
      <c r="D318" t="n">
        <v>2</v>
      </c>
      <c r="E318" t="inlineStr">
        <is>
          <t>Graduate</t>
        </is>
      </c>
      <c r="F318" t="inlineStr">
        <is>
          <t>No</t>
        </is>
      </c>
      <c r="G318" t="n">
        <v>3717</v>
      </c>
      <c r="H318" t="n">
        <v>0</v>
      </c>
      <c r="I318" t="n">
        <v>120</v>
      </c>
      <c r="J318" t="n">
        <v>360</v>
      </c>
      <c r="K318" t="n">
        <v>1</v>
      </c>
      <c r="L318" t="inlineStr">
        <is>
          <t>Semiurban</t>
        </is>
      </c>
      <c r="M318" t="inlineStr">
        <is>
          <t>Y</t>
        </is>
      </c>
      <c r="N318">
        <f>IF(AND(K318=1,M318="Y"),"Lower Risk",IF(AND(K318=0,M318="N"),"High Risk","Medium Risk"))</f>
        <v/>
      </c>
    </row>
    <row r="319">
      <c r="A319" t="inlineStr">
        <is>
          <t>LP002036</t>
        </is>
      </c>
      <c r="B319" t="inlineStr">
        <is>
          <t>Male</t>
        </is>
      </c>
      <c r="C319" t="inlineStr">
        <is>
          <t>Yes</t>
        </is>
      </c>
      <c r="D319" t="n">
        <v>0</v>
      </c>
      <c r="E319" t="inlineStr">
        <is>
          <t>Graduate</t>
        </is>
      </c>
      <c r="F319" t="inlineStr">
        <is>
          <t>No</t>
        </is>
      </c>
      <c r="G319" t="n">
        <v>2058</v>
      </c>
      <c r="H319" t="n">
        <v>2134</v>
      </c>
      <c r="I319" t="n">
        <v>88</v>
      </c>
      <c r="J319" t="n">
        <v>360</v>
      </c>
      <c r="L319" t="inlineStr">
        <is>
          <t>Urban</t>
        </is>
      </c>
      <c r="M319" t="inlineStr">
        <is>
          <t>Y</t>
        </is>
      </c>
      <c r="N319">
        <f>IF(AND(K319=1,M319="Y"),"Lower Risk",IF(AND(K319=0,M319="N"),"High Risk","Medium Risk"))</f>
        <v/>
      </c>
    </row>
    <row r="320">
      <c r="A320" t="inlineStr">
        <is>
          <t>LP002043</t>
        </is>
      </c>
      <c r="B320" t="inlineStr">
        <is>
          <t>Female</t>
        </is>
      </c>
      <c r="C320" t="inlineStr">
        <is>
          <t>No</t>
        </is>
      </c>
      <c r="D320" t="n">
        <v>1</v>
      </c>
      <c r="E320" t="inlineStr">
        <is>
          <t>Graduate</t>
        </is>
      </c>
      <c r="F320" t="inlineStr">
        <is>
          <t>No</t>
        </is>
      </c>
      <c r="G320" t="n">
        <v>3541</v>
      </c>
      <c r="H320" t="n">
        <v>0</v>
      </c>
      <c r="I320" t="n">
        <v>112</v>
      </c>
      <c r="J320" t="n">
        <v>360</v>
      </c>
      <c r="L320" t="inlineStr">
        <is>
          <t>Semiurban</t>
        </is>
      </c>
      <c r="M320" t="inlineStr">
        <is>
          <t>Y</t>
        </is>
      </c>
      <c r="N320">
        <f>IF(AND(K320=1,M320="Y"),"Lower Risk",IF(AND(K320=0,M320="N"),"High Risk","Medium Risk"))</f>
        <v/>
      </c>
    </row>
    <row r="321">
      <c r="A321" t="inlineStr">
        <is>
          <t>LP002050</t>
        </is>
      </c>
      <c r="B321" t="inlineStr">
        <is>
          <t>Male</t>
        </is>
      </c>
      <c r="C321" t="inlineStr">
        <is>
          <t>Yes</t>
        </is>
      </c>
      <c r="D321" t="n">
        <v>1</v>
      </c>
      <c r="E321" t="inlineStr">
        <is>
          <t>Graduate</t>
        </is>
      </c>
      <c r="F321" t="inlineStr">
        <is>
          <t>Yes</t>
        </is>
      </c>
      <c r="G321" t="n">
        <v>10000</v>
      </c>
      <c r="H321" t="n">
        <v>0</v>
      </c>
      <c r="I321" t="n">
        <v>155</v>
      </c>
      <c r="J321" t="n">
        <v>360</v>
      </c>
      <c r="K321" t="n">
        <v>1</v>
      </c>
      <c r="L321" t="inlineStr">
        <is>
          <t>Rural</t>
        </is>
      </c>
      <c r="M321" t="inlineStr">
        <is>
          <t>N</t>
        </is>
      </c>
      <c r="N321">
        <f>IF(AND(K321=1,M321="Y"),"Lower Risk",IF(AND(K321=0,M321="N"),"High Risk","Medium Risk"))</f>
        <v/>
      </c>
    </row>
    <row r="322">
      <c r="A322" t="inlineStr">
        <is>
          <t>LP002051</t>
        </is>
      </c>
      <c r="B322" t="inlineStr">
        <is>
          <t>Male</t>
        </is>
      </c>
      <c r="C322" t="inlineStr">
        <is>
          <t>Yes</t>
        </is>
      </c>
      <c r="D322" t="n">
        <v>0</v>
      </c>
      <c r="E322" t="inlineStr">
        <is>
          <t>Graduate</t>
        </is>
      </c>
      <c r="F322" t="inlineStr">
        <is>
          <t>No</t>
        </is>
      </c>
      <c r="G322" t="n">
        <v>2400</v>
      </c>
      <c r="H322" t="n">
        <v>2167</v>
      </c>
      <c r="I322" t="n">
        <v>115</v>
      </c>
      <c r="J322" t="n">
        <v>360</v>
      </c>
      <c r="K322" t="n">
        <v>1</v>
      </c>
      <c r="L322" t="inlineStr">
        <is>
          <t>Semiurban</t>
        </is>
      </c>
      <c r="M322" t="inlineStr">
        <is>
          <t>Y</t>
        </is>
      </c>
      <c r="N322">
        <f>IF(AND(K322=1,M322="Y"),"Lower Risk",IF(AND(K322=0,M322="N"),"High Risk","Medium Risk"))</f>
        <v/>
      </c>
    </row>
    <row r="323">
      <c r="A323" t="inlineStr">
        <is>
          <t>LP002053</t>
        </is>
      </c>
      <c r="B323" t="inlineStr">
        <is>
          <t>Male</t>
        </is>
      </c>
      <c r="C323" t="inlineStr">
        <is>
          <t>Yes</t>
        </is>
      </c>
      <c r="D323" t="inlineStr">
        <is>
          <t>3+</t>
        </is>
      </c>
      <c r="E323" t="inlineStr">
        <is>
          <t>Graduate</t>
        </is>
      </c>
      <c r="F323" t="inlineStr">
        <is>
          <t>No</t>
        </is>
      </c>
      <c r="G323" t="n">
        <v>4342</v>
      </c>
      <c r="H323" t="n">
        <v>189</v>
      </c>
      <c r="I323" t="n">
        <v>124</v>
      </c>
      <c r="J323" t="n">
        <v>360</v>
      </c>
      <c r="K323" t="n">
        <v>1</v>
      </c>
      <c r="L323" t="inlineStr">
        <is>
          <t>Semiurban</t>
        </is>
      </c>
      <c r="M323" t="inlineStr">
        <is>
          <t>Y</t>
        </is>
      </c>
      <c r="N323">
        <f>IF(AND(K323=1,M323="Y"),"Lower Risk",IF(AND(K323=0,M323="N"),"High Risk","Medium Risk"))</f>
        <v/>
      </c>
    </row>
    <row r="324">
      <c r="A324" t="inlineStr">
        <is>
          <t>LP002054</t>
        </is>
      </c>
      <c r="B324" t="inlineStr">
        <is>
          <t>Male</t>
        </is>
      </c>
      <c r="C324" t="inlineStr">
        <is>
          <t>Yes</t>
        </is>
      </c>
      <c r="D324" t="n">
        <v>2</v>
      </c>
      <c r="E324" t="inlineStr">
        <is>
          <t>Not Graduate</t>
        </is>
      </c>
      <c r="F324" t="inlineStr">
        <is>
          <t>No</t>
        </is>
      </c>
      <c r="G324" t="n">
        <v>3601</v>
      </c>
      <c r="H324" t="n">
        <v>1590</v>
      </c>
      <c r="J324" t="n">
        <v>360</v>
      </c>
      <c r="K324" t="n">
        <v>1</v>
      </c>
      <c r="L324" t="inlineStr">
        <is>
          <t>Rural</t>
        </is>
      </c>
      <c r="M324" t="inlineStr">
        <is>
          <t>Y</t>
        </is>
      </c>
      <c r="N324">
        <f>IF(AND(K324=1,M324="Y"),"Lower Risk",IF(AND(K324=0,M324="N"),"High Risk","Medium Risk"))</f>
        <v/>
      </c>
    </row>
    <row r="325">
      <c r="A325" t="inlineStr">
        <is>
          <t>LP002055</t>
        </is>
      </c>
      <c r="B325" t="inlineStr">
        <is>
          <t>Female</t>
        </is>
      </c>
      <c r="C325" t="inlineStr">
        <is>
          <t>No</t>
        </is>
      </c>
      <c r="D325" t="n">
        <v>0</v>
      </c>
      <c r="E325" t="inlineStr">
        <is>
          <t>Graduate</t>
        </is>
      </c>
      <c r="F325" t="inlineStr">
        <is>
          <t>No</t>
        </is>
      </c>
      <c r="G325" t="n">
        <v>3166</v>
      </c>
      <c r="H325" t="n">
        <v>2985</v>
      </c>
      <c r="I325" t="n">
        <v>132</v>
      </c>
      <c r="J325" t="n">
        <v>360</v>
      </c>
      <c r="L325" t="inlineStr">
        <is>
          <t>Rural</t>
        </is>
      </c>
      <c r="M325" t="inlineStr">
        <is>
          <t>Y</t>
        </is>
      </c>
      <c r="N325">
        <f>IF(AND(K325=1,M325="Y"),"Lower Risk",IF(AND(K325=0,M325="N"),"High Risk","Medium Risk"))</f>
        <v/>
      </c>
    </row>
    <row r="326">
      <c r="A326" t="inlineStr">
        <is>
          <t>LP002065</t>
        </is>
      </c>
      <c r="B326" t="inlineStr">
        <is>
          <t>Male</t>
        </is>
      </c>
      <c r="C326" t="inlineStr">
        <is>
          <t>Yes</t>
        </is>
      </c>
      <c r="D326" t="inlineStr">
        <is>
          <t>3+</t>
        </is>
      </c>
      <c r="E326" t="inlineStr">
        <is>
          <t>Graduate</t>
        </is>
      </c>
      <c r="F326" t="inlineStr">
        <is>
          <t>No</t>
        </is>
      </c>
      <c r="G326" t="n">
        <v>15000</v>
      </c>
      <c r="H326" t="n">
        <v>0</v>
      </c>
      <c r="I326" t="n">
        <v>300</v>
      </c>
      <c r="J326" t="n">
        <v>360</v>
      </c>
      <c r="K326" t="n">
        <v>1</v>
      </c>
      <c r="L326" t="inlineStr">
        <is>
          <t>Rural</t>
        </is>
      </c>
      <c r="M326" t="inlineStr">
        <is>
          <t>Y</t>
        </is>
      </c>
      <c r="N326">
        <f>IF(AND(K326=1,M326="Y"),"Lower Risk",IF(AND(K326=0,M326="N"),"High Risk","Medium Risk"))</f>
        <v/>
      </c>
    </row>
    <row r="327">
      <c r="A327" t="inlineStr">
        <is>
          <t>LP002067</t>
        </is>
      </c>
      <c r="B327" t="inlineStr">
        <is>
          <t>Male</t>
        </is>
      </c>
      <c r="C327" t="inlineStr">
        <is>
          <t>Yes</t>
        </is>
      </c>
      <c r="D327" t="n">
        <v>1</v>
      </c>
      <c r="E327" t="inlineStr">
        <is>
          <t>Graduate</t>
        </is>
      </c>
      <c r="F327" t="inlineStr">
        <is>
          <t>Yes</t>
        </is>
      </c>
      <c r="G327" t="n">
        <v>8666</v>
      </c>
      <c r="H327" t="n">
        <v>4983</v>
      </c>
      <c r="I327" t="n">
        <v>376</v>
      </c>
      <c r="J327" t="n">
        <v>360</v>
      </c>
      <c r="K327" t="n">
        <v>0</v>
      </c>
      <c r="L327" t="inlineStr">
        <is>
          <t>Rural</t>
        </is>
      </c>
      <c r="M327" t="inlineStr">
        <is>
          <t>N</t>
        </is>
      </c>
      <c r="N327">
        <f>IF(AND(K327=1,M327="Y"),"Lower Risk",IF(AND(K327=0,M327="N"),"High Risk","Medium Risk"))</f>
        <v/>
      </c>
    </row>
    <row r="328">
      <c r="A328" t="inlineStr">
        <is>
          <t>LP002068</t>
        </is>
      </c>
      <c r="B328" t="inlineStr">
        <is>
          <t>Male</t>
        </is>
      </c>
      <c r="C328" t="inlineStr">
        <is>
          <t>No</t>
        </is>
      </c>
      <c r="D328" t="n">
        <v>0</v>
      </c>
      <c r="E328" t="inlineStr">
        <is>
          <t>Graduate</t>
        </is>
      </c>
      <c r="F328" t="inlineStr">
        <is>
          <t>No</t>
        </is>
      </c>
      <c r="G328" t="n">
        <v>4917</v>
      </c>
      <c r="H328" t="n">
        <v>0</v>
      </c>
      <c r="I328" t="n">
        <v>130</v>
      </c>
      <c r="J328" t="n">
        <v>360</v>
      </c>
      <c r="K328" t="n">
        <v>0</v>
      </c>
      <c r="L328" t="inlineStr">
        <is>
          <t>Rural</t>
        </is>
      </c>
      <c r="M328" t="inlineStr">
        <is>
          <t>Y</t>
        </is>
      </c>
      <c r="N328">
        <f>IF(AND(K328=1,M328="Y"),"Lower Risk",IF(AND(K328=0,M328="N"),"High Risk","Medium Risk"))</f>
        <v/>
      </c>
    </row>
    <row r="329">
      <c r="A329" t="inlineStr">
        <is>
          <t>LP002082</t>
        </is>
      </c>
      <c r="B329" t="inlineStr">
        <is>
          <t>Male</t>
        </is>
      </c>
      <c r="C329" t="inlineStr">
        <is>
          <t>Yes</t>
        </is>
      </c>
      <c r="D329" t="n">
        <v>0</v>
      </c>
      <c r="E329" t="inlineStr">
        <is>
          <t>Graduate</t>
        </is>
      </c>
      <c r="F329" t="inlineStr">
        <is>
          <t>Yes</t>
        </is>
      </c>
      <c r="G329" t="n">
        <v>5818</v>
      </c>
      <c r="H329" t="n">
        <v>2160</v>
      </c>
      <c r="I329" t="n">
        <v>184</v>
      </c>
      <c r="J329" t="n">
        <v>360</v>
      </c>
      <c r="K329" t="n">
        <v>1</v>
      </c>
      <c r="L329" t="inlineStr">
        <is>
          <t>Semiurban</t>
        </is>
      </c>
      <c r="M329" t="inlineStr">
        <is>
          <t>Y</t>
        </is>
      </c>
      <c r="N329">
        <f>IF(AND(K329=1,M329="Y"),"Lower Risk",IF(AND(K329=0,M329="N"),"High Risk","Medium Risk"))</f>
        <v/>
      </c>
    </row>
    <row r="330">
      <c r="A330" t="inlineStr">
        <is>
          <t>LP002086</t>
        </is>
      </c>
      <c r="B330" t="inlineStr">
        <is>
          <t>Female</t>
        </is>
      </c>
      <c r="C330" t="inlineStr">
        <is>
          <t>Yes</t>
        </is>
      </c>
      <c r="D330" t="n">
        <v>0</v>
      </c>
      <c r="E330" t="inlineStr">
        <is>
          <t>Graduate</t>
        </is>
      </c>
      <c r="F330" t="inlineStr">
        <is>
          <t>No</t>
        </is>
      </c>
      <c r="G330" t="n">
        <v>4333</v>
      </c>
      <c r="H330" t="n">
        <v>2451</v>
      </c>
      <c r="I330" t="n">
        <v>110</v>
      </c>
      <c r="J330" t="n">
        <v>360</v>
      </c>
      <c r="K330" t="n">
        <v>1</v>
      </c>
      <c r="L330" t="inlineStr">
        <is>
          <t>Urban</t>
        </is>
      </c>
      <c r="M330" t="inlineStr">
        <is>
          <t>N</t>
        </is>
      </c>
      <c r="N330">
        <f>IF(AND(K330=1,M330="Y"),"Lower Risk",IF(AND(K330=0,M330="N"),"High Risk","Medium Risk"))</f>
        <v/>
      </c>
    </row>
    <row r="331">
      <c r="A331" t="inlineStr">
        <is>
          <t>LP002087</t>
        </is>
      </c>
      <c r="B331" t="inlineStr">
        <is>
          <t>Female</t>
        </is>
      </c>
      <c r="C331" t="inlineStr">
        <is>
          <t>No</t>
        </is>
      </c>
      <c r="D331" t="n">
        <v>0</v>
      </c>
      <c r="E331" t="inlineStr">
        <is>
          <t>Graduate</t>
        </is>
      </c>
      <c r="F331" t="inlineStr">
        <is>
          <t>No</t>
        </is>
      </c>
      <c r="G331" t="n">
        <v>2500</v>
      </c>
      <c r="H331" t="n">
        <v>0</v>
      </c>
      <c r="I331" t="n">
        <v>67</v>
      </c>
      <c r="J331" t="n">
        <v>360</v>
      </c>
      <c r="K331" t="n">
        <v>1</v>
      </c>
      <c r="L331" t="inlineStr">
        <is>
          <t>Urban</t>
        </is>
      </c>
      <c r="M331" t="inlineStr">
        <is>
          <t>Y</t>
        </is>
      </c>
      <c r="N331">
        <f>IF(AND(K331=1,M331="Y"),"Lower Risk",IF(AND(K331=0,M331="N"),"High Risk","Medium Risk"))</f>
        <v/>
      </c>
    </row>
    <row r="332">
      <c r="A332" t="inlineStr">
        <is>
          <t>LP002097</t>
        </is>
      </c>
      <c r="B332" t="inlineStr">
        <is>
          <t>Male</t>
        </is>
      </c>
      <c r="C332" t="inlineStr">
        <is>
          <t>No</t>
        </is>
      </c>
      <c r="D332" t="n">
        <v>1</v>
      </c>
      <c r="E332" t="inlineStr">
        <is>
          <t>Graduate</t>
        </is>
      </c>
      <c r="F332" t="inlineStr">
        <is>
          <t>No</t>
        </is>
      </c>
      <c r="G332" t="n">
        <v>4384</v>
      </c>
      <c r="H332" t="n">
        <v>1793</v>
      </c>
      <c r="I332" t="n">
        <v>117</v>
      </c>
      <c r="J332" t="n">
        <v>360</v>
      </c>
      <c r="K332" t="n">
        <v>1</v>
      </c>
      <c r="L332" t="inlineStr">
        <is>
          <t>Urban</t>
        </is>
      </c>
      <c r="M332" t="inlineStr">
        <is>
          <t>Y</t>
        </is>
      </c>
      <c r="N332">
        <f>IF(AND(K332=1,M332="Y"),"Lower Risk",IF(AND(K332=0,M332="N"),"High Risk","Medium Risk"))</f>
        <v/>
      </c>
    </row>
    <row r="333">
      <c r="A333" t="inlineStr">
        <is>
          <t>LP002098</t>
        </is>
      </c>
      <c r="B333" t="inlineStr">
        <is>
          <t>Male</t>
        </is>
      </c>
      <c r="C333" t="inlineStr">
        <is>
          <t>No</t>
        </is>
      </c>
      <c r="D333" t="n">
        <v>0</v>
      </c>
      <c r="E333" t="inlineStr">
        <is>
          <t>Graduate</t>
        </is>
      </c>
      <c r="F333" t="inlineStr">
        <is>
          <t>No</t>
        </is>
      </c>
      <c r="G333" t="n">
        <v>2935</v>
      </c>
      <c r="H333" t="n">
        <v>0</v>
      </c>
      <c r="I333" t="n">
        <v>98</v>
      </c>
      <c r="J333" t="n">
        <v>360</v>
      </c>
      <c r="K333" t="n">
        <v>1</v>
      </c>
      <c r="L333" t="inlineStr">
        <is>
          <t>Semiurban</t>
        </is>
      </c>
      <c r="M333" t="inlineStr">
        <is>
          <t>Y</t>
        </is>
      </c>
      <c r="N333">
        <f>IF(AND(K333=1,M333="Y"),"Lower Risk",IF(AND(K333=0,M333="N"),"High Risk","Medium Risk"))</f>
        <v/>
      </c>
    </row>
    <row r="334">
      <c r="A334" t="inlineStr">
        <is>
          <t>LP002100</t>
        </is>
      </c>
      <c r="B334" t="inlineStr">
        <is>
          <t>Male</t>
        </is>
      </c>
      <c r="C334" t="inlineStr">
        <is>
          <t>No</t>
        </is>
      </c>
      <c r="E334" t="inlineStr">
        <is>
          <t>Graduate</t>
        </is>
      </c>
      <c r="F334" t="inlineStr">
        <is>
          <t>No</t>
        </is>
      </c>
      <c r="G334" t="n">
        <v>2833</v>
      </c>
      <c r="H334" t="n">
        <v>0</v>
      </c>
      <c r="I334" t="n">
        <v>71</v>
      </c>
      <c r="J334" t="n">
        <v>360</v>
      </c>
      <c r="K334" t="n">
        <v>1</v>
      </c>
      <c r="L334" t="inlineStr">
        <is>
          <t>Urban</t>
        </is>
      </c>
      <c r="M334" t="inlineStr">
        <is>
          <t>Y</t>
        </is>
      </c>
      <c r="N334">
        <f>IF(AND(K334=1,M334="Y"),"Lower Risk",IF(AND(K334=0,M334="N"),"High Risk","Medium Risk"))</f>
        <v/>
      </c>
    </row>
    <row r="335">
      <c r="A335" t="inlineStr">
        <is>
          <t>LP002101</t>
        </is>
      </c>
      <c r="B335" t="inlineStr">
        <is>
          <t>Male</t>
        </is>
      </c>
      <c r="C335" t="inlineStr">
        <is>
          <t>Yes</t>
        </is>
      </c>
      <c r="D335" t="n">
        <v>0</v>
      </c>
      <c r="E335" t="inlineStr">
        <is>
          <t>Graduate</t>
        </is>
      </c>
      <c r="G335" t="n">
        <v>63337</v>
      </c>
      <c r="H335" t="n">
        <v>0</v>
      </c>
      <c r="I335" t="n">
        <v>490</v>
      </c>
      <c r="J335" t="n">
        <v>180</v>
      </c>
      <c r="K335" t="n">
        <v>1</v>
      </c>
      <c r="L335" t="inlineStr">
        <is>
          <t>Urban</t>
        </is>
      </c>
      <c r="M335" t="inlineStr">
        <is>
          <t>Y</t>
        </is>
      </c>
      <c r="N335">
        <f>IF(AND(K335=1,M335="Y"),"Lower Risk",IF(AND(K335=0,M335="N"),"High Risk","Medium Risk"))</f>
        <v/>
      </c>
    </row>
    <row r="336">
      <c r="A336" t="inlineStr">
        <is>
          <t>LP002103</t>
        </is>
      </c>
      <c r="C336" t="inlineStr">
        <is>
          <t>Yes</t>
        </is>
      </c>
      <c r="D336" t="n">
        <v>1</v>
      </c>
      <c r="E336" t="inlineStr">
        <is>
          <t>Graduate</t>
        </is>
      </c>
      <c r="F336" t="inlineStr">
        <is>
          <t>Yes</t>
        </is>
      </c>
      <c r="G336" t="n">
        <v>9833</v>
      </c>
      <c r="H336" t="n">
        <v>1833</v>
      </c>
      <c r="I336" t="n">
        <v>182</v>
      </c>
      <c r="J336" t="n">
        <v>180</v>
      </c>
      <c r="K336" t="n">
        <v>1</v>
      </c>
      <c r="L336" t="inlineStr">
        <is>
          <t>Urban</t>
        </is>
      </c>
      <c r="M336" t="inlineStr">
        <is>
          <t>Y</t>
        </is>
      </c>
      <c r="N336">
        <f>IF(AND(K336=1,M336="Y"),"Lower Risk",IF(AND(K336=0,M336="N"),"High Risk","Medium Risk"))</f>
        <v/>
      </c>
    </row>
    <row r="337">
      <c r="A337" t="inlineStr">
        <is>
          <t>LP002106</t>
        </is>
      </c>
      <c r="B337" t="inlineStr">
        <is>
          <t>Male</t>
        </is>
      </c>
      <c r="C337" t="inlineStr">
        <is>
          <t>Yes</t>
        </is>
      </c>
      <c r="E337" t="inlineStr">
        <is>
          <t>Graduate</t>
        </is>
      </c>
      <c r="F337" t="inlineStr">
        <is>
          <t>Yes</t>
        </is>
      </c>
      <c r="G337" t="n">
        <v>5503</v>
      </c>
      <c r="H337" t="n">
        <v>4490</v>
      </c>
      <c r="I337" t="n">
        <v>70</v>
      </c>
      <c r="K337" t="n">
        <v>1</v>
      </c>
      <c r="L337" t="inlineStr">
        <is>
          <t>Semiurban</t>
        </is>
      </c>
      <c r="M337" t="inlineStr">
        <is>
          <t>Y</t>
        </is>
      </c>
      <c r="N337">
        <f>IF(AND(K337=1,M337="Y"),"Lower Risk",IF(AND(K337=0,M337="N"),"High Risk","Medium Risk"))</f>
        <v/>
      </c>
    </row>
    <row r="338">
      <c r="A338" t="inlineStr">
        <is>
          <t>LP002110</t>
        </is>
      </c>
      <c r="B338" t="inlineStr">
        <is>
          <t>Male</t>
        </is>
      </c>
      <c r="C338" t="inlineStr">
        <is>
          <t>Yes</t>
        </is>
      </c>
      <c r="D338" t="n">
        <v>1</v>
      </c>
      <c r="E338" t="inlineStr">
        <is>
          <t>Graduate</t>
        </is>
      </c>
      <c r="G338" t="n">
        <v>5250</v>
      </c>
      <c r="H338" t="n">
        <v>688</v>
      </c>
      <c r="I338" t="n">
        <v>160</v>
      </c>
      <c r="J338" t="n">
        <v>360</v>
      </c>
      <c r="K338" t="n">
        <v>1</v>
      </c>
      <c r="L338" t="inlineStr">
        <is>
          <t>Rural</t>
        </is>
      </c>
      <c r="M338" t="inlineStr">
        <is>
          <t>Y</t>
        </is>
      </c>
      <c r="N338">
        <f>IF(AND(K338=1,M338="Y"),"Lower Risk",IF(AND(K338=0,M338="N"),"High Risk","Medium Risk"))</f>
        <v/>
      </c>
    </row>
    <row r="339">
      <c r="A339" t="inlineStr">
        <is>
          <t>LP002112</t>
        </is>
      </c>
      <c r="B339" t="inlineStr">
        <is>
          <t>Male</t>
        </is>
      </c>
      <c r="C339" t="inlineStr">
        <is>
          <t>Yes</t>
        </is>
      </c>
      <c r="D339" t="n">
        <v>2</v>
      </c>
      <c r="E339" t="inlineStr">
        <is>
          <t>Graduate</t>
        </is>
      </c>
      <c r="F339" t="inlineStr">
        <is>
          <t>Yes</t>
        </is>
      </c>
      <c r="G339" t="n">
        <v>2500</v>
      </c>
      <c r="H339" t="n">
        <v>4600</v>
      </c>
      <c r="I339" t="n">
        <v>176</v>
      </c>
      <c r="J339" t="n">
        <v>360</v>
      </c>
      <c r="K339" t="n">
        <v>1</v>
      </c>
      <c r="L339" t="inlineStr">
        <is>
          <t>Rural</t>
        </is>
      </c>
      <c r="M339" t="inlineStr">
        <is>
          <t>Y</t>
        </is>
      </c>
      <c r="N339">
        <f>IF(AND(K339=1,M339="Y"),"Lower Risk",IF(AND(K339=0,M339="N"),"High Risk","Medium Risk"))</f>
        <v/>
      </c>
    </row>
    <row r="340">
      <c r="A340" t="inlineStr">
        <is>
          <t>LP002113</t>
        </is>
      </c>
      <c r="B340" t="inlineStr">
        <is>
          <t>Female</t>
        </is>
      </c>
      <c r="C340" t="inlineStr">
        <is>
          <t>No</t>
        </is>
      </c>
      <c r="D340" t="inlineStr">
        <is>
          <t>3+</t>
        </is>
      </c>
      <c r="E340" t="inlineStr">
        <is>
          <t>Not Graduate</t>
        </is>
      </c>
      <c r="F340" t="inlineStr">
        <is>
          <t>No</t>
        </is>
      </c>
      <c r="G340" t="n">
        <v>1830</v>
      </c>
      <c r="H340" t="n">
        <v>0</v>
      </c>
      <c r="J340" t="n">
        <v>360</v>
      </c>
      <c r="K340" t="n">
        <v>0</v>
      </c>
      <c r="L340" t="inlineStr">
        <is>
          <t>Urban</t>
        </is>
      </c>
      <c r="M340" t="inlineStr">
        <is>
          <t>N</t>
        </is>
      </c>
      <c r="N340">
        <f>IF(AND(K340=1,M340="Y"),"Lower Risk",IF(AND(K340=0,M340="N"),"High Risk","Medium Risk"))</f>
        <v/>
      </c>
    </row>
    <row r="341">
      <c r="A341" t="inlineStr">
        <is>
          <t>LP002114</t>
        </is>
      </c>
      <c r="B341" t="inlineStr">
        <is>
          <t>Female</t>
        </is>
      </c>
      <c r="C341" t="inlineStr">
        <is>
          <t>No</t>
        </is>
      </c>
      <c r="D341" t="n">
        <v>0</v>
      </c>
      <c r="E341" t="inlineStr">
        <is>
          <t>Graduate</t>
        </is>
      </c>
      <c r="F341" t="inlineStr">
        <is>
          <t>No</t>
        </is>
      </c>
      <c r="G341" t="n">
        <v>4160</v>
      </c>
      <c r="H341" t="n">
        <v>0</v>
      </c>
      <c r="I341" t="n">
        <v>71</v>
      </c>
      <c r="J341" t="n">
        <v>360</v>
      </c>
      <c r="K341" t="n">
        <v>1</v>
      </c>
      <c r="L341" t="inlineStr">
        <is>
          <t>Semiurban</t>
        </is>
      </c>
      <c r="M341" t="inlineStr">
        <is>
          <t>Y</t>
        </is>
      </c>
      <c r="N341">
        <f>IF(AND(K341=1,M341="Y"),"Lower Risk",IF(AND(K341=0,M341="N"),"High Risk","Medium Risk"))</f>
        <v/>
      </c>
    </row>
    <row r="342">
      <c r="A342" t="inlineStr">
        <is>
          <t>LP002115</t>
        </is>
      </c>
      <c r="B342" t="inlineStr">
        <is>
          <t>Male</t>
        </is>
      </c>
      <c r="C342" t="inlineStr">
        <is>
          <t>Yes</t>
        </is>
      </c>
      <c r="D342" t="inlineStr">
        <is>
          <t>3+</t>
        </is>
      </c>
      <c r="E342" t="inlineStr">
        <is>
          <t>Not Graduate</t>
        </is>
      </c>
      <c r="F342" t="inlineStr">
        <is>
          <t>No</t>
        </is>
      </c>
      <c r="G342" t="n">
        <v>2647</v>
      </c>
      <c r="H342" t="n">
        <v>1587</v>
      </c>
      <c r="I342" t="n">
        <v>173</v>
      </c>
      <c r="J342" t="n">
        <v>360</v>
      </c>
      <c r="K342" t="n">
        <v>1</v>
      </c>
      <c r="L342" t="inlineStr">
        <is>
          <t>Rural</t>
        </is>
      </c>
      <c r="M342" t="inlineStr">
        <is>
          <t>N</t>
        </is>
      </c>
      <c r="N342">
        <f>IF(AND(K342=1,M342="Y"),"Lower Risk",IF(AND(K342=0,M342="N"),"High Risk","Medium Risk"))</f>
        <v/>
      </c>
    </row>
    <row r="343">
      <c r="A343" t="inlineStr">
        <is>
          <t>LP002116</t>
        </is>
      </c>
      <c r="B343" t="inlineStr">
        <is>
          <t>Female</t>
        </is>
      </c>
      <c r="C343" t="inlineStr">
        <is>
          <t>No</t>
        </is>
      </c>
      <c r="D343" t="n">
        <v>0</v>
      </c>
      <c r="E343" t="inlineStr">
        <is>
          <t>Graduate</t>
        </is>
      </c>
      <c r="F343" t="inlineStr">
        <is>
          <t>No</t>
        </is>
      </c>
      <c r="G343" t="n">
        <v>2378</v>
      </c>
      <c r="H343" t="n">
        <v>0</v>
      </c>
      <c r="I343" t="n">
        <v>46</v>
      </c>
      <c r="J343" t="n">
        <v>360</v>
      </c>
      <c r="K343" t="n">
        <v>1</v>
      </c>
      <c r="L343" t="inlineStr">
        <is>
          <t>Rural</t>
        </is>
      </c>
      <c r="M343" t="inlineStr">
        <is>
          <t>N</t>
        </is>
      </c>
      <c r="N343">
        <f>IF(AND(K343=1,M343="Y"),"Lower Risk",IF(AND(K343=0,M343="N"),"High Risk","Medium Risk"))</f>
        <v/>
      </c>
    </row>
    <row r="344">
      <c r="A344" t="inlineStr">
        <is>
          <t>LP002119</t>
        </is>
      </c>
      <c r="B344" t="inlineStr">
        <is>
          <t>Male</t>
        </is>
      </c>
      <c r="C344" t="inlineStr">
        <is>
          <t>Yes</t>
        </is>
      </c>
      <c r="D344" t="n">
        <v>1</v>
      </c>
      <c r="E344" t="inlineStr">
        <is>
          <t>Not Graduate</t>
        </is>
      </c>
      <c r="F344" t="inlineStr">
        <is>
          <t>No</t>
        </is>
      </c>
      <c r="G344" t="n">
        <v>4554</v>
      </c>
      <c r="H344" t="n">
        <v>1229</v>
      </c>
      <c r="I344" t="n">
        <v>158</v>
      </c>
      <c r="J344" t="n">
        <v>360</v>
      </c>
      <c r="K344" t="n">
        <v>1</v>
      </c>
      <c r="L344" t="inlineStr">
        <is>
          <t>Urban</t>
        </is>
      </c>
      <c r="M344" t="inlineStr">
        <is>
          <t>Y</t>
        </is>
      </c>
      <c r="N344">
        <f>IF(AND(K344=1,M344="Y"),"Lower Risk",IF(AND(K344=0,M344="N"),"High Risk","Medium Risk"))</f>
        <v/>
      </c>
    </row>
    <row r="345">
      <c r="A345" t="inlineStr">
        <is>
          <t>LP002126</t>
        </is>
      </c>
      <c r="B345" t="inlineStr">
        <is>
          <t>Male</t>
        </is>
      </c>
      <c r="C345" t="inlineStr">
        <is>
          <t>Yes</t>
        </is>
      </c>
      <c r="D345" t="inlineStr">
        <is>
          <t>3+</t>
        </is>
      </c>
      <c r="E345" t="inlineStr">
        <is>
          <t>Not Graduate</t>
        </is>
      </c>
      <c r="F345" t="inlineStr">
        <is>
          <t>No</t>
        </is>
      </c>
      <c r="G345" t="n">
        <v>3173</v>
      </c>
      <c r="H345" t="n">
        <v>0</v>
      </c>
      <c r="I345" t="n">
        <v>74</v>
      </c>
      <c r="J345" t="n">
        <v>360</v>
      </c>
      <c r="K345" t="n">
        <v>1</v>
      </c>
      <c r="L345" t="inlineStr">
        <is>
          <t>Semiurban</t>
        </is>
      </c>
      <c r="M345" t="inlineStr">
        <is>
          <t>Y</t>
        </is>
      </c>
      <c r="N345">
        <f>IF(AND(K345=1,M345="Y"),"Lower Risk",IF(AND(K345=0,M345="N"),"High Risk","Medium Risk"))</f>
        <v/>
      </c>
    </row>
    <row r="346">
      <c r="A346" t="inlineStr">
        <is>
          <t>LP002128</t>
        </is>
      </c>
      <c r="B346" t="inlineStr">
        <is>
          <t>Male</t>
        </is>
      </c>
      <c r="C346" t="inlineStr">
        <is>
          <t>Yes</t>
        </is>
      </c>
      <c r="D346" t="n">
        <v>2</v>
      </c>
      <c r="E346" t="inlineStr">
        <is>
          <t>Graduate</t>
        </is>
      </c>
      <c r="G346" t="n">
        <v>2583</v>
      </c>
      <c r="H346" t="n">
        <v>2330</v>
      </c>
      <c r="I346" t="n">
        <v>125</v>
      </c>
      <c r="J346" t="n">
        <v>360</v>
      </c>
      <c r="K346" t="n">
        <v>1</v>
      </c>
      <c r="L346" t="inlineStr">
        <is>
          <t>Rural</t>
        </is>
      </c>
      <c r="M346" t="inlineStr">
        <is>
          <t>Y</t>
        </is>
      </c>
      <c r="N346">
        <f>IF(AND(K346=1,M346="Y"),"Lower Risk",IF(AND(K346=0,M346="N"),"High Risk","Medium Risk"))</f>
        <v/>
      </c>
    </row>
    <row r="347">
      <c r="A347" t="inlineStr">
        <is>
          <t>LP002129</t>
        </is>
      </c>
      <c r="B347" t="inlineStr">
        <is>
          <t>Male</t>
        </is>
      </c>
      <c r="C347" t="inlineStr">
        <is>
          <t>Yes</t>
        </is>
      </c>
      <c r="D347" t="n">
        <v>0</v>
      </c>
      <c r="E347" t="inlineStr">
        <is>
          <t>Graduate</t>
        </is>
      </c>
      <c r="F347" t="inlineStr">
        <is>
          <t>No</t>
        </is>
      </c>
      <c r="G347" t="n">
        <v>2499</v>
      </c>
      <c r="H347" t="n">
        <v>2458</v>
      </c>
      <c r="I347" t="n">
        <v>160</v>
      </c>
      <c r="J347" t="n">
        <v>360</v>
      </c>
      <c r="K347" t="n">
        <v>1</v>
      </c>
      <c r="L347" t="inlineStr">
        <is>
          <t>Semiurban</t>
        </is>
      </c>
      <c r="M347" t="inlineStr">
        <is>
          <t>Y</t>
        </is>
      </c>
      <c r="N347">
        <f>IF(AND(K347=1,M347="Y"),"Lower Risk",IF(AND(K347=0,M347="N"),"High Risk","Medium Risk"))</f>
        <v/>
      </c>
    </row>
    <row r="348">
      <c r="A348" t="inlineStr">
        <is>
          <t>LP002130</t>
        </is>
      </c>
      <c r="B348" t="inlineStr">
        <is>
          <t>Male</t>
        </is>
      </c>
      <c r="C348" t="inlineStr">
        <is>
          <t>Yes</t>
        </is>
      </c>
      <c r="E348" t="inlineStr">
        <is>
          <t>Not Graduate</t>
        </is>
      </c>
      <c r="F348" t="inlineStr">
        <is>
          <t>No</t>
        </is>
      </c>
      <c r="G348" t="n">
        <v>3523</v>
      </c>
      <c r="H348" t="n">
        <v>3230</v>
      </c>
      <c r="I348" t="n">
        <v>152</v>
      </c>
      <c r="J348" t="n">
        <v>360</v>
      </c>
      <c r="K348" t="n">
        <v>0</v>
      </c>
      <c r="L348" t="inlineStr">
        <is>
          <t>Rural</t>
        </is>
      </c>
      <c r="M348" t="inlineStr">
        <is>
          <t>N</t>
        </is>
      </c>
      <c r="N348">
        <f>IF(AND(K348=1,M348="Y"),"Lower Risk",IF(AND(K348=0,M348="N"),"High Risk","Medium Risk"))</f>
        <v/>
      </c>
    </row>
    <row r="349">
      <c r="A349" t="inlineStr">
        <is>
          <t>LP002131</t>
        </is>
      </c>
      <c r="B349" t="inlineStr">
        <is>
          <t>Male</t>
        </is>
      </c>
      <c r="C349" t="inlineStr">
        <is>
          <t>Yes</t>
        </is>
      </c>
      <c r="D349" t="n">
        <v>2</v>
      </c>
      <c r="E349" t="inlineStr">
        <is>
          <t>Not Graduate</t>
        </is>
      </c>
      <c r="F349" t="inlineStr">
        <is>
          <t>No</t>
        </is>
      </c>
      <c r="G349" t="n">
        <v>3083</v>
      </c>
      <c r="H349" t="n">
        <v>2168</v>
      </c>
      <c r="I349" t="n">
        <v>126</v>
      </c>
      <c r="J349" t="n">
        <v>360</v>
      </c>
      <c r="K349" t="n">
        <v>1</v>
      </c>
      <c r="L349" t="inlineStr">
        <is>
          <t>Urban</t>
        </is>
      </c>
      <c r="M349" t="inlineStr">
        <is>
          <t>Y</t>
        </is>
      </c>
      <c r="N349">
        <f>IF(AND(K349=1,M349="Y"),"Lower Risk",IF(AND(K349=0,M349="N"),"High Risk","Medium Risk"))</f>
        <v/>
      </c>
    </row>
    <row r="350">
      <c r="A350" t="inlineStr">
        <is>
          <t>LP002137</t>
        </is>
      </c>
      <c r="B350" t="inlineStr">
        <is>
          <t>Male</t>
        </is>
      </c>
      <c r="C350" t="inlineStr">
        <is>
          <t>Yes</t>
        </is>
      </c>
      <c r="D350" t="n">
        <v>0</v>
      </c>
      <c r="E350" t="inlineStr">
        <is>
          <t>Graduate</t>
        </is>
      </c>
      <c r="F350" t="inlineStr">
        <is>
          <t>No</t>
        </is>
      </c>
      <c r="G350" t="n">
        <v>6333</v>
      </c>
      <c r="H350" t="n">
        <v>4583</v>
      </c>
      <c r="I350" t="n">
        <v>259</v>
      </c>
      <c r="J350" t="n">
        <v>360</v>
      </c>
      <c r="L350" t="inlineStr">
        <is>
          <t>Semiurban</t>
        </is>
      </c>
      <c r="M350" t="inlineStr">
        <is>
          <t>Y</t>
        </is>
      </c>
      <c r="N350">
        <f>IF(AND(K350=1,M350="Y"),"Lower Risk",IF(AND(K350=0,M350="N"),"High Risk","Medium Risk"))</f>
        <v/>
      </c>
    </row>
    <row r="351">
      <c r="A351" t="inlineStr">
        <is>
          <t>LP002138</t>
        </is>
      </c>
      <c r="B351" t="inlineStr">
        <is>
          <t>Male</t>
        </is>
      </c>
      <c r="C351" t="inlineStr">
        <is>
          <t>Yes</t>
        </is>
      </c>
      <c r="D351" t="n">
        <v>0</v>
      </c>
      <c r="E351" t="inlineStr">
        <is>
          <t>Graduate</t>
        </is>
      </c>
      <c r="F351" t="inlineStr">
        <is>
          <t>No</t>
        </is>
      </c>
      <c r="G351" t="n">
        <v>2625</v>
      </c>
      <c r="H351" t="n">
        <v>6250</v>
      </c>
      <c r="I351" t="n">
        <v>187</v>
      </c>
      <c r="J351" t="n">
        <v>360</v>
      </c>
      <c r="K351" t="n">
        <v>1</v>
      </c>
      <c r="L351" t="inlineStr">
        <is>
          <t>Rural</t>
        </is>
      </c>
      <c r="M351" t="inlineStr">
        <is>
          <t>Y</t>
        </is>
      </c>
      <c r="N351">
        <f>IF(AND(K351=1,M351="Y"),"Lower Risk",IF(AND(K351=0,M351="N"),"High Risk","Medium Risk"))</f>
        <v/>
      </c>
    </row>
    <row r="352">
      <c r="A352" t="inlineStr">
        <is>
          <t>LP002139</t>
        </is>
      </c>
      <c r="B352" t="inlineStr">
        <is>
          <t>Male</t>
        </is>
      </c>
      <c r="C352" t="inlineStr">
        <is>
          <t>Yes</t>
        </is>
      </c>
      <c r="D352" t="n">
        <v>0</v>
      </c>
      <c r="E352" t="inlineStr">
        <is>
          <t>Graduate</t>
        </is>
      </c>
      <c r="F352" t="inlineStr">
        <is>
          <t>No</t>
        </is>
      </c>
      <c r="G352" t="n">
        <v>9083</v>
      </c>
      <c r="H352" t="n">
        <v>0</v>
      </c>
      <c r="I352" t="n">
        <v>228</v>
      </c>
      <c r="J352" t="n">
        <v>360</v>
      </c>
      <c r="K352" t="n">
        <v>1</v>
      </c>
      <c r="L352" t="inlineStr">
        <is>
          <t>Semiurban</t>
        </is>
      </c>
      <c r="M352" t="inlineStr">
        <is>
          <t>Y</t>
        </is>
      </c>
      <c r="N352">
        <f>IF(AND(K352=1,M352="Y"),"Lower Risk",IF(AND(K352=0,M352="N"),"High Risk","Medium Risk"))</f>
        <v/>
      </c>
    </row>
    <row r="353">
      <c r="A353" t="inlineStr">
        <is>
          <t>LP002140</t>
        </is>
      </c>
      <c r="B353" t="inlineStr">
        <is>
          <t>Male</t>
        </is>
      </c>
      <c r="C353" t="inlineStr">
        <is>
          <t>No</t>
        </is>
      </c>
      <c r="D353" t="n">
        <v>0</v>
      </c>
      <c r="E353" t="inlineStr">
        <is>
          <t>Graduate</t>
        </is>
      </c>
      <c r="F353" t="inlineStr">
        <is>
          <t>No</t>
        </is>
      </c>
      <c r="G353" t="n">
        <v>8750</v>
      </c>
      <c r="H353" t="n">
        <v>4167</v>
      </c>
      <c r="I353" t="n">
        <v>308</v>
      </c>
      <c r="J353" t="n">
        <v>360</v>
      </c>
      <c r="K353" t="n">
        <v>1</v>
      </c>
      <c r="L353" t="inlineStr">
        <is>
          <t>Rural</t>
        </is>
      </c>
      <c r="M353" t="inlineStr">
        <is>
          <t>N</t>
        </is>
      </c>
      <c r="N353">
        <f>IF(AND(K353=1,M353="Y"),"Lower Risk",IF(AND(K353=0,M353="N"),"High Risk","Medium Risk"))</f>
        <v/>
      </c>
    </row>
    <row r="354">
      <c r="A354" t="inlineStr">
        <is>
          <t>LP002141</t>
        </is>
      </c>
      <c r="B354" t="inlineStr">
        <is>
          <t>Male</t>
        </is>
      </c>
      <c r="C354" t="inlineStr">
        <is>
          <t>Yes</t>
        </is>
      </c>
      <c r="D354" t="inlineStr">
        <is>
          <t>3+</t>
        </is>
      </c>
      <c r="E354" t="inlineStr">
        <is>
          <t>Graduate</t>
        </is>
      </c>
      <c r="F354" t="inlineStr">
        <is>
          <t>No</t>
        </is>
      </c>
      <c r="G354" t="n">
        <v>2666</v>
      </c>
      <c r="H354" t="n">
        <v>2083</v>
      </c>
      <c r="I354" t="n">
        <v>95</v>
      </c>
      <c r="J354" t="n">
        <v>360</v>
      </c>
      <c r="K354" t="n">
        <v>1</v>
      </c>
      <c r="L354" t="inlineStr">
        <is>
          <t>Rural</t>
        </is>
      </c>
      <c r="M354" t="inlineStr">
        <is>
          <t>Y</t>
        </is>
      </c>
      <c r="N354">
        <f>IF(AND(K354=1,M354="Y"),"Lower Risk",IF(AND(K354=0,M354="N"),"High Risk","Medium Risk"))</f>
        <v/>
      </c>
    </row>
    <row r="355">
      <c r="A355" t="inlineStr">
        <is>
          <t>LP002142</t>
        </is>
      </c>
      <c r="B355" t="inlineStr">
        <is>
          <t>Female</t>
        </is>
      </c>
      <c r="C355" t="inlineStr">
        <is>
          <t>Yes</t>
        </is>
      </c>
      <c r="D355" t="n">
        <v>0</v>
      </c>
      <c r="E355" t="inlineStr">
        <is>
          <t>Graduate</t>
        </is>
      </c>
      <c r="F355" t="inlineStr">
        <is>
          <t>Yes</t>
        </is>
      </c>
      <c r="G355" t="n">
        <v>5500</v>
      </c>
      <c r="H355" t="n">
        <v>0</v>
      </c>
      <c r="I355" t="n">
        <v>105</v>
      </c>
      <c r="J355" t="n">
        <v>360</v>
      </c>
      <c r="K355" t="n">
        <v>0</v>
      </c>
      <c r="L355" t="inlineStr">
        <is>
          <t>Rural</t>
        </is>
      </c>
      <c r="M355" t="inlineStr">
        <is>
          <t>N</t>
        </is>
      </c>
      <c r="N355">
        <f>IF(AND(K355=1,M355="Y"),"Lower Risk",IF(AND(K355=0,M355="N"),"High Risk","Medium Risk"))</f>
        <v/>
      </c>
    </row>
    <row r="356">
      <c r="A356" t="inlineStr">
        <is>
          <t>LP002143</t>
        </is>
      </c>
      <c r="B356" t="inlineStr">
        <is>
          <t>Female</t>
        </is>
      </c>
      <c r="C356" t="inlineStr">
        <is>
          <t>Yes</t>
        </is>
      </c>
      <c r="D356" t="n">
        <v>0</v>
      </c>
      <c r="E356" t="inlineStr">
        <is>
          <t>Graduate</t>
        </is>
      </c>
      <c r="F356" t="inlineStr">
        <is>
          <t>No</t>
        </is>
      </c>
      <c r="G356" t="n">
        <v>2423</v>
      </c>
      <c r="H356" t="n">
        <v>505</v>
      </c>
      <c r="I356" t="n">
        <v>130</v>
      </c>
      <c r="J356" t="n">
        <v>360</v>
      </c>
      <c r="K356" t="n">
        <v>1</v>
      </c>
      <c r="L356" t="inlineStr">
        <is>
          <t>Semiurban</t>
        </is>
      </c>
      <c r="M356" t="inlineStr">
        <is>
          <t>Y</t>
        </is>
      </c>
      <c r="N356">
        <f>IF(AND(K356=1,M356="Y"),"Lower Risk",IF(AND(K356=0,M356="N"),"High Risk","Medium Risk"))</f>
        <v/>
      </c>
    </row>
    <row r="357">
      <c r="A357" t="inlineStr">
        <is>
          <t>LP002144</t>
        </is>
      </c>
      <c r="B357" t="inlineStr">
        <is>
          <t>Female</t>
        </is>
      </c>
      <c r="C357" t="inlineStr">
        <is>
          <t>No</t>
        </is>
      </c>
      <c r="E357" t="inlineStr">
        <is>
          <t>Graduate</t>
        </is>
      </c>
      <c r="F357" t="inlineStr">
        <is>
          <t>No</t>
        </is>
      </c>
      <c r="G357" t="n">
        <v>3813</v>
      </c>
      <c r="H357" t="n">
        <v>0</v>
      </c>
      <c r="I357" t="n">
        <v>116</v>
      </c>
      <c r="J357" t="n">
        <v>180</v>
      </c>
      <c r="K357" t="n">
        <v>1</v>
      </c>
      <c r="L357" t="inlineStr">
        <is>
          <t>Urban</t>
        </is>
      </c>
      <c r="M357" t="inlineStr">
        <is>
          <t>Y</t>
        </is>
      </c>
      <c r="N357">
        <f>IF(AND(K357=1,M357="Y"),"Lower Risk",IF(AND(K357=0,M357="N"),"High Risk","Medium Risk"))</f>
        <v/>
      </c>
    </row>
    <row r="358">
      <c r="A358" t="inlineStr">
        <is>
          <t>LP002149</t>
        </is>
      </c>
      <c r="B358" t="inlineStr">
        <is>
          <t>Male</t>
        </is>
      </c>
      <c r="C358" t="inlineStr">
        <is>
          <t>Yes</t>
        </is>
      </c>
      <c r="D358" t="n">
        <v>2</v>
      </c>
      <c r="E358" t="inlineStr">
        <is>
          <t>Graduate</t>
        </is>
      </c>
      <c r="F358" t="inlineStr">
        <is>
          <t>No</t>
        </is>
      </c>
      <c r="G358" t="n">
        <v>8333</v>
      </c>
      <c r="H358" t="n">
        <v>3167</v>
      </c>
      <c r="I358" t="n">
        <v>165</v>
      </c>
      <c r="J358" t="n">
        <v>360</v>
      </c>
      <c r="K358" t="n">
        <v>1</v>
      </c>
      <c r="L358" t="inlineStr">
        <is>
          <t>Rural</t>
        </is>
      </c>
      <c r="M358" t="inlineStr">
        <is>
          <t>Y</t>
        </is>
      </c>
      <c r="N358">
        <f>IF(AND(K358=1,M358="Y"),"Lower Risk",IF(AND(K358=0,M358="N"),"High Risk","Medium Risk"))</f>
        <v/>
      </c>
    </row>
    <row r="359">
      <c r="A359" t="inlineStr">
        <is>
          <t>LP002151</t>
        </is>
      </c>
      <c r="B359" t="inlineStr">
        <is>
          <t>Male</t>
        </is>
      </c>
      <c r="C359" t="inlineStr">
        <is>
          <t>Yes</t>
        </is>
      </c>
      <c r="D359" t="n">
        <v>1</v>
      </c>
      <c r="E359" t="inlineStr">
        <is>
          <t>Graduate</t>
        </is>
      </c>
      <c r="F359" t="inlineStr">
        <is>
          <t>No</t>
        </is>
      </c>
      <c r="G359" t="n">
        <v>3875</v>
      </c>
      <c r="H359" t="n">
        <v>0</v>
      </c>
      <c r="I359" t="n">
        <v>67</v>
      </c>
      <c r="J359" t="n">
        <v>360</v>
      </c>
      <c r="K359" t="n">
        <v>1</v>
      </c>
      <c r="L359" t="inlineStr">
        <is>
          <t>Urban</t>
        </is>
      </c>
      <c r="M359" t="inlineStr">
        <is>
          <t>N</t>
        </is>
      </c>
      <c r="N359">
        <f>IF(AND(K359=1,M359="Y"),"Lower Risk",IF(AND(K359=0,M359="N"),"High Risk","Medium Risk"))</f>
        <v/>
      </c>
    </row>
    <row r="360">
      <c r="A360" t="inlineStr">
        <is>
          <t>LP002158</t>
        </is>
      </c>
      <c r="B360" t="inlineStr">
        <is>
          <t>Male</t>
        </is>
      </c>
      <c r="C360" t="inlineStr">
        <is>
          <t>Yes</t>
        </is>
      </c>
      <c r="D360" t="n">
        <v>0</v>
      </c>
      <c r="E360" t="inlineStr">
        <is>
          <t>Not Graduate</t>
        </is>
      </c>
      <c r="F360" t="inlineStr">
        <is>
          <t>No</t>
        </is>
      </c>
      <c r="G360" t="n">
        <v>3000</v>
      </c>
      <c r="H360" t="n">
        <v>1666</v>
      </c>
      <c r="I360" t="n">
        <v>100</v>
      </c>
      <c r="J360" t="n">
        <v>480</v>
      </c>
      <c r="K360" t="n">
        <v>0</v>
      </c>
      <c r="L360" t="inlineStr">
        <is>
          <t>Urban</t>
        </is>
      </c>
      <c r="M360" t="inlineStr">
        <is>
          <t>N</t>
        </is>
      </c>
      <c r="N360">
        <f>IF(AND(K360=1,M360="Y"),"Lower Risk",IF(AND(K360=0,M360="N"),"High Risk","Medium Risk"))</f>
        <v/>
      </c>
    </row>
    <row r="361">
      <c r="A361" t="inlineStr">
        <is>
          <t>LP002160</t>
        </is>
      </c>
      <c r="B361" t="inlineStr">
        <is>
          <t>Male</t>
        </is>
      </c>
      <c r="C361" t="inlineStr">
        <is>
          <t>Yes</t>
        </is>
      </c>
      <c r="D361" t="inlineStr">
        <is>
          <t>3+</t>
        </is>
      </c>
      <c r="E361" t="inlineStr">
        <is>
          <t>Graduate</t>
        </is>
      </c>
      <c r="F361" t="inlineStr">
        <is>
          <t>No</t>
        </is>
      </c>
      <c r="G361" t="n">
        <v>5167</v>
      </c>
      <c r="H361" t="n">
        <v>3167</v>
      </c>
      <c r="I361" t="n">
        <v>200</v>
      </c>
      <c r="J361" t="n">
        <v>360</v>
      </c>
      <c r="K361" t="n">
        <v>1</v>
      </c>
      <c r="L361" t="inlineStr">
        <is>
          <t>Semiurban</t>
        </is>
      </c>
      <c r="M361" t="inlineStr">
        <is>
          <t>Y</t>
        </is>
      </c>
      <c r="N361">
        <f>IF(AND(K361=1,M361="Y"),"Lower Risk",IF(AND(K361=0,M361="N"),"High Risk","Medium Risk"))</f>
        <v/>
      </c>
    </row>
    <row r="362">
      <c r="A362" t="inlineStr">
        <is>
          <t>LP002161</t>
        </is>
      </c>
      <c r="B362" t="inlineStr">
        <is>
          <t>Female</t>
        </is>
      </c>
      <c r="C362" t="inlineStr">
        <is>
          <t>No</t>
        </is>
      </c>
      <c r="D362" t="n">
        <v>1</v>
      </c>
      <c r="E362" t="inlineStr">
        <is>
          <t>Graduate</t>
        </is>
      </c>
      <c r="F362" t="inlineStr">
        <is>
          <t>No</t>
        </is>
      </c>
      <c r="G362" t="n">
        <v>4723</v>
      </c>
      <c r="H362" t="n">
        <v>0</v>
      </c>
      <c r="I362" t="n">
        <v>81</v>
      </c>
      <c r="J362" t="n">
        <v>360</v>
      </c>
      <c r="K362" t="n">
        <v>1</v>
      </c>
      <c r="L362" t="inlineStr">
        <is>
          <t>Semiurban</t>
        </is>
      </c>
      <c r="M362" t="inlineStr">
        <is>
          <t>N</t>
        </is>
      </c>
      <c r="N362">
        <f>IF(AND(K362=1,M362="Y"),"Lower Risk",IF(AND(K362=0,M362="N"),"High Risk","Medium Risk"))</f>
        <v/>
      </c>
    </row>
    <row r="363">
      <c r="A363" t="inlineStr">
        <is>
          <t>LP002170</t>
        </is>
      </c>
      <c r="B363" t="inlineStr">
        <is>
          <t>Male</t>
        </is>
      </c>
      <c r="C363" t="inlineStr">
        <is>
          <t>Yes</t>
        </is>
      </c>
      <c r="D363" t="n">
        <v>2</v>
      </c>
      <c r="E363" t="inlineStr">
        <is>
          <t>Graduate</t>
        </is>
      </c>
      <c r="F363" t="inlineStr">
        <is>
          <t>No</t>
        </is>
      </c>
      <c r="G363" t="n">
        <v>5000</v>
      </c>
      <c r="H363" t="n">
        <v>3667</v>
      </c>
      <c r="I363" t="n">
        <v>236</v>
      </c>
      <c r="J363" t="n">
        <v>360</v>
      </c>
      <c r="K363" t="n">
        <v>1</v>
      </c>
      <c r="L363" t="inlineStr">
        <is>
          <t>Semiurban</t>
        </is>
      </c>
      <c r="M363" t="inlineStr">
        <is>
          <t>Y</t>
        </is>
      </c>
      <c r="N363">
        <f>IF(AND(K363=1,M363="Y"),"Lower Risk",IF(AND(K363=0,M363="N"),"High Risk","Medium Risk"))</f>
        <v/>
      </c>
    </row>
    <row r="364">
      <c r="A364" t="inlineStr">
        <is>
          <t>LP002175</t>
        </is>
      </c>
      <c r="B364" t="inlineStr">
        <is>
          <t>Male</t>
        </is>
      </c>
      <c r="C364" t="inlineStr">
        <is>
          <t>Yes</t>
        </is>
      </c>
      <c r="D364" t="n">
        <v>0</v>
      </c>
      <c r="E364" t="inlineStr">
        <is>
          <t>Graduate</t>
        </is>
      </c>
      <c r="F364" t="inlineStr">
        <is>
          <t>No</t>
        </is>
      </c>
      <c r="G364" t="n">
        <v>4750</v>
      </c>
      <c r="H364" t="n">
        <v>2333</v>
      </c>
      <c r="I364" t="n">
        <v>130</v>
      </c>
      <c r="J364" t="n">
        <v>360</v>
      </c>
      <c r="K364" t="n">
        <v>1</v>
      </c>
      <c r="L364" t="inlineStr">
        <is>
          <t>Urban</t>
        </is>
      </c>
      <c r="M364" t="inlineStr">
        <is>
          <t>Y</t>
        </is>
      </c>
      <c r="N364">
        <f>IF(AND(K364=1,M364="Y"),"Lower Risk",IF(AND(K364=0,M364="N"),"High Risk","Medium Risk"))</f>
        <v/>
      </c>
    </row>
    <row r="365">
      <c r="A365" t="inlineStr">
        <is>
          <t>LP002178</t>
        </is>
      </c>
      <c r="B365" t="inlineStr">
        <is>
          <t>Male</t>
        </is>
      </c>
      <c r="C365" t="inlineStr">
        <is>
          <t>Yes</t>
        </is>
      </c>
      <c r="D365" t="n">
        <v>0</v>
      </c>
      <c r="E365" t="inlineStr">
        <is>
          <t>Graduate</t>
        </is>
      </c>
      <c r="F365" t="inlineStr">
        <is>
          <t>No</t>
        </is>
      </c>
      <c r="G365" t="n">
        <v>3013</v>
      </c>
      <c r="H365" t="n">
        <v>3033</v>
      </c>
      <c r="I365" t="n">
        <v>95</v>
      </c>
      <c r="J365" t="n">
        <v>300</v>
      </c>
      <c r="L365" t="inlineStr">
        <is>
          <t>Urban</t>
        </is>
      </c>
      <c r="M365" t="inlineStr">
        <is>
          <t>Y</t>
        </is>
      </c>
      <c r="N365">
        <f>IF(AND(K365=1,M365="Y"),"Lower Risk",IF(AND(K365=0,M365="N"),"High Risk","Medium Risk"))</f>
        <v/>
      </c>
    </row>
    <row r="366">
      <c r="A366" t="inlineStr">
        <is>
          <t>LP002180</t>
        </is>
      </c>
      <c r="B366" t="inlineStr">
        <is>
          <t>Male</t>
        </is>
      </c>
      <c r="C366" t="inlineStr">
        <is>
          <t>No</t>
        </is>
      </c>
      <c r="D366" t="n">
        <v>0</v>
      </c>
      <c r="E366" t="inlineStr">
        <is>
          <t>Graduate</t>
        </is>
      </c>
      <c r="F366" t="inlineStr">
        <is>
          <t>Yes</t>
        </is>
      </c>
      <c r="G366" t="n">
        <v>6822</v>
      </c>
      <c r="H366" t="n">
        <v>0</v>
      </c>
      <c r="I366" t="n">
        <v>141</v>
      </c>
      <c r="J366" t="n">
        <v>360</v>
      </c>
      <c r="K366" t="n">
        <v>1</v>
      </c>
      <c r="L366" t="inlineStr">
        <is>
          <t>Rural</t>
        </is>
      </c>
      <c r="M366" t="inlineStr">
        <is>
          <t>Y</t>
        </is>
      </c>
      <c r="N366">
        <f>IF(AND(K366=1,M366="Y"),"Lower Risk",IF(AND(K366=0,M366="N"),"High Risk","Medium Risk"))</f>
        <v/>
      </c>
    </row>
    <row r="367">
      <c r="A367" t="inlineStr">
        <is>
          <t>LP002181</t>
        </is>
      </c>
      <c r="B367" t="inlineStr">
        <is>
          <t>Male</t>
        </is>
      </c>
      <c r="C367" t="inlineStr">
        <is>
          <t>No</t>
        </is>
      </c>
      <c r="D367" t="n">
        <v>0</v>
      </c>
      <c r="E367" t="inlineStr">
        <is>
          <t>Not Graduate</t>
        </is>
      </c>
      <c r="F367" t="inlineStr">
        <is>
          <t>No</t>
        </is>
      </c>
      <c r="G367" t="n">
        <v>6216</v>
      </c>
      <c r="H367" t="n">
        <v>0</v>
      </c>
      <c r="I367" t="n">
        <v>133</v>
      </c>
      <c r="J367" t="n">
        <v>360</v>
      </c>
      <c r="K367" t="n">
        <v>1</v>
      </c>
      <c r="L367" t="inlineStr">
        <is>
          <t>Rural</t>
        </is>
      </c>
      <c r="M367" t="inlineStr">
        <is>
          <t>N</t>
        </is>
      </c>
      <c r="N367">
        <f>IF(AND(K367=1,M367="Y"),"Lower Risk",IF(AND(K367=0,M367="N"),"High Risk","Medium Risk"))</f>
        <v/>
      </c>
    </row>
    <row r="368">
      <c r="A368" t="inlineStr">
        <is>
          <t>LP002187</t>
        </is>
      </c>
      <c r="B368" t="inlineStr">
        <is>
          <t>Male</t>
        </is>
      </c>
      <c r="C368" t="inlineStr">
        <is>
          <t>No</t>
        </is>
      </c>
      <c r="D368" t="n">
        <v>0</v>
      </c>
      <c r="E368" t="inlineStr">
        <is>
          <t>Graduate</t>
        </is>
      </c>
      <c r="F368" t="inlineStr">
        <is>
          <t>No</t>
        </is>
      </c>
      <c r="G368" t="n">
        <v>2500</v>
      </c>
      <c r="H368" t="n">
        <v>0</v>
      </c>
      <c r="I368" t="n">
        <v>96</v>
      </c>
      <c r="J368" t="n">
        <v>480</v>
      </c>
      <c r="K368" t="n">
        <v>1</v>
      </c>
      <c r="L368" t="inlineStr">
        <is>
          <t>Semiurban</t>
        </is>
      </c>
      <c r="M368" t="inlineStr">
        <is>
          <t>N</t>
        </is>
      </c>
      <c r="N368">
        <f>IF(AND(K368=1,M368="Y"),"Lower Risk",IF(AND(K368=0,M368="N"),"High Risk","Medium Risk"))</f>
        <v/>
      </c>
    </row>
    <row r="369">
      <c r="A369" t="inlineStr">
        <is>
          <t>LP002188</t>
        </is>
      </c>
      <c r="B369" t="inlineStr">
        <is>
          <t>Male</t>
        </is>
      </c>
      <c r="C369" t="inlineStr">
        <is>
          <t>No</t>
        </is>
      </c>
      <c r="D369" t="n">
        <v>0</v>
      </c>
      <c r="E369" t="inlineStr">
        <is>
          <t>Graduate</t>
        </is>
      </c>
      <c r="F369" t="inlineStr">
        <is>
          <t>No</t>
        </is>
      </c>
      <c r="G369" t="n">
        <v>5124</v>
      </c>
      <c r="H369" t="n">
        <v>0</v>
      </c>
      <c r="I369" t="n">
        <v>124</v>
      </c>
      <c r="K369" t="n">
        <v>0</v>
      </c>
      <c r="L369" t="inlineStr">
        <is>
          <t>Rural</t>
        </is>
      </c>
      <c r="M369" t="inlineStr">
        <is>
          <t>N</t>
        </is>
      </c>
      <c r="N369">
        <f>IF(AND(K369=1,M369="Y"),"Lower Risk",IF(AND(K369=0,M369="N"),"High Risk","Medium Risk"))</f>
        <v/>
      </c>
    </row>
    <row r="370">
      <c r="A370" t="inlineStr">
        <is>
          <t>LP002190</t>
        </is>
      </c>
      <c r="B370" t="inlineStr">
        <is>
          <t>Male</t>
        </is>
      </c>
      <c r="C370" t="inlineStr">
        <is>
          <t>Yes</t>
        </is>
      </c>
      <c r="D370" t="n">
        <v>1</v>
      </c>
      <c r="E370" t="inlineStr">
        <is>
          <t>Graduate</t>
        </is>
      </c>
      <c r="F370" t="inlineStr">
        <is>
          <t>No</t>
        </is>
      </c>
      <c r="G370" t="n">
        <v>6325</v>
      </c>
      <c r="H370" t="n">
        <v>0</v>
      </c>
      <c r="I370" t="n">
        <v>175</v>
      </c>
      <c r="J370" t="n">
        <v>360</v>
      </c>
      <c r="K370" t="n">
        <v>1</v>
      </c>
      <c r="L370" t="inlineStr">
        <is>
          <t>Semiurban</t>
        </is>
      </c>
      <c r="M370" t="inlineStr">
        <is>
          <t>Y</t>
        </is>
      </c>
      <c r="N370">
        <f>IF(AND(K370=1,M370="Y"),"Lower Risk",IF(AND(K370=0,M370="N"),"High Risk","Medium Risk"))</f>
        <v/>
      </c>
    </row>
    <row r="371">
      <c r="A371" t="inlineStr">
        <is>
          <t>LP002191</t>
        </is>
      </c>
      <c r="B371" t="inlineStr">
        <is>
          <t>Male</t>
        </is>
      </c>
      <c r="C371" t="inlineStr">
        <is>
          <t>Yes</t>
        </is>
      </c>
      <c r="D371" t="n">
        <v>0</v>
      </c>
      <c r="E371" t="inlineStr">
        <is>
          <t>Graduate</t>
        </is>
      </c>
      <c r="F371" t="inlineStr">
        <is>
          <t>No</t>
        </is>
      </c>
      <c r="G371" t="n">
        <v>19730</v>
      </c>
      <c r="H371" t="n">
        <v>5266</v>
      </c>
      <c r="I371" t="n">
        <v>570</v>
      </c>
      <c r="J371" t="n">
        <v>360</v>
      </c>
      <c r="K371" t="n">
        <v>1</v>
      </c>
      <c r="L371" t="inlineStr">
        <is>
          <t>Rural</t>
        </is>
      </c>
      <c r="M371" t="inlineStr">
        <is>
          <t>N</t>
        </is>
      </c>
      <c r="N371">
        <f>IF(AND(K371=1,M371="Y"),"Lower Risk",IF(AND(K371=0,M371="N"),"High Risk","Medium Risk"))</f>
        <v/>
      </c>
    </row>
    <row r="372">
      <c r="A372" t="inlineStr">
        <is>
          <t>LP002194</t>
        </is>
      </c>
      <c r="B372" t="inlineStr">
        <is>
          <t>Female</t>
        </is>
      </c>
      <c r="C372" t="inlineStr">
        <is>
          <t>No</t>
        </is>
      </c>
      <c r="D372" t="n">
        <v>0</v>
      </c>
      <c r="E372" t="inlineStr">
        <is>
          <t>Graduate</t>
        </is>
      </c>
      <c r="F372" t="inlineStr">
        <is>
          <t>Yes</t>
        </is>
      </c>
      <c r="G372" t="n">
        <v>15759</v>
      </c>
      <c r="H372" t="n">
        <v>0</v>
      </c>
      <c r="I372" t="n">
        <v>55</v>
      </c>
      <c r="J372" t="n">
        <v>360</v>
      </c>
      <c r="K372" t="n">
        <v>1</v>
      </c>
      <c r="L372" t="inlineStr">
        <is>
          <t>Semiurban</t>
        </is>
      </c>
      <c r="M372" t="inlineStr">
        <is>
          <t>Y</t>
        </is>
      </c>
      <c r="N372">
        <f>IF(AND(K372=1,M372="Y"),"Lower Risk",IF(AND(K372=0,M372="N"),"High Risk","Medium Risk"))</f>
        <v/>
      </c>
    </row>
    <row r="373">
      <c r="A373" t="inlineStr">
        <is>
          <t>LP002197</t>
        </is>
      </c>
      <c r="B373" t="inlineStr">
        <is>
          <t>Male</t>
        </is>
      </c>
      <c r="C373" t="inlineStr">
        <is>
          <t>Yes</t>
        </is>
      </c>
      <c r="D373" t="n">
        <v>2</v>
      </c>
      <c r="E373" t="inlineStr">
        <is>
          <t>Graduate</t>
        </is>
      </c>
      <c r="F373" t="inlineStr">
        <is>
          <t>No</t>
        </is>
      </c>
      <c r="G373" t="n">
        <v>5185</v>
      </c>
      <c r="H373" t="n">
        <v>0</v>
      </c>
      <c r="I373" t="n">
        <v>155</v>
      </c>
      <c r="J373" t="n">
        <v>360</v>
      </c>
      <c r="K373" t="n">
        <v>1</v>
      </c>
      <c r="L373" t="inlineStr">
        <is>
          <t>Semiurban</t>
        </is>
      </c>
      <c r="M373" t="inlineStr">
        <is>
          <t>Y</t>
        </is>
      </c>
      <c r="N373">
        <f>IF(AND(K373=1,M373="Y"),"Lower Risk",IF(AND(K373=0,M373="N"),"High Risk","Medium Risk"))</f>
        <v/>
      </c>
    </row>
    <row r="374">
      <c r="A374" t="inlineStr">
        <is>
          <t>LP002201</t>
        </is>
      </c>
      <c r="B374" t="inlineStr">
        <is>
          <t>Male</t>
        </is>
      </c>
      <c r="C374" t="inlineStr">
        <is>
          <t>Yes</t>
        </is>
      </c>
      <c r="D374" t="n">
        <v>2</v>
      </c>
      <c r="E374" t="inlineStr">
        <is>
          <t>Graduate</t>
        </is>
      </c>
      <c r="F374" t="inlineStr">
        <is>
          <t>Yes</t>
        </is>
      </c>
      <c r="G374" t="n">
        <v>9323</v>
      </c>
      <c r="H374" t="n">
        <v>7873</v>
      </c>
      <c r="I374" t="n">
        <v>380</v>
      </c>
      <c r="J374" t="n">
        <v>300</v>
      </c>
      <c r="K374" t="n">
        <v>1</v>
      </c>
      <c r="L374" t="inlineStr">
        <is>
          <t>Rural</t>
        </is>
      </c>
      <c r="M374" t="inlineStr">
        <is>
          <t>Y</t>
        </is>
      </c>
      <c r="N374">
        <f>IF(AND(K374=1,M374="Y"),"Lower Risk",IF(AND(K374=0,M374="N"),"High Risk","Medium Risk"))</f>
        <v/>
      </c>
    </row>
    <row r="375">
      <c r="A375" t="inlineStr">
        <is>
          <t>LP002205</t>
        </is>
      </c>
      <c r="B375" t="inlineStr">
        <is>
          <t>Male</t>
        </is>
      </c>
      <c r="C375" t="inlineStr">
        <is>
          <t>No</t>
        </is>
      </c>
      <c r="D375" t="n">
        <v>1</v>
      </c>
      <c r="E375" t="inlineStr">
        <is>
          <t>Graduate</t>
        </is>
      </c>
      <c r="F375" t="inlineStr">
        <is>
          <t>No</t>
        </is>
      </c>
      <c r="G375" t="n">
        <v>3062</v>
      </c>
      <c r="H375" t="n">
        <v>1987</v>
      </c>
      <c r="I375" t="n">
        <v>111</v>
      </c>
      <c r="J375" t="n">
        <v>180</v>
      </c>
      <c r="K375" t="n">
        <v>0</v>
      </c>
      <c r="L375" t="inlineStr">
        <is>
          <t>Urban</t>
        </is>
      </c>
      <c r="M375" t="inlineStr">
        <is>
          <t>N</t>
        </is>
      </c>
      <c r="N375">
        <f>IF(AND(K375=1,M375="Y"),"Lower Risk",IF(AND(K375=0,M375="N"),"High Risk","Medium Risk"))</f>
        <v/>
      </c>
    </row>
    <row r="376">
      <c r="A376" t="inlineStr">
        <is>
          <t>LP002209</t>
        </is>
      </c>
      <c r="B376" t="inlineStr">
        <is>
          <t>Female</t>
        </is>
      </c>
      <c r="C376" t="inlineStr">
        <is>
          <t>No</t>
        </is>
      </c>
      <c r="D376" t="n">
        <v>0</v>
      </c>
      <c r="E376" t="inlineStr">
        <is>
          <t>Graduate</t>
        </is>
      </c>
      <c r="G376" t="n">
        <v>2764</v>
      </c>
      <c r="H376" t="n">
        <v>1459</v>
      </c>
      <c r="I376" t="n">
        <v>110</v>
      </c>
      <c r="J376" t="n">
        <v>360</v>
      </c>
      <c r="K376" t="n">
        <v>1</v>
      </c>
      <c r="L376" t="inlineStr">
        <is>
          <t>Urban</t>
        </is>
      </c>
      <c r="M376" t="inlineStr">
        <is>
          <t>Y</t>
        </is>
      </c>
      <c r="N376">
        <f>IF(AND(K376=1,M376="Y"),"Lower Risk",IF(AND(K376=0,M376="N"),"High Risk","Medium Risk"))</f>
        <v/>
      </c>
    </row>
    <row r="377">
      <c r="A377" t="inlineStr">
        <is>
          <t>LP002211</t>
        </is>
      </c>
      <c r="B377" t="inlineStr">
        <is>
          <t>Male</t>
        </is>
      </c>
      <c r="C377" t="inlineStr">
        <is>
          <t>Yes</t>
        </is>
      </c>
      <c r="D377" t="n">
        <v>0</v>
      </c>
      <c r="E377" t="inlineStr">
        <is>
          <t>Graduate</t>
        </is>
      </c>
      <c r="F377" t="inlineStr">
        <is>
          <t>No</t>
        </is>
      </c>
      <c r="G377" t="n">
        <v>4817</v>
      </c>
      <c r="H377" t="n">
        <v>923</v>
      </c>
      <c r="I377" t="n">
        <v>120</v>
      </c>
      <c r="J377" t="n">
        <v>180</v>
      </c>
      <c r="K377" t="n">
        <v>1</v>
      </c>
      <c r="L377" t="inlineStr">
        <is>
          <t>Urban</t>
        </is>
      </c>
      <c r="M377" t="inlineStr">
        <is>
          <t>Y</t>
        </is>
      </c>
      <c r="N377">
        <f>IF(AND(K377=1,M377="Y"),"Lower Risk",IF(AND(K377=0,M377="N"),"High Risk","Medium Risk"))</f>
        <v/>
      </c>
    </row>
    <row r="378">
      <c r="A378" t="inlineStr">
        <is>
          <t>LP002219</t>
        </is>
      </c>
      <c r="B378" t="inlineStr">
        <is>
          <t>Male</t>
        </is>
      </c>
      <c r="C378" t="inlineStr">
        <is>
          <t>Yes</t>
        </is>
      </c>
      <c r="D378" t="inlineStr">
        <is>
          <t>3+</t>
        </is>
      </c>
      <c r="E378" t="inlineStr">
        <is>
          <t>Graduate</t>
        </is>
      </c>
      <c r="F378" t="inlineStr">
        <is>
          <t>No</t>
        </is>
      </c>
      <c r="G378" t="n">
        <v>8750</v>
      </c>
      <c r="H378" t="n">
        <v>4996</v>
      </c>
      <c r="I378" t="n">
        <v>130</v>
      </c>
      <c r="J378" t="n">
        <v>360</v>
      </c>
      <c r="K378" t="n">
        <v>1</v>
      </c>
      <c r="L378" t="inlineStr">
        <is>
          <t>Rural</t>
        </is>
      </c>
      <c r="M378" t="inlineStr">
        <is>
          <t>Y</t>
        </is>
      </c>
      <c r="N378">
        <f>IF(AND(K378=1,M378="Y"),"Lower Risk",IF(AND(K378=0,M378="N"),"High Risk","Medium Risk"))</f>
        <v/>
      </c>
    </row>
    <row r="379">
      <c r="A379" t="inlineStr">
        <is>
          <t>LP002223</t>
        </is>
      </c>
      <c r="B379" t="inlineStr">
        <is>
          <t>Male</t>
        </is>
      </c>
      <c r="C379" t="inlineStr">
        <is>
          <t>Yes</t>
        </is>
      </c>
      <c r="D379" t="n">
        <v>0</v>
      </c>
      <c r="E379" t="inlineStr">
        <is>
          <t>Graduate</t>
        </is>
      </c>
      <c r="F379" t="inlineStr">
        <is>
          <t>No</t>
        </is>
      </c>
      <c r="G379" t="n">
        <v>4310</v>
      </c>
      <c r="H379" t="n">
        <v>0</v>
      </c>
      <c r="I379" t="n">
        <v>130</v>
      </c>
      <c r="J379" t="n">
        <v>360</v>
      </c>
      <c r="L379" t="inlineStr">
        <is>
          <t>Semiurban</t>
        </is>
      </c>
      <c r="M379" t="inlineStr">
        <is>
          <t>Y</t>
        </is>
      </c>
      <c r="N379">
        <f>IF(AND(K379=1,M379="Y"),"Lower Risk",IF(AND(K379=0,M379="N"),"High Risk","Medium Risk"))</f>
        <v/>
      </c>
    </row>
    <row r="380">
      <c r="A380" t="inlineStr">
        <is>
          <t>LP002224</t>
        </is>
      </c>
      <c r="B380" t="inlineStr">
        <is>
          <t>Male</t>
        </is>
      </c>
      <c r="C380" t="inlineStr">
        <is>
          <t>No</t>
        </is>
      </c>
      <c r="D380" t="n">
        <v>0</v>
      </c>
      <c r="E380" t="inlineStr">
        <is>
          <t>Graduate</t>
        </is>
      </c>
      <c r="F380" t="inlineStr">
        <is>
          <t>No</t>
        </is>
      </c>
      <c r="G380" t="n">
        <v>3069</v>
      </c>
      <c r="H380" t="n">
        <v>0</v>
      </c>
      <c r="I380" t="n">
        <v>71</v>
      </c>
      <c r="J380" t="n">
        <v>480</v>
      </c>
      <c r="K380" t="n">
        <v>1</v>
      </c>
      <c r="L380" t="inlineStr">
        <is>
          <t>Urban</t>
        </is>
      </c>
      <c r="M380" t="inlineStr">
        <is>
          <t>N</t>
        </is>
      </c>
      <c r="N380">
        <f>IF(AND(K380=1,M380="Y"),"Lower Risk",IF(AND(K380=0,M380="N"),"High Risk","Medium Risk"))</f>
        <v/>
      </c>
    </row>
    <row r="381">
      <c r="A381" t="inlineStr">
        <is>
          <t>LP002225</t>
        </is>
      </c>
      <c r="B381" t="inlineStr">
        <is>
          <t>Male</t>
        </is>
      </c>
      <c r="C381" t="inlineStr">
        <is>
          <t>Yes</t>
        </is>
      </c>
      <c r="D381" t="n">
        <v>2</v>
      </c>
      <c r="E381" t="inlineStr">
        <is>
          <t>Graduate</t>
        </is>
      </c>
      <c r="F381" t="inlineStr">
        <is>
          <t>No</t>
        </is>
      </c>
      <c r="G381" t="n">
        <v>5391</v>
      </c>
      <c r="H381" t="n">
        <v>0</v>
      </c>
      <c r="I381" t="n">
        <v>130</v>
      </c>
      <c r="J381" t="n">
        <v>360</v>
      </c>
      <c r="K381" t="n">
        <v>1</v>
      </c>
      <c r="L381" t="inlineStr">
        <is>
          <t>Urban</t>
        </is>
      </c>
      <c r="M381" t="inlineStr">
        <is>
          <t>Y</t>
        </is>
      </c>
      <c r="N381">
        <f>IF(AND(K381=1,M381="Y"),"Lower Risk",IF(AND(K381=0,M381="N"),"High Risk","Medium Risk"))</f>
        <v/>
      </c>
    </row>
    <row r="382">
      <c r="A382" t="inlineStr">
        <is>
          <t>LP002226</t>
        </is>
      </c>
      <c r="B382" t="inlineStr">
        <is>
          <t>Male</t>
        </is>
      </c>
      <c r="C382" t="inlineStr">
        <is>
          <t>Yes</t>
        </is>
      </c>
      <c r="D382" t="n">
        <v>0</v>
      </c>
      <c r="E382" t="inlineStr">
        <is>
          <t>Graduate</t>
        </is>
      </c>
      <c r="G382" t="n">
        <v>3333</v>
      </c>
      <c r="H382" t="n">
        <v>2500</v>
      </c>
      <c r="I382" t="n">
        <v>128</v>
      </c>
      <c r="J382" t="n">
        <v>360</v>
      </c>
      <c r="K382" t="n">
        <v>1</v>
      </c>
      <c r="L382" t="inlineStr">
        <is>
          <t>Semiurban</t>
        </is>
      </c>
      <c r="M382" t="inlineStr">
        <is>
          <t>Y</t>
        </is>
      </c>
      <c r="N382">
        <f>IF(AND(K382=1,M382="Y"),"Lower Risk",IF(AND(K382=0,M382="N"),"High Risk","Medium Risk"))</f>
        <v/>
      </c>
    </row>
    <row r="383">
      <c r="A383" t="inlineStr">
        <is>
          <t>LP002229</t>
        </is>
      </c>
      <c r="B383" t="inlineStr">
        <is>
          <t>Male</t>
        </is>
      </c>
      <c r="C383" t="inlineStr">
        <is>
          <t>No</t>
        </is>
      </c>
      <c r="D383" t="n">
        <v>0</v>
      </c>
      <c r="E383" t="inlineStr">
        <is>
          <t>Graduate</t>
        </is>
      </c>
      <c r="F383" t="inlineStr">
        <is>
          <t>No</t>
        </is>
      </c>
      <c r="G383" t="n">
        <v>5941</v>
      </c>
      <c r="H383" t="n">
        <v>4232</v>
      </c>
      <c r="I383" t="n">
        <v>296</v>
      </c>
      <c r="J383" t="n">
        <v>360</v>
      </c>
      <c r="K383" t="n">
        <v>1</v>
      </c>
      <c r="L383" t="inlineStr">
        <is>
          <t>Semiurban</t>
        </is>
      </c>
      <c r="M383" t="inlineStr">
        <is>
          <t>Y</t>
        </is>
      </c>
      <c r="N383">
        <f>IF(AND(K383=1,M383="Y"),"Lower Risk",IF(AND(K383=0,M383="N"),"High Risk","Medium Risk"))</f>
        <v/>
      </c>
    </row>
    <row r="384">
      <c r="A384" t="inlineStr">
        <is>
          <t>LP002231</t>
        </is>
      </c>
      <c r="B384" t="inlineStr">
        <is>
          <t>Female</t>
        </is>
      </c>
      <c r="C384" t="inlineStr">
        <is>
          <t>No</t>
        </is>
      </c>
      <c r="D384" t="n">
        <v>0</v>
      </c>
      <c r="E384" t="inlineStr">
        <is>
          <t>Graduate</t>
        </is>
      </c>
      <c r="F384" t="inlineStr">
        <is>
          <t>No</t>
        </is>
      </c>
      <c r="G384" t="n">
        <v>6000</v>
      </c>
      <c r="H384" t="n">
        <v>0</v>
      </c>
      <c r="I384" t="n">
        <v>156</v>
      </c>
      <c r="J384" t="n">
        <v>360</v>
      </c>
      <c r="K384" t="n">
        <v>1</v>
      </c>
      <c r="L384" t="inlineStr">
        <is>
          <t>Urban</t>
        </is>
      </c>
      <c r="M384" t="inlineStr">
        <is>
          <t>Y</t>
        </is>
      </c>
      <c r="N384">
        <f>IF(AND(K384=1,M384="Y"),"Lower Risk",IF(AND(K384=0,M384="N"),"High Risk","Medium Risk"))</f>
        <v/>
      </c>
    </row>
    <row r="385">
      <c r="A385" t="inlineStr">
        <is>
          <t>LP002234</t>
        </is>
      </c>
      <c r="B385" t="inlineStr">
        <is>
          <t>Male</t>
        </is>
      </c>
      <c r="C385" t="inlineStr">
        <is>
          <t>No</t>
        </is>
      </c>
      <c r="D385" t="n">
        <v>0</v>
      </c>
      <c r="E385" t="inlineStr">
        <is>
          <t>Graduate</t>
        </is>
      </c>
      <c r="F385" t="inlineStr">
        <is>
          <t>Yes</t>
        </is>
      </c>
      <c r="G385" t="n">
        <v>7167</v>
      </c>
      <c r="H385" t="n">
        <v>0</v>
      </c>
      <c r="I385" t="n">
        <v>128</v>
      </c>
      <c r="J385" t="n">
        <v>360</v>
      </c>
      <c r="K385" t="n">
        <v>1</v>
      </c>
      <c r="L385" t="inlineStr">
        <is>
          <t>Urban</t>
        </is>
      </c>
      <c r="M385" t="inlineStr">
        <is>
          <t>Y</t>
        </is>
      </c>
      <c r="N385">
        <f>IF(AND(K385=1,M385="Y"),"Lower Risk",IF(AND(K385=0,M385="N"),"High Risk","Medium Risk"))</f>
        <v/>
      </c>
    </row>
    <row r="386">
      <c r="A386" t="inlineStr">
        <is>
          <t>LP002236</t>
        </is>
      </c>
      <c r="B386" t="inlineStr">
        <is>
          <t>Male</t>
        </is>
      </c>
      <c r="C386" t="inlineStr">
        <is>
          <t>Yes</t>
        </is>
      </c>
      <c r="D386" t="n">
        <v>2</v>
      </c>
      <c r="E386" t="inlineStr">
        <is>
          <t>Graduate</t>
        </is>
      </c>
      <c r="F386" t="inlineStr">
        <is>
          <t>No</t>
        </is>
      </c>
      <c r="G386" t="n">
        <v>4566</v>
      </c>
      <c r="H386" t="n">
        <v>0</v>
      </c>
      <c r="I386" t="n">
        <v>100</v>
      </c>
      <c r="J386" t="n">
        <v>360</v>
      </c>
      <c r="K386" t="n">
        <v>1</v>
      </c>
      <c r="L386" t="inlineStr">
        <is>
          <t>Urban</t>
        </is>
      </c>
      <c r="M386" t="inlineStr">
        <is>
          <t>N</t>
        </is>
      </c>
      <c r="N386">
        <f>IF(AND(K386=1,M386="Y"),"Lower Risk",IF(AND(K386=0,M386="N"),"High Risk","Medium Risk"))</f>
        <v/>
      </c>
    </row>
    <row r="387">
      <c r="A387" t="inlineStr">
        <is>
          <t>LP002237</t>
        </is>
      </c>
      <c r="B387" t="inlineStr">
        <is>
          <t>Male</t>
        </is>
      </c>
      <c r="C387" t="inlineStr">
        <is>
          <t>No</t>
        </is>
      </c>
      <c r="D387" t="n">
        <v>1</v>
      </c>
      <c r="E387" t="inlineStr">
        <is>
          <t>Graduate</t>
        </is>
      </c>
      <c r="G387" t="n">
        <v>3667</v>
      </c>
      <c r="H387" t="n">
        <v>0</v>
      </c>
      <c r="I387" t="n">
        <v>113</v>
      </c>
      <c r="J387" t="n">
        <v>180</v>
      </c>
      <c r="K387" t="n">
        <v>1</v>
      </c>
      <c r="L387" t="inlineStr">
        <is>
          <t>Urban</t>
        </is>
      </c>
      <c r="M387" t="inlineStr">
        <is>
          <t>Y</t>
        </is>
      </c>
      <c r="N387">
        <f>IF(AND(K387=1,M387="Y"),"Lower Risk",IF(AND(K387=0,M387="N"),"High Risk","Medium Risk"))</f>
        <v/>
      </c>
    </row>
    <row r="388">
      <c r="A388" t="inlineStr">
        <is>
          <t>LP002239</t>
        </is>
      </c>
      <c r="B388" t="inlineStr">
        <is>
          <t>Male</t>
        </is>
      </c>
      <c r="C388" t="inlineStr">
        <is>
          <t>No</t>
        </is>
      </c>
      <c r="D388" t="n">
        <v>0</v>
      </c>
      <c r="E388" t="inlineStr">
        <is>
          <t>Not Graduate</t>
        </is>
      </c>
      <c r="F388" t="inlineStr">
        <is>
          <t>No</t>
        </is>
      </c>
      <c r="G388" t="n">
        <v>2346</v>
      </c>
      <c r="H388" t="n">
        <v>1600</v>
      </c>
      <c r="I388" t="n">
        <v>132</v>
      </c>
      <c r="J388" t="n">
        <v>360</v>
      </c>
      <c r="K388" t="n">
        <v>1</v>
      </c>
      <c r="L388" t="inlineStr">
        <is>
          <t>Semiurban</t>
        </is>
      </c>
      <c r="M388" t="inlineStr">
        <is>
          <t>Y</t>
        </is>
      </c>
      <c r="N388">
        <f>IF(AND(K388=1,M388="Y"),"Lower Risk",IF(AND(K388=0,M388="N"),"High Risk","Medium Risk"))</f>
        <v/>
      </c>
    </row>
    <row r="389">
      <c r="A389" t="inlineStr">
        <is>
          <t>LP002243</t>
        </is>
      </c>
      <c r="B389" t="inlineStr">
        <is>
          <t>Male</t>
        </is>
      </c>
      <c r="C389" t="inlineStr">
        <is>
          <t>Yes</t>
        </is>
      </c>
      <c r="D389" t="n">
        <v>0</v>
      </c>
      <c r="E389" t="inlineStr">
        <is>
          <t>Not Graduate</t>
        </is>
      </c>
      <c r="F389" t="inlineStr">
        <is>
          <t>No</t>
        </is>
      </c>
      <c r="G389" t="n">
        <v>3010</v>
      </c>
      <c r="H389" t="n">
        <v>3136</v>
      </c>
      <c r="J389" t="n">
        <v>360</v>
      </c>
      <c r="K389" t="n">
        <v>0</v>
      </c>
      <c r="L389" t="inlineStr">
        <is>
          <t>Urban</t>
        </is>
      </c>
      <c r="M389" t="inlineStr">
        <is>
          <t>N</t>
        </is>
      </c>
      <c r="N389">
        <f>IF(AND(K389=1,M389="Y"),"Lower Risk",IF(AND(K389=0,M389="N"),"High Risk","Medium Risk"))</f>
        <v/>
      </c>
    </row>
    <row r="390">
      <c r="A390" t="inlineStr">
        <is>
          <t>LP002244</t>
        </is>
      </c>
      <c r="B390" t="inlineStr">
        <is>
          <t>Male</t>
        </is>
      </c>
      <c r="C390" t="inlineStr">
        <is>
          <t>Yes</t>
        </is>
      </c>
      <c r="D390" t="n">
        <v>0</v>
      </c>
      <c r="E390" t="inlineStr">
        <is>
          <t>Graduate</t>
        </is>
      </c>
      <c r="F390" t="inlineStr">
        <is>
          <t>No</t>
        </is>
      </c>
      <c r="G390" t="n">
        <v>2333</v>
      </c>
      <c r="H390" t="n">
        <v>2417</v>
      </c>
      <c r="I390" t="n">
        <v>136</v>
      </c>
      <c r="J390" t="n">
        <v>360</v>
      </c>
      <c r="K390" t="n">
        <v>1</v>
      </c>
      <c r="L390" t="inlineStr">
        <is>
          <t>Urban</t>
        </is>
      </c>
      <c r="M390" t="inlineStr">
        <is>
          <t>Y</t>
        </is>
      </c>
      <c r="N390">
        <f>IF(AND(K390=1,M390="Y"),"Lower Risk",IF(AND(K390=0,M390="N"),"High Risk","Medium Risk"))</f>
        <v/>
      </c>
    </row>
    <row r="391">
      <c r="A391" t="inlineStr">
        <is>
          <t>LP002250</t>
        </is>
      </c>
      <c r="B391" t="inlineStr">
        <is>
          <t>Male</t>
        </is>
      </c>
      <c r="C391" t="inlineStr">
        <is>
          <t>Yes</t>
        </is>
      </c>
      <c r="D391" t="n">
        <v>0</v>
      </c>
      <c r="E391" t="inlineStr">
        <is>
          <t>Graduate</t>
        </is>
      </c>
      <c r="F391" t="inlineStr">
        <is>
          <t>No</t>
        </is>
      </c>
      <c r="G391" t="n">
        <v>5488</v>
      </c>
      <c r="H391" t="n">
        <v>0</v>
      </c>
      <c r="I391" t="n">
        <v>125</v>
      </c>
      <c r="J391" t="n">
        <v>360</v>
      </c>
      <c r="K391" t="n">
        <v>1</v>
      </c>
      <c r="L391" t="inlineStr">
        <is>
          <t>Rural</t>
        </is>
      </c>
      <c r="M391" t="inlineStr">
        <is>
          <t>Y</t>
        </is>
      </c>
      <c r="N391">
        <f>IF(AND(K391=1,M391="Y"),"Lower Risk",IF(AND(K391=0,M391="N"),"High Risk","Medium Risk"))</f>
        <v/>
      </c>
    </row>
    <row r="392">
      <c r="A392" t="inlineStr">
        <is>
          <t>LP002255</t>
        </is>
      </c>
      <c r="B392" t="inlineStr">
        <is>
          <t>Male</t>
        </is>
      </c>
      <c r="C392" t="inlineStr">
        <is>
          <t>No</t>
        </is>
      </c>
      <c r="D392" t="inlineStr">
        <is>
          <t>3+</t>
        </is>
      </c>
      <c r="E392" t="inlineStr">
        <is>
          <t>Graduate</t>
        </is>
      </c>
      <c r="F392" t="inlineStr">
        <is>
          <t>No</t>
        </is>
      </c>
      <c r="G392" t="n">
        <v>9167</v>
      </c>
      <c r="H392" t="n">
        <v>0</v>
      </c>
      <c r="I392" t="n">
        <v>185</v>
      </c>
      <c r="J392" t="n">
        <v>360</v>
      </c>
      <c r="K392" t="n">
        <v>1</v>
      </c>
      <c r="L392" t="inlineStr">
        <is>
          <t>Rural</t>
        </is>
      </c>
      <c r="M392" t="inlineStr">
        <is>
          <t>Y</t>
        </is>
      </c>
      <c r="N392">
        <f>IF(AND(K392=1,M392="Y"),"Lower Risk",IF(AND(K392=0,M392="N"),"High Risk","Medium Risk"))</f>
        <v/>
      </c>
    </row>
    <row r="393">
      <c r="A393" t="inlineStr">
        <is>
          <t>LP002262</t>
        </is>
      </c>
      <c r="B393" t="inlineStr">
        <is>
          <t>Male</t>
        </is>
      </c>
      <c r="C393" t="inlineStr">
        <is>
          <t>Yes</t>
        </is>
      </c>
      <c r="D393" t="inlineStr">
        <is>
          <t>3+</t>
        </is>
      </c>
      <c r="E393" t="inlineStr">
        <is>
          <t>Graduate</t>
        </is>
      </c>
      <c r="F393" t="inlineStr">
        <is>
          <t>No</t>
        </is>
      </c>
      <c r="G393" t="n">
        <v>9504</v>
      </c>
      <c r="H393" t="n">
        <v>0</v>
      </c>
      <c r="I393" t="n">
        <v>275</v>
      </c>
      <c r="J393" t="n">
        <v>360</v>
      </c>
      <c r="K393" t="n">
        <v>1</v>
      </c>
      <c r="L393" t="inlineStr">
        <is>
          <t>Rural</t>
        </is>
      </c>
      <c r="M393" t="inlineStr">
        <is>
          <t>Y</t>
        </is>
      </c>
      <c r="N393">
        <f>IF(AND(K393=1,M393="Y"),"Lower Risk",IF(AND(K393=0,M393="N"),"High Risk","Medium Risk"))</f>
        <v/>
      </c>
    </row>
    <row r="394">
      <c r="A394" t="inlineStr">
        <is>
          <t>LP002263</t>
        </is>
      </c>
      <c r="B394" t="inlineStr">
        <is>
          <t>Male</t>
        </is>
      </c>
      <c r="C394" t="inlineStr">
        <is>
          <t>Yes</t>
        </is>
      </c>
      <c r="D394" t="n">
        <v>0</v>
      </c>
      <c r="E394" t="inlineStr">
        <is>
          <t>Graduate</t>
        </is>
      </c>
      <c r="F394" t="inlineStr">
        <is>
          <t>No</t>
        </is>
      </c>
      <c r="G394" t="n">
        <v>2583</v>
      </c>
      <c r="H394" t="n">
        <v>2115</v>
      </c>
      <c r="I394" t="n">
        <v>120</v>
      </c>
      <c r="J394" t="n">
        <v>360</v>
      </c>
      <c r="L394" t="inlineStr">
        <is>
          <t>Urban</t>
        </is>
      </c>
      <c r="M394" t="inlineStr">
        <is>
          <t>Y</t>
        </is>
      </c>
      <c r="N394">
        <f>IF(AND(K394=1,M394="Y"),"Lower Risk",IF(AND(K394=0,M394="N"),"High Risk","Medium Risk"))</f>
        <v/>
      </c>
    </row>
    <row r="395">
      <c r="A395" t="inlineStr">
        <is>
          <t>LP002265</t>
        </is>
      </c>
      <c r="B395" t="inlineStr">
        <is>
          <t>Male</t>
        </is>
      </c>
      <c r="C395" t="inlineStr">
        <is>
          <t>Yes</t>
        </is>
      </c>
      <c r="D395" t="n">
        <v>2</v>
      </c>
      <c r="E395" t="inlineStr">
        <is>
          <t>Not Graduate</t>
        </is>
      </c>
      <c r="F395" t="inlineStr">
        <is>
          <t>No</t>
        </is>
      </c>
      <c r="G395" t="n">
        <v>1993</v>
      </c>
      <c r="H395" t="n">
        <v>1625</v>
      </c>
      <c r="I395" t="n">
        <v>113</v>
      </c>
      <c r="J395" t="n">
        <v>180</v>
      </c>
      <c r="K395" t="n">
        <v>1</v>
      </c>
      <c r="L395" t="inlineStr">
        <is>
          <t>Semiurban</t>
        </is>
      </c>
      <c r="M395" t="inlineStr">
        <is>
          <t>Y</t>
        </is>
      </c>
      <c r="N395">
        <f>IF(AND(K395=1,M395="Y"),"Lower Risk",IF(AND(K395=0,M395="N"),"High Risk","Medium Risk"))</f>
        <v/>
      </c>
    </row>
    <row r="396">
      <c r="A396" t="inlineStr">
        <is>
          <t>LP002266</t>
        </is>
      </c>
      <c r="B396" t="inlineStr">
        <is>
          <t>Male</t>
        </is>
      </c>
      <c r="C396" t="inlineStr">
        <is>
          <t>Yes</t>
        </is>
      </c>
      <c r="D396" t="n">
        <v>2</v>
      </c>
      <c r="E396" t="inlineStr">
        <is>
          <t>Graduate</t>
        </is>
      </c>
      <c r="F396" t="inlineStr">
        <is>
          <t>No</t>
        </is>
      </c>
      <c r="G396" t="n">
        <v>3100</v>
      </c>
      <c r="H396" t="n">
        <v>1400</v>
      </c>
      <c r="I396" t="n">
        <v>113</v>
      </c>
      <c r="J396" t="n">
        <v>360</v>
      </c>
      <c r="K396" t="n">
        <v>1</v>
      </c>
      <c r="L396" t="inlineStr">
        <is>
          <t>Urban</t>
        </is>
      </c>
      <c r="M396" t="inlineStr">
        <is>
          <t>Y</t>
        </is>
      </c>
      <c r="N396">
        <f>IF(AND(K396=1,M396="Y"),"Lower Risk",IF(AND(K396=0,M396="N"),"High Risk","Medium Risk"))</f>
        <v/>
      </c>
    </row>
    <row r="397">
      <c r="A397" t="inlineStr">
        <is>
          <t>LP002272</t>
        </is>
      </c>
      <c r="B397" t="inlineStr">
        <is>
          <t>Male</t>
        </is>
      </c>
      <c r="C397" t="inlineStr">
        <is>
          <t>Yes</t>
        </is>
      </c>
      <c r="D397" t="n">
        <v>2</v>
      </c>
      <c r="E397" t="inlineStr">
        <is>
          <t>Graduate</t>
        </is>
      </c>
      <c r="F397" t="inlineStr">
        <is>
          <t>No</t>
        </is>
      </c>
      <c r="G397" t="n">
        <v>3276</v>
      </c>
      <c r="H397" t="n">
        <v>484</v>
      </c>
      <c r="I397" t="n">
        <v>135</v>
      </c>
      <c r="J397" t="n">
        <v>360</v>
      </c>
      <c r="L397" t="inlineStr">
        <is>
          <t>Semiurban</t>
        </is>
      </c>
      <c r="M397" t="inlineStr">
        <is>
          <t>Y</t>
        </is>
      </c>
      <c r="N397">
        <f>IF(AND(K397=1,M397="Y"),"Lower Risk",IF(AND(K397=0,M397="N"),"High Risk","Medium Risk"))</f>
        <v/>
      </c>
    </row>
    <row r="398">
      <c r="A398" t="inlineStr">
        <is>
          <t>LP002277</t>
        </is>
      </c>
      <c r="B398" t="inlineStr">
        <is>
          <t>Female</t>
        </is>
      </c>
      <c r="C398" t="inlineStr">
        <is>
          <t>No</t>
        </is>
      </c>
      <c r="D398" t="n">
        <v>0</v>
      </c>
      <c r="E398" t="inlineStr">
        <is>
          <t>Graduate</t>
        </is>
      </c>
      <c r="F398" t="inlineStr">
        <is>
          <t>No</t>
        </is>
      </c>
      <c r="G398" t="n">
        <v>3180</v>
      </c>
      <c r="H398" t="n">
        <v>0</v>
      </c>
      <c r="I398" t="n">
        <v>71</v>
      </c>
      <c r="J398" t="n">
        <v>360</v>
      </c>
      <c r="K398" t="n">
        <v>0</v>
      </c>
      <c r="L398" t="inlineStr">
        <is>
          <t>Urban</t>
        </is>
      </c>
      <c r="M398" t="inlineStr">
        <is>
          <t>N</t>
        </is>
      </c>
      <c r="N398">
        <f>IF(AND(K398=1,M398="Y"),"Lower Risk",IF(AND(K398=0,M398="N"),"High Risk","Medium Risk"))</f>
        <v/>
      </c>
    </row>
    <row r="399">
      <c r="A399" t="inlineStr">
        <is>
          <t>LP002281</t>
        </is>
      </c>
      <c r="B399" t="inlineStr">
        <is>
          <t>Male</t>
        </is>
      </c>
      <c r="C399" t="inlineStr">
        <is>
          <t>Yes</t>
        </is>
      </c>
      <c r="D399" t="n">
        <v>0</v>
      </c>
      <c r="E399" t="inlineStr">
        <is>
          <t>Graduate</t>
        </is>
      </c>
      <c r="F399" t="inlineStr">
        <is>
          <t>No</t>
        </is>
      </c>
      <c r="G399" t="n">
        <v>3033</v>
      </c>
      <c r="H399" t="n">
        <v>1459</v>
      </c>
      <c r="I399" t="n">
        <v>95</v>
      </c>
      <c r="J399" t="n">
        <v>360</v>
      </c>
      <c r="K399" t="n">
        <v>1</v>
      </c>
      <c r="L399" t="inlineStr">
        <is>
          <t>Urban</t>
        </is>
      </c>
      <c r="M399" t="inlineStr">
        <is>
          <t>Y</t>
        </is>
      </c>
      <c r="N399">
        <f>IF(AND(K399=1,M399="Y"),"Lower Risk",IF(AND(K399=0,M399="N"),"High Risk","Medium Risk"))</f>
        <v/>
      </c>
    </row>
    <row r="400">
      <c r="A400" t="inlineStr">
        <is>
          <t>LP002284</t>
        </is>
      </c>
      <c r="B400" t="inlineStr">
        <is>
          <t>Male</t>
        </is>
      </c>
      <c r="C400" t="inlineStr">
        <is>
          <t>No</t>
        </is>
      </c>
      <c r="D400" t="n">
        <v>0</v>
      </c>
      <c r="E400" t="inlineStr">
        <is>
          <t>Not Graduate</t>
        </is>
      </c>
      <c r="F400" t="inlineStr">
        <is>
          <t>No</t>
        </is>
      </c>
      <c r="G400" t="n">
        <v>3902</v>
      </c>
      <c r="H400" t="n">
        <v>1666</v>
      </c>
      <c r="I400" t="n">
        <v>109</v>
      </c>
      <c r="J400" t="n">
        <v>360</v>
      </c>
      <c r="K400" t="n">
        <v>1</v>
      </c>
      <c r="L400" t="inlineStr">
        <is>
          <t>Rural</t>
        </is>
      </c>
      <c r="M400" t="inlineStr">
        <is>
          <t>Y</t>
        </is>
      </c>
      <c r="N400">
        <f>IF(AND(K400=1,M400="Y"),"Lower Risk",IF(AND(K400=0,M400="N"),"High Risk","Medium Risk"))</f>
        <v/>
      </c>
    </row>
    <row r="401">
      <c r="A401" t="inlineStr">
        <is>
          <t>LP002287</t>
        </is>
      </c>
      <c r="B401" t="inlineStr">
        <is>
          <t>Female</t>
        </is>
      </c>
      <c r="C401" t="inlineStr">
        <is>
          <t>No</t>
        </is>
      </c>
      <c r="D401" t="n">
        <v>0</v>
      </c>
      <c r="E401" t="inlineStr">
        <is>
          <t>Graduate</t>
        </is>
      </c>
      <c r="F401" t="inlineStr">
        <is>
          <t>No</t>
        </is>
      </c>
      <c r="G401" t="n">
        <v>1500</v>
      </c>
      <c r="H401" t="n">
        <v>1800</v>
      </c>
      <c r="I401" t="n">
        <v>103</v>
      </c>
      <c r="J401" t="n">
        <v>360</v>
      </c>
      <c r="K401" t="n">
        <v>0</v>
      </c>
      <c r="L401" t="inlineStr">
        <is>
          <t>Semiurban</t>
        </is>
      </c>
      <c r="M401" t="inlineStr">
        <is>
          <t>N</t>
        </is>
      </c>
      <c r="N401">
        <f>IF(AND(K401=1,M401="Y"),"Lower Risk",IF(AND(K401=0,M401="N"),"High Risk","Medium Risk"))</f>
        <v/>
      </c>
    </row>
    <row r="402">
      <c r="A402" t="inlineStr">
        <is>
          <t>LP002288</t>
        </is>
      </c>
      <c r="B402" t="inlineStr">
        <is>
          <t>Male</t>
        </is>
      </c>
      <c r="C402" t="inlineStr">
        <is>
          <t>Yes</t>
        </is>
      </c>
      <c r="D402" t="n">
        <v>2</v>
      </c>
      <c r="E402" t="inlineStr">
        <is>
          <t>Not Graduate</t>
        </is>
      </c>
      <c r="F402" t="inlineStr">
        <is>
          <t>No</t>
        </is>
      </c>
      <c r="G402" t="n">
        <v>2889</v>
      </c>
      <c r="H402" t="n">
        <v>0</v>
      </c>
      <c r="I402" t="n">
        <v>45</v>
      </c>
      <c r="J402" t="n">
        <v>180</v>
      </c>
      <c r="K402" t="n">
        <v>0</v>
      </c>
      <c r="L402" t="inlineStr">
        <is>
          <t>Urban</t>
        </is>
      </c>
      <c r="M402" t="inlineStr">
        <is>
          <t>N</t>
        </is>
      </c>
      <c r="N402">
        <f>IF(AND(K402=1,M402="Y"),"Lower Risk",IF(AND(K402=0,M402="N"),"High Risk","Medium Risk"))</f>
        <v/>
      </c>
    </row>
    <row r="403">
      <c r="A403" t="inlineStr">
        <is>
          <t>LP002296</t>
        </is>
      </c>
      <c r="B403" t="inlineStr">
        <is>
          <t>Male</t>
        </is>
      </c>
      <c r="C403" t="inlineStr">
        <is>
          <t>No</t>
        </is>
      </c>
      <c r="D403" t="n">
        <v>0</v>
      </c>
      <c r="E403" t="inlineStr">
        <is>
          <t>Not Graduate</t>
        </is>
      </c>
      <c r="F403" t="inlineStr">
        <is>
          <t>No</t>
        </is>
      </c>
      <c r="G403" t="n">
        <v>2755</v>
      </c>
      <c r="H403" t="n">
        <v>0</v>
      </c>
      <c r="I403" t="n">
        <v>65</v>
      </c>
      <c r="J403" t="n">
        <v>300</v>
      </c>
      <c r="K403" t="n">
        <v>1</v>
      </c>
      <c r="L403" t="inlineStr">
        <is>
          <t>Rural</t>
        </is>
      </c>
      <c r="M403" t="inlineStr">
        <is>
          <t>N</t>
        </is>
      </c>
      <c r="N403">
        <f>IF(AND(K403=1,M403="Y"),"Lower Risk",IF(AND(K403=0,M403="N"),"High Risk","Medium Risk"))</f>
        <v/>
      </c>
    </row>
    <row r="404">
      <c r="A404" t="inlineStr">
        <is>
          <t>LP002297</t>
        </is>
      </c>
      <c r="B404" t="inlineStr">
        <is>
          <t>Male</t>
        </is>
      </c>
      <c r="C404" t="inlineStr">
        <is>
          <t>No</t>
        </is>
      </c>
      <c r="D404" t="n">
        <v>0</v>
      </c>
      <c r="E404" t="inlineStr">
        <is>
          <t>Graduate</t>
        </is>
      </c>
      <c r="F404" t="inlineStr">
        <is>
          <t>No</t>
        </is>
      </c>
      <c r="G404" t="n">
        <v>2500</v>
      </c>
      <c r="H404" t="n">
        <v>20000</v>
      </c>
      <c r="I404" t="n">
        <v>103</v>
      </c>
      <c r="J404" t="n">
        <v>360</v>
      </c>
      <c r="K404" t="n">
        <v>1</v>
      </c>
      <c r="L404" t="inlineStr">
        <is>
          <t>Semiurban</t>
        </is>
      </c>
      <c r="M404" t="inlineStr">
        <is>
          <t>Y</t>
        </is>
      </c>
      <c r="N404">
        <f>IF(AND(K404=1,M404="Y"),"Lower Risk",IF(AND(K404=0,M404="N"),"High Risk","Medium Risk"))</f>
        <v/>
      </c>
    </row>
    <row r="405">
      <c r="A405" t="inlineStr">
        <is>
          <t>LP002300</t>
        </is>
      </c>
      <c r="B405" t="inlineStr">
        <is>
          <t>Female</t>
        </is>
      </c>
      <c r="C405" t="inlineStr">
        <is>
          <t>No</t>
        </is>
      </c>
      <c r="D405" t="n">
        <v>0</v>
      </c>
      <c r="E405" t="inlineStr">
        <is>
          <t>Not Graduate</t>
        </is>
      </c>
      <c r="F405" t="inlineStr">
        <is>
          <t>No</t>
        </is>
      </c>
      <c r="G405" t="n">
        <v>1963</v>
      </c>
      <c r="H405" t="n">
        <v>0</v>
      </c>
      <c r="I405" t="n">
        <v>53</v>
      </c>
      <c r="J405" t="n">
        <v>360</v>
      </c>
      <c r="K405" t="n">
        <v>1</v>
      </c>
      <c r="L405" t="inlineStr">
        <is>
          <t>Semiurban</t>
        </is>
      </c>
      <c r="M405" t="inlineStr">
        <is>
          <t>Y</t>
        </is>
      </c>
      <c r="N405">
        <f>IF(AND(K405=1,M405="Y"),"Lower Risk",IF(AND(K405=0,M405="N"),"High Risk","Medium Risk"))</f>
        <v/>
      </c>
    </row>
    <row r="406">
      <c r="A406" t="inlineStr">
        <is>
          <t>LP002301</t>
        </is>
      </c>
      <c r="B406" t="inlineStr">
        <is>
          <t>Female</t>
        </is>
      </c>
      <c r="C406" t="inlineStr">
        <is>
          <t>No</t>
        </is>
      </c>
      <c r="D406" t="n">
        <v>0</v>
      </c>
      <c r="E406" t="inlineStr">
        <is>
          <t>Graduate</t>
        </is>
      </c>
      <c r="F406" t="inlineStr">
        <is>
          <t>Yes</t>
        </is>
      </c>
      <c r="G406" t="n">
        <v>7441</v>
      </c>
      <c r="H406" t="n">
        <v>0</v>
      </c>
      <c r="I406" t="n">
        <v>194</v>
      </c>
      <c r="J406" t="n">
        <v>360</v>
      </c>
      <c r="K406" t="n">
        <v>1</v>
      </c>
      <c r="L406" t="inlineStr">
        <is>
          <t>Rural</t>
        </is>
      </c>
      <c r="M406" t="inlineStr">
        <is>
          <t>N</t>
        </is>
      </c>
      <c r="N406">
        <f>IF(AND(K406=1,M406="Y"),"Lower Risk",IF(AND(K406=0,M406="N"),"High Risk","Medium Risk"))</f>
        <v/>
      </c>
    </row>
    <row r="407">
      <c r="A407" t="inlineStr">
        <is>
          <t>LP002305</t>
        </is>
      </c>
      <c r="B407" t="inlineStr">
        <is>
          <t>Female</t>
        </is>
      </c>
      <c r="C407" t="inlineStr">
        <is>
          <t>No</t>
        </is>
      </c>
      <c r="D407" t="n">
        <v>0</v>
      </c>
      <c r="E407" t="inlineStr">
        <is>
          <t>Graduate</t>
        </is>
      </c>
      <c r="F407" t="inlineStr">
        <is>
          <t>No</t>
        </is>
      </c>
      <c r="G407" t="n">
        <v>4547</v>
      </c>
      <c r="H407" t="n">
        <v>0</v>
      </c>
      <c r="I407" t="n">
        <v>115</v>
      </c>
      <c r="J407" t="n">
        <v>360</v>
      </c>
      <c r="K407" t="n">
        <v>1</v>
      </c>
      <c r="L407" t="inlineStr">
        <is>
          <t>Semiurban</t>
        </is>
      </c>
      <c r="M407" t="inlineStr">
        <is>
          <t>Y</t>
        </is>
      </c>
      <c r="N407">
        <f>IF(AND(K407=1,M407="Y"),"Lower Risk",IF(AND(K407=0,M407="N"),"High Risk","Medium Risk"))</f>
        <v/>
      </c>
    </row>
    <row r="408">
      <c r="A408" t="inlineStr">
        <is>
          <t>LP002308</t>
        </is>
      </c>
      <c r="B408" t="inlineStr">
        <is>
          <t>Male</t>
        </is>
      </c>
      <c r="C408" t="inlineStr">
        <is>
          <t>Yes</t>
        </is>
      </c>
      <c r="D408" t="n">
        <v>0</v>
      </c>
      <c r="E408" t="inlineStr">
        <is>
          <t>Not Graduate</t>
        </is>
      </c>
      <c r="F408" t="inlineStr">
        <is>
          <t>No</t>
        </is>
      </c>
      <c r="G408" t="n">
        <v>2167</v>
      </c>
      <c r="H408" t="n">
        <v>2400</v>
      </c>
      <c r="I408" t="n">
        <v>115</v>
      </c>
      <c r="J408" t="n">
        <v>360</v>
      </c>
      <c r="K408" t="n">
        <v>1</v>
      </c>
      <c r="L408" t="inlineStr">
        <is>
          <t>Urban</t>
        </is>
      </c>
      <c r="M408" t="inlineStr">
        <is>
          <t>Y</t>
        </is>
      </c>
      <c r="N408">
        <f>IF(AND(K408=1,M408="Y"),"Lower Risk",IF(AND(K408=0,M408="N"),"High Risk","Medium Risk"))</f>
        <v/>
      </c>
    </row>
    <row r="409">
      <c r="A409" t="inlineStr">
        <is>
          <t>LP002314</t>
        </is>
      </c>
      <c r="B409" t="inlineStr">
        <is>
          <t>Female</t>
        </is>
      </c>
      <c r="C409" t="inlineStr">
        <is>
          <t>No</t>
        </is>
      </c>
      <c r="D409" t="n">
        <v>0</v>
      </c>
      <c r="E409" t="inlineStr">
        <is>
          <t>Not Graduate</t>
        </is>
      </c>
      <c r="F409" t="inlineStr">
        <is>
          <t>No</t>
        </is>
      </c>
      <c r="G409" t="n">
        <v>2213</v>
      </c>
      <c r="H409" t="n">
        <v>0</v>
      </c>
      <c r="I409" t="n">
        <v>66</v>
      </c>
      <c r="J409" t="n">
        <v>360</v>
      </c>
      <c r="K409" t="n">
        <v>1</v>
      </c>
      <c r="L409" t="inlineStr">
        <is>
          <t>Rural</t>
        </is>
      </c>
      <c r="M409" t="inlineStr">
        <is>
          <t>Y</t>
        </is>
      </c>
      <c r="N409">
        <f>IF(AND(K409=1,M409="Y"),"Lower Risk",IF(AND(K409=0,M409="N"),"High Risk","Medium Risk"))</f>
        <v/>
      </c>
    </row>
    <row r="410">
      <c r="A410" t="inlineStr">
        <is>
          <t>LP002315</t>
        </is>
      </c>
      <c r="B410" t="inlineStr">
        <is>
          <t>Male</t>
        </is>
      </c>
      <c r="C410" t="inlineStr">
        <is>
          <t>Yes</t>
        </is>
      </c>
      <c r="D410" t="n">
        <v>1</v>
      </c>
      <c r="E410" t="inlineStr">
        <is>
          <t>Graduate</t>
        </is>
      </c>
      <c r="F410" t="inlineStr">
        <is>
          <t>No</t>
        </is>
      </c>
      <c r="G410" t="n">
        <v>8300</v>
      </c>
      <c r="H410" t="n">
        <v>0</v>
      </c>
      <c r="I410" t="n">
        <v>152</v>
      </c>
      <c r="J410" t="n">
        <v>300</v>
      </c>
      <c r="K410" t="n">
        <v>0</v>
      </c>
      <c r="L410" t="inlineStr">
        <is>
          <t>Semiurban</t>
        </is>
      </c>
      <c r="M410" t="inlineStr">
        <is>
          <t>N</t>
        </is>
      </c>
      <c r="N410">
        <f>IF(AND(K410=1,M410="Y"),"Lower Risk",IF(AND(K410=0,M410="N"),"High Risk","Medium Risk"))</f>
        <v/>
      </c>
    </row>
    <row r="411">
      <c r="A411" t="inlineStr">
        <is>
          <t>LP002317</t>
        </is>
      </c>
      <c r="B411" t="inlineStr">
        <is>
          <t>Male</t>
        </is>
      </c>
      <c r="C411" t="inlineStr">
        <is>
          <t>Yes</t>
        </is>
      </c>
      <c r="D411" t="inlineStr">
        <is>
          <t>3+</t>
        </is>
      </c>
      <c r="E411" t="inlineStr">
        <is>
          <t>Graduate</t>
        </is>
      </c>
      <c r="F411" t="inlineStr">
        <is>
          <t>No</t>
        </is>
      </c>
      <c r="G411" t="n">
        <v>81000</v>
      </c>
      <c r="H411" t="n">
        <v>0</v>
      </c>
      <c r="I411" t="n">
        <v>360</v>
      </c>
      <c r="J411" t="n">
        <v>360</v>
      </c>
      <c r="K411" t="n">
        <v>0</v>
      </c>
      <c r="L411" t="inlineStr">
        <is>
          <t>Rural</t>
        </is>
      </c>
      <c r="M411" t="inlineStr">
        <is>
          <t>N</t>
        </is>
      </c>
      <c r="N411">
        <f>IF(AND(K411=1,M411="Y"),"Lower Risk",IF(AND(K411=0,M411="N"),"High Risk","Medium Risk"))</f>
        <v/>
      </c>
    </row>
    <row r="412">
      <c r="A412" t="inlineStr">
        <is>
          <t>LP002318</t>
        </is>
      </c>
      <c r="B412" t="inlineStr">
        <is>
          <t>Female</t>
        </is>
      </c>
      <c r="C412" t="inlineStr">
        <is>
          <t>No</t>
        </is>
      </c>
      <c r="D412" t="n">
        <v>1</v>
      </c>
      <c r="E412" t="inlineStr">
        <is>
          <t>Not Graduate</t>
        </is>
      </c>
      <c r="F412" t="inlineStr">
        <is>
          <t>Yes</t>
        </is>
      </c>
      <c r="G412" t="n">
        <v>3867</v>
      </c>
      <c r="H412" t="n">
        <v>0</v>
      </c>
      <c r="I412" t="n">
        <v>62</v>
      </c>
      <c r="J412" t="n">
        <v>360</v>
      </c>
      <c r="K412" t="n">
        <v>1</v>
      </c>
      <c r="L412" t="inlineStr">
        <is>
          <t>Semiurban</t>
        </is>
      </c>
      <c r="M412" t="inlineStr">
        <is>
          <t>N</t>
        </is>
      </c>
      <c r="N412">
        <f>IF(AND(K412=1,M412="Y"),"Lower Risk",IF(AND(K412=0,M412="N"),"High Risk","Medium Risk"))</f>
        <v/>
      </c>
    </row>
    <row r="413">
      <c r="A413" t="inlineStr">
        <is>
          <t>LP002319</t>
        </is>
      </c>
      <c r="B413" t="inlineStr">
        <is>
          <t>Male</t>
        </is>
      </c>
      <c r="C413" t="inlineStr">
        <is>
          <t>Yes</t>
        </is>
      </c>
      <c r="D413" t="n">
        <v>0</v>
      </c>
      <c r="E413" t="inlineStr">
        <is>
          <t>Graduate</t>
        </is>
      </c>
      <c r="G413" t="n">
        <v>6256</v>
      </c>
      <c r="H413" t="n">
        <v>0</v>
      </c>
      <c r="I413" t="n">
        <v>160</v>
      </c>
      <c r="J413" t="n">
        <v>360</v>
      </c>
      <c r="L413" t="inlineStr">
        <is>
          <t>Urban</t>
        </is>
      </c>
      <c r="M413" t="inlineStr">
        <is>
          <t>Y</t>
        </is>
      </c>
      <c r="N413">
        <f>IF(AND(K413=1,M413="Y"),"Lower Risk",IF(AND(K413=0,M413="N"),"High Risk","Medium Risk"))</f>
        <v/>
      </c>
    </row>
    <row r="414">
      <c r="A414" t="inlineStr">
        <is>
          <t>LP002328</t>
        </is>
      </c>
      <c r="B414" t="inlineStr">
        <is>
          <t>Male</t>
        </is>
      </c>
      <c r="C414" t="inlineStr">
        <is>
          <t>Yes</t>
        </is>
      </c>
      <c r="D414" t="n">
        <v>0</v>
      </c>
      <c r="E414" t="inlineStr">
        <is>
          <t>Not Graduate</t>
        </is>
      </c>
      <c r="F414" t="inlineStr">
        <is>
          <t>No</t>
        </is>
      </c>
      <c r="G414" t="n">
        <v>6096</v>
      </c>
      <c r="H414" t="n">
        <v>0</v>
      </c>
      <c r="I414" t="n">
        <v>218</v>
      </c>
      <c r="J414" t="n">
        <v>360</v>
      </c>
      <c r="K414" t="n">
        <v>0</v>
      </c>
      <c r="L414" t="inlineStr">
        <is>
          <t>Rural</t>
        </is>
      </c>
      <c r="M414" t="inlineStr">
        <is>
          <t>N</t>
        </is>
      </c>
      <c r="N414">
        <f>IF(AND(K414=1,M414="Y"),"Lower Risk",IF(AND(K414=0,M414="N"),"High Risk","Medium Risk"))</f>
        <v/>
      </c>
    </row>
    <row r="415">
      <c r="A415" t="inlineStr">
        <is>
          <t>LP002332</t>
        </is>
      </c>
      <c r="B415" t="inlineStr">
        <is>
          <t>Male</t>
        </is>
      </c>
      <c r="C415" t="inlineStr">
        <is>
          <t>Yes</t>
        </is>
      </c>
      <c r="D415" t="n">
        <v>0</v>
      </c>
      <c r="E415" t="inlineStr">
        <is>
          <t>Not Graduate</t>
        </is>
      </c>
      <c r="F415" t="inlineStr">
        <is>
          <t>No</t>
        </is>
      </c>
      <c r="G415" t="n">
        <v>2253</v>
      </c>
      <c r="H415" t="n">
        <v>2033</v>
      </c>
      <c r="I415" t="n">
        <v>110</v>
      </c>
      <c r="J415" t="n">
        <v>360</v>
      </c>
      <c r="K415" t="n">
        <v>1</v>
      </c>
      <c r="L415" t="inlineStr">
        <is>
          <t>Rural</t>
        </is>
      </c>
      <c r="M415" t="inlineStr">
        <is>
          <t>Y</t>
        </is>
      </c>
      <c r="N415">
        <f>IF(AND(K415=1,M415="Y"),"Lower Risk",IF(AND(K415=0,M415="N"),"High Risk","Medium Risk"))</f>
        <v/>
      </c>
    </row>
    <row r="416">
      <c r="A416" t="inlineStr">
        <is>
          <t>LP002335</t>
        </is>
      </c>
      <c r="B416" t="inlineStr">
        <is>
          <t>Female</t>
        </is>
      </c>
      <c r="C416" t="inlineStr">
        <is>
          <t>Yes</t>
        </is>
      </c>
      <c r="D416" t="n">
        <v>0</v>
      </c>
      <c r="E416" t="inlineStr">
        <is>
          <t>Not Graduate</t>
        </is>
      </c>
      <c r="F416" t="inlineStr">
        <is>
          <t>No</t>
        </is>
      </c>
      <c r="G416" t="n">
        <v>2149</v>
      </c>
      <c r="H416" t="n">
        <v>3237</v>
      </c>
      <c r="I416" t="n">
        <v>178</v>
      </c>
      <c r="J416" t="n">
        <v>360</v>
      </c>
      <c r="K416" t="n">
        <v>0</v>
      </c>
      <c r="L416" t="inlineStr">
        <is>
          <t>Semiurban</t>
        </is>
      </c>
      <c r="M416" t="inlineStr">
        <is>
          <t>N</t>
        </is>
      </c>
      <c r="N416">
        <f>IF(AND(K416=1,M416="Y"),"Lower Risk",IF(AND(K416=0,M416="N"),"High Risk","Medium Risk"))</f>
        <v/>
      </c>
    </row>
    <row r="417">
      <c r="A417" t="inlineStr">
        <is>
          <t>LP002337</t>
        </is>
      </c>
      <c r="B417" t="inlineStr">
        <is>
          <t>Female</t>
        </is>
      </c>
      <c r="C417" t="inlineStr">
        <is>
          <t>No</t>
        </is>
      </c>
      <c r="D417" t="n">
        <v>0</v>
      </c>
      <c r="E417" t="inlineStr">
        <is>
          <t>Graduate</t>
        </is>
      </c>
      <c r="F417" t="inlineStr">
        <is>
          <t>No</t>
        </is>
      </c>
      <c r="G417" t="n">
        <v>2995</v>
      </c>
      <c r="H417" t="n">
        <v>0</v>
      </c>
      <c r="I417" t="n">
        <v>60</v>
      </c>
      <c r="J417" t="n">
        <v>360</v>
      </c>
      <c r="K417" t="n">
        <v>1</v>
      </c>
      <c r="L417" t="inlineStr">
        <is>
          <t>Urban</t>
        </is>
      </c>
      <c r="M417" t="inlineStr">
        <is>
          <t>Y</t>
        </is>
      </c>
      <c r="N417">
        <f>IF(AND(K417=1,M417="Y"),"Lower Risk",IF(AND(K417=0,M417="N"),"High Risk","Medium Risk"))</f>
        <v/>
      </c>
    </row>
    <row r="418">
      <c r="A418" t="inlineStr">
        <is>
          <t>LP002341</t>
        </is>
      </c>
      <c r="B418" t="inlineStr">
        <is>
          <t>Female</t>
        </is>
      </c>
      <c r="C418" t="inlineStr">
        <is>
          <t>No</t>
        </is>
      </c>
      <c r="D418" t="n">
        <v>1</v>
      </c>
      <c r="E418" t="inlineStr">
        <is>
          <t>Graduate</t>
        </is>
      </c>
      <c r="F418" t="inlineStr">
        <is>
          <t>No</t>
        </is>
      </c>
      <c r="G418" t="n">
        <v>2600</v>
      </c>
      <c r="H418" t="n">
        <v>0</v>
      </c>
      <c r="I418" t="n">
        <v>160</v>
      </c>
      <c r="J418" t="n">
        <v>360</v>
      </c>
      <c r="K418" t="n">
        <v>1</v>
      </c>
      <c r="L418" t="inlineStr">
        <is>
          <t>Urban</t>
        </is>
      </c>
      <c r="M418" t="inlineStr">
        <is>
          <t>N</t>
        </is>
      </c>
      <c r="N418">
        <f>IF(AND(K418=1,M418="Y"),"Lower Risk",IF(AND(K418=0,M418="N"),"High Risk","Medium Risk"))</f>
        <v/>
      </c>
    </row>
    <row r="419">
      <c r="A419" t="inlineStr">
        <is>
          <t>LP002342</t>
        </is>
      </c>
      <c r="B419" t="inlineStr">
        <is>
          <t>Male</t>
        </is>
      </c>
      <c r="C419" t="inlineStr">
        <is>
          <t>Yes</t>
        </is>
      </c>
      <c r="D419" t="n">
        <v>2</v>
      </c>
      <c r="E419" t="inlineStr">
        <is>
          <t>Graduate</t>
        </is>
      </c>
      <c r="F419" t="inlineStr">
        <is>
          <t>Yes</t>
        </is>
      </c>
      <c r="G419" t="n">
        <v>1600</v>
      </c>
      <c r="H419" t="n">
        <v>20000</v>
      </c>
      <c r="I419" t="n">
        <v>239</v>
      </c>
      <c r="J419" t="n">
        <v>360</v>
      </c>
      <c r="K419" t="n">
        <v>1</v>
      </c>
      <c r="L419" t="inlineStr">
        <is>
          <t>Urban</t>
        </is>
      </c>
      <c r="M419" t="inlineStr">
        <is>
          <t>N</t>
        </is>
      </c>
      <c r="N419">
        <f>IF(AND(K419=1,M419="Y"),"Lower Risk",IF(AND(K419=0,M419="N"),"High Risk","Medium Risk"))</f>
        <v/>
      </c>
    </row>
    <row r="420">
      <c r="A420" t="inlineStr">
        <is>
          <t>LP002345</t>
        </is>
      </c>
      <c r="B420" t="inlineStr">
        <is>
          <t>Male</t>
        </is>
      </c>
      <c r="C420" t="inlineStr">
        <is>
          <t>Yes</t>
        </is>
      </c>
      <c r="D420" t="n">
        <v>0</v>
      </c>
      <c r="E420" t="inlineStr">
        <is>
          <t>Graduate</t>
        </is>
      </c>
      <c r="F420" t="inlineStr">
        <is>
          <t>No</t>
        </is>
      </c>
      <c r="G420" t="n">
        <v>1025</v>
      </c>
      <c r="H420" t="n">
        <v>2773</v>
      </c>
      <c r="I420" t="n">
        <v>112</v>
      </c>
      <c r="J420" t="n">
        <v>360</v>
      </c>
      <c r="K420" t="n">
        <v>1</v>
      </c>
      <c r="L420" t="inlineStr">
        <is>
          <t>Rural</t>
        </is>
      </c>
      <c r="M420" t="inlineStr">
        <is>
          <t>Y</t>
        </is>
      </c>
      <c r="N420">
        <f>IF(AND(K420=1,M420="Y"),"Lower Risk",IF(AND(K420=0,M420="N"),"High Risk","Medium Risk"))</f>
        <v/>
      </c>
    </row>
    <row r="421">
      <c r="A421" t="inlineStr">
        <is>
          <t>LP002347</t>
        </is>
      </c>
      <c r="B421" t="inlineStr">
        <is>
          <t>Male</t>
        </is>
      </c>
      <c r="C421" t="inlineStr">
        <is>
          <t>Yes</t>
        </is>
      </c>
      <c r="D421" t="n">
        <v>0</v>
      </c>
      <c r="E421" t="inlineStr">
        <is>
          <t>Graduate</t>
        </is>
      </c>
      <c r="F421" t="inlineStr">
        <is>
          <t>No</t>
        </is>
      </c>
      <c r="G421" t="n">
        <v>3246</v>
      </c>
      <c r="H421" t="n">
        <v>1417</v>
      </c>
      <c r="I421" t="n">
        <v>138</v>
      </c>
      <c r="J421" t="n">
        <v>360</v>
      </c>
      <c r="K421" t="n">
        <v>1</v>
      </c>
      <c r="L421" t="inlineStr">
        <is>
          <t>Semiurban</t>
        </is>
      </c>
      <c r="M421" t="inlineStr">
        <is>
          <t>Y</t>
        </is>
      </c>
      <c r="N421">
        <f>IF(AND(K421=1,M421="Y"),"Lower Risk",IF(AND(K421=0,M421="N"),"High Risk","Medium Risk"))</f>
        <v/>
      </c>
    </row>
    <row r="422">
      <c r="A422" t="inlineStr">
        <is>
          <t>LP002348</t>
        </is>
      </c>
      <c r="B422" t="inlineStr">
        <is>
          <t>Male</t>
        </is>
      </c>
      <c r="C422" t="inlineStr">
        <is>
          <t>Yes</t>
        </is>
      </c>
      <c r="D422" t="n">
        <v>0</v>
      </c>
      <c r="E422" t="inlineStr">
        <is>
          <t>Graduate</t>
        </is>
      </c>
      <c r="F422" t="inlineStr">
        <is>
          <t>No</t>
        </is>
      </c>
      <c r="G422" t="n">
        <v>5829</v>
      </c>
      <c r="H422" t="n">
        <v>0</v>
      </c>
      <c r="I422" t="n">
        <v>138</v>
      </c>
      <c r="J422" t="n">
        <v>360</v>
      </c>
      <c r="K422" t="n">
        <v>1</v>
      </c>
      <c r="L422" t="inlineStr">
        <is>
          <t>Rural</t>
        </is>
      </c>
      <c r="M422" t="inlineStr">
        <is>
          <t>Y</t>
        </is>
      </c>
      <c r="N422">
        <f>IF(AND(K422=1,M422="Y"),"Lower Risk",IF(AND(K422=0,M422="N"),"High Risk","Medium Risk"))</f>
        <v/>
      </c>
    </row>
    <row r="423">
      <c r="A423" t="inlineStr">
        <is>
          <t>LP002357</t>
        </is>
      </c>
      <c r="B423" t="inlineStr">
        <is>
          <t>Female</t>
        </is>
      </c>
      <c r="C423" t="inlineStr">
        <is>
          <t>No</t>
        </is>
      </c>
      <c r="D423" t="n">
        <v>0</v>
      </c>
      <c r="E423" t="inlineStr">
        <is>
          <t>Not Graduate</t>
        </is>
      </c>
      <c r="F423" t="inlineStr">
        <is>
          <t>No</t>
        </is>
      </c>
      <c r="G423" t="n">
        <v>2720</v>
      </c>
      <c r="H423" t="n">
        <v>0</v>
      </c>
      <c r="I423" t="n">
        <v>80</v>
      </c>
      <c r="K423" t="n">
        <v>0</v>
      </c>
      <c r="L423" t="inlineStr">
        <is>
          <t>Urban</t>
        </is>
      </c>
      <c r="M423" t="inlineStr">
        <is>
          <t>N</t>
        </is>
      </c>
      <c r="N423">
        <f>IF(AND(K423=1,M423="Y"),"Lower Risk",IF(AND(K423=0,M423="N"),"High Risk","Medium Risk"))</f>
        <v/>
      </c>
    </row>
    <row r="424">
      <c r="A424" t="inlineStr">
        <is>
          <t>LP002361</t>
        </is>
      </c>
      <c r="B424" t="inlineStr">
        <is>
          <t>Male</t>
        </is>
      </c>
      <c r="C424" t="inlineStr">
        <is>
          <t>Yes</t>
        </is>
      </c>
      <c r="D424" t="n">
        <v>0</v>
      </c>
      <c r="E424" t="inlineStr">
        <is>
          <t>Graduate</t>
        </is>
      </c>
      <c r="F424" t="inlineStr">
        <is>
          <t>No</t>
        </is>
      </c>
      <c r="G424" t="n">
        <v>1820</v>
      </c>
      <c r="H424" t="n">
        <v>1719</v>
      </c>
      <c r="I424" t="n">
        <v>100</v>
      </c>
      <c r="J424" t="n">
        <v>360</v>
      </c>
      <c r="K424" t="n">
        <v>1</v>
      </c>
      <c r="L424" t="inlineStr">
        <is>
          <t>Urban</t>
        </is>
      </c>
      <c r="M424" t="inlineStr">
        <is>
          <t>Y</t>
        </is>
      </c>
      <c r="N424">
        <f>IF(AND(K424=1,M424="Y"),"Lower Risk",IF(AND(K424=0,M424="N"),"High Risk","Medium Risk"))</f>
        <v/>
      </c>
    </row>
    <row r="425">
      <c r="A425" t="inlineStr">
        <is>
          <t>LP002362</t>
        </is>
      </c>
      <c r="B425" t="inlineStr">
        <is>
          <t>Male</t>
        </is>
      </c>
      <c r="C425" t="inlineStr">
        <is>
          <t>Yes</t>
        </is>
      </c>
      <c r="D425" t="n">
        <v>1</v>
      </c>
      <c r="E425" t="inlineStr">
        <is>
          <t>Graduate</t>
        </is>
      </c>
      <c r="F425" t="inlineStr">
        <is>
          <t>No</t>
        </is>
      </c>
      <c r="G425" t="n">
        <v>7250</v>
      </c>
      <c r="H425" t="n">
        <v>1667</v>
      </c>
      <c r="I425" t="n">
        <v>110</v>
      </c>
      <c r="K425" t="n">
        <v>0</v>
      </c>
      <c r="L425" t="inlineStr">
        <is>
          <t>Urban</t>
        </is>
      </c>
      <c r="M425" t="inlineStr">
        <is>
          <t>N</t>
        </is>
      </c>
      <c r="N425">
        <f>IF(AND(K425=1,M425="Y"),"Lower Risk",IF(AND(K425=0,M425="N"),"High Risk","Medium Risk"))</f>
        <v/>
      </c>
    </row>
    <row r="426">
      <c r="A426" t="inlineStr">
        <is>
          <t>LP002364</t>
        </is>
      </c>
      <c r="B426" t="inlineStr">
        <is>
          <t>Male</t>
        </is>
      </c>
      <c r="C426" t="inlineStr">
        <is>
          <t>Yes</t>
        </is>
      </c>
      <c r="D426" t="n">
        <v>0</v>
      </c>
      <c r="E426" t="inlineStr">
        <is>
          <t>Graduate</t>
        </is>
      </c>
      <c r="F426" t="inlineStr">
        <is>
          <t>No</t>
        </is>
      </c>
      <c r="G426" t="n">
        <v>14880</v>
      </c>
      <c r="H426" t="n">
        <v>0</v>
      </c>
      <c r="I426" t="n">
        <v>96</v>
      </c>
      <c r="J426" t="n">
        <v>360</v>
      </c>
      <c r="K426" t="n">
        <v>1</v>
      </c>
      <c r="L426" t="inlineStr">
        <is>
          <t>Semiurban</t>
        </is>
      </c>
      <c r="M426" t="inlineStr">
        <is>
          <t>Y</t>
        </is>
      </c>
      <c r="N426">
        <f>IF(AND(K426=1,M426="Y"),"Lower Risk",IF(AND(K426=0,M426="N"),"High Risk","Medium Risk"))</f>
        <v/>
      </c>
    </row>
    <row r="427">
      <c r="A427" t="inlineStr">
        <is>
          <t>LP002366</t>
        </is>
      </c>
      <c r="B427" t="inlineStr">
        <is>
          <t>Male</t>
        </is>
      </c>
      <c r="C427" t="inlineStr">
        <is>
          <t>Yes</t>
        </is>
      </c>
      <c r="D427" t="n">
        <v>0</v>
      </c>
      <c r="E427" t="inlineStr">
        <is>
          <t>Graduate</t>
        </is>
      </c>
      <c r="F427" t="inlineStr">
        <is>
          <t>No</t>
        </is>
      </c>
      <c r="G427" t="n">
        <v>2666</v>
      </c>
      <c r="H427" t="n">
        <v>4300</v>
      </c>
      <c r="I427" t="n">
        <v>121</v>
      </c>
      <c r="J427" t="n">
        <v>360</v>
      </c>
      <c r="K427" t="n">
        <v>1</v>
      </c>
      <c r="L427" t="inlineStr">
        <is>
          <t>Rural</t>
        </is>
      </c>
      <c r="M427" t="inlineStr">
        <is>
          <t>Y</t>
        </is>
      </c>
      <c r="N427">
        <f>IF(AND(K427=1,M427="Y"),"Lower Risk",IF(AND(K427=0,M427="N"),"High Risk","Medium Risk"))</f>
        <v/>
      </c>
    </row>
    <row r="428">
      <c r="A428" t="inlineStr">
        <is>
          <t>LP002367</t>
        </is>
      </c>
      <c r="B428" t="inlineStr">
        <is>
          <t>Female</t>
        </is>
      </c>
      <c r="C428" t="inlineStr">
        <is>
          <t>No</t>
        </is>
      </c>
      <c r="D428" t="n">
        <v>1</v>
      </c>
      <c r="E428" t="inlineStr">
        <is>
          <t>Not Graduate</t>
        </is>
      </c>
      <c r="F428" t="inlineStr">
        <is>
          <t>No</t>
        </is>
      </c>
      <c r="G428" t="n">
        <v>4606</v>
      </c>
      <c r="H428" t="n">
        <v>0</v>
      </c>
      <c r="I428" t="n">
        <v>81</v>
      </c>
      <c r="J428" t="n">
        <v>360</v>
      </c>
      <c r="K428" t="n">
        <v>1</v>
      </c>
      <c r="L428" t="inlineStr">
        <is>
          <t>Rural</t>
        </is>
      </c>
      <c r="M428" t="inlineStr">
        <is>
          <t>N</t>
        </is>
      </c>
      <c r="N428">
        <f>IF(AND(K428=1,M428="Y"),"Lower Risk",IF(AND(K428=0,M428="N"),"High Risk","Medium Risk"))</f>
        <v/>
      </c>
    </row>
    <row r="429">
      <c r="A429" t="inlineStr">
        <is>
          <t>LP002368</t>
        </is>
      </c>
      <c r="B429" t="inlineStr">
        <is>
          <t>Male</t>
        </is>
      </c>
      <c r="C429" t="inlineStr">
        <is>
          <t>Yes</t>
        </is>
      </c>
      <c r="D429" t="n">
        <v>2</v>
      </c>
      <c r="E429" t="inlineStr">
        <is>
          <t>Graduate</t>
        </is>
      </c>
      <c r="F429" t="inlineStr">
        <is>
          <t>No</t>
        </is>
      </c>
      <c r="G429" t="n">
        <v>5935</v>
      </c>
      <c r="H429" t="n">
        <v>0</v>
      </c>
      <c r="I429" t="n">
        <v>133</v>
      </c>
      <c r="J429" t="n">
        <v>360</v>
      </c>
      <c r="K429" t="n">
        <v>1</v>
      </c>
      <c r="L429" t="inlineStr">
        <is>
          <t>Semiurban</t>
        </is>
      </c>
      <c r="M429" t="inlineStr">
        <is>
          <t>Y</t>
        </is>
      </c>
      <c r="N429">
        <f>IF(AND(K429=1,M429="Y"),"Lower Risk",IF(AND(K429=0,M429="N"),"High Risk","Medium Risk"))</f>
        <v/>
      </c>
    </row>
    <row r="430">
      <c r="A430" t="inlineStr">
        <is>
          <t>LP002369</t>
        </is>
      </c>
      <c r="B430" t="inlineStr">
        <is>
          <t>Male</t>
        </is>
      </c>
      <c r="C430" t="inlineStr">
        <is>
          <t>Yes</t>
        </is>
      </c>
      <c r="D430" t="n">
        <v>0</v>
      </c>
      <c r="E430" t="inlineStr">
        <is>
          <t>Graduate</t>
        </is>
      </c>
      <c r="F430" t="inlineStr">
        <is>
          <t>No</t>
        </is>
      </c>
      <c r="G430" t="n">
        <v>2920</v>
      </c>
      <c r="H430" t="n">
        <v>16.12000084</v>
      </c>
      <c r="I430" t="n">
        <v>87</v>
      </c>
      <c r="J430" t="n">
        <v>360</v>
      </c>
      <c r="K430" t="n">
        <v>1</v>
      </c>
      <c r="L430" t="inlineStr">
        <is>
          <t>Rural</t>
        </is>
      </c>
      <c r="M430" t="inlineStr">
        <is>
          <t>Y</t>
        </is>
      </c>
      <c r="N430">
        <f>IF(AND(K430=1,M430="Y"),"Lower Risk",IF(AND(K430=0,M430="N"),"High Risk","Medium Risk"))</f>
        <v/>
      </c>
    </row>
    <row r="431">
      <c r="A431" t="inlineStr">
        <is>
          <t>LP002370</t>
        </is>
      </c>
      <c r="B431" t="inlineStr">
        <is>
          <t>Male</t>
        </is>
      </c>
      <c r="C431" t="inlineStr">
        <is>
          <t>No</t>
        </is>
      </c>
      <c r="D431" t="n">
        <v>0</v>
      </c>
      <c r="E431" t="inlineStr">
        <is>
          <t>Not Graduate</t>
        </is>
      </c>
      <c r="F431" t="inlineStr">
        <is>
          <t>No</t>
        </is>
      </c>
      <c r="G431" t="n">
        <v>2717</v>
      </c>
      <c r="H431" t="n">
        <v>0</v>
      </c>
      <c r="I431" t="n">
        <v>60</v>
      </c>
      <c r="J431" t="n">
        <v>180</v>
      </c>
      <c r="K431" t="n">
        <v>1</v>
      </c>
      <c r="L431" t="inlineStr">
        <is>
          <t>Urban</t>
        </is>
      </c>
      <c r="M431" t="inlineStr">
        <is>
          <t>Y</t>
        </is>
      </c>
      <c r="N431">
        <f>IF(AND(K431=1,M431="Y"),"Lower Risk",IF(AND(K431=0,M431="N"),"High Risk","Medium Risk"))</f>
        <v/>
      </c>
    </row>
    <row r="432">
      <c r="A432" t="inlineStr">
        <is>
          <t>LP002377</t>
        </is>
      </c>
      <c r="B432" t="inlineStr">
        <is>
          <t>Female</t>
        </is>
      </c>
      <c r="C432" t="inlineStr">
        <is>
          <t>No</t>
        </is>
      </c>
      <c r="D432" t="n">
        <v>1</v>
      </c>
      <c r="E432" t="inlineStr">
        <is>
          <t>Graduate</t>
        </is>
      </c>
      <c r="F432" t="inlineStr">
        <is>
          <t>Yes</t>
        </is>
      </c>
      <c r="G432" t="n">
        <v>8624</v>
      </c>
      <c r="H432" t="n">
        <v>0</v>
      </c>
      <c r="I432" t="n">
        <v>150</v>
      </c>
      <c r="J432" t="n">
        <v>360</v>
      </c>
      <c r="K432" t="n">
        <v>1</v>
      </c>
      <c r="L432" t="inlineStr">
        <is>
          <t>Semiurban</t>
        </is>
      </c>
      <c r="M432" t="inlineStr">
        <is>
          <t>Y</t>
        </is>
      </c>
      <c r="N432">
        <f>IF(AND(K432=1,M432="Y"),"Lower Risk",IF(AND(K432=0,M432="N"),"High Risk","Medium Risk"))</f>
        <v/>
      </c>
    </row>
    <row r="433">
      <c r="A433" t="inlineStr">
        <is>
          <t>LP002379</t>
        </is>
      </c>
      <c r="B433" t="inlineStr">
        <is>
          <t>Male</t>
        </is>
      </c>
      <c r="C433" t="inlineStr">
        <is>
          <t>No</t>
        </is>
      </c>
      <c r="D433" t="n">
        <v>0</v>
      </c>
      <c r="E433" t="inlineStr">
        <is>
          <t>Graduate</t>
        </is>
      </c>
      <c r="F433" t="inlineStr">
        <is>
          <t>No</t>
        </is>
      </c>
      <c r="G433" t="n">
        <v>6500</v>
      </c>
      <c r="H433" t="n">
        <v>0</v>
      </c>
      <c r="I433" t="n">
        <v>105</v>
      </c>
      <c r="J433" t="n">
        <v>360</v>
      </c>
      <c r="K433" t="n">
        <v>0</v>
      </c>
      <c r="L433" t="inlineStr">
        <is>
          <t>Rural</t>
        </is>
      </c>
      <c r="M433" t="inlineStr">
        <is>
          <t>N</t>
        </is>
      </c>
      <c r="N433">
        <f>IF(AND(K433=1,M433="Y"),"Lower Risk",IF(AND(K433=0,M433="N"),"High Risk","Medium Risk"))</f>
        <v/>
      </c>
    </row>
    <row r="434">
      <c r="A434" t="inlineStr">
        <is>
          <t>LP002386</t>
        </is>
      </c>
      <c r="B434" t="inlineStr">
        <is>
          <t>Male</t>
        </is>
      </c>
      <c r="C434" t="inlineStr">
        <is>
          <t>No</t>
        </is>
      </c>
      <c r="D434" t="n">
        <v>0</v>
      </c>
      <c r="E434" t="inlineStr">
        <is>
          <t>Graduate</t>
        </is>
      </c>
      <c r="G434" t="n">
        <v>12876</v>
      </c>
      <c r="H434" t="n">
        <v>0</v>
      </c>
      <c r="I434" t="n">
        <v>405</v>
      </c>
      <c r="J434" t="n">
        <v>360</v>
      </c>
      <c r="K434" t="n">
        <v>1</v>
      </c>
      <c r="L434" t="inlineStr">
        <is>
          <t>Semiurban</t>
        </is>
      </c>
      <c r="M434" t="inlineStr">
        <is>
          <t>Y</t>
        </is>
      </c>
      <c r="N434">
        <f>IF(AND(K434=1,M434="Y"),"Lower Risk",IF(AND(K434=0,M434="N"),"High Risk","Medium Risk"))</f>
        <v/>
      </c>
    </row>
    <row r="435">
      <c r="A435" t="inlineStr">
        <is>
          <t>LP002387</t>
        </is>
      </c>
      <c r="B435" t="inlineStr">
        <is>
          <t>Male</t>
        </is>
      </c>
      <c r="C435" t="inlineStr">
        <is>
          <t>Yes</t>
        </is>
      </c>
      <c r="D435" t="n">
        <v>0</v>
      </c>
      <c r="E435" t="inlineStr">
        <is>
          <t>Graduate</t>
        </is>
      </c>
      <c r="F435" t="inlineStr">
        <is>
          <t>No</t>
        </is>
      </c>
      <c r="G435" t="n">
        <v>2425</v>
      </c>
      <c r="H435" t="n">
        <v>2340</v>
      </c>
      <c r="I435" t="n">
        <v>143</v>
      </c>
      <c r="J435" t="n">
        <v>360</v>
      </c>
      <c r="K435" t="n">
        <v>1</v>
      </c>
      <c r="L435" t="inlineStr">
        <is>
          <t>Semiurban</t>
        </is>
      </c>
      <c r="M435" t="inlineStr">
        <is>
          <t>Y</t>
        </is>
      </c>
      <c r="N435">
        <f>IF(AND(K435=1,M435="Y"),"Lower Risk",IF(AND(K435=0,M435="N"),"High Risk","Medium Risk"))</f>
        <v/>
      </c>
    </row>
    <row r="436">
      <c r="A436" t="inlineStr">
        <is>
          <t>LP002390</t>
        </is>
      </c>
      <c r="B436" t="inlineStr">
        <is>
          <t>Male</t>
        </is>
      </c>
      <c r="C436" t="inlineStr">
        <is>
          <t>No</t>
        </is>
      </c>
      <c r="D436" t="n">
        <v>0</v>
      </c>
      <c r="E436" t="inlineStr">
        <is>
          <t>Graduate</t>
        </is>
      </c>
      <c r="F436" t="inlineStr">
        <is>
          <t>No</t>
        </is>
      </c>
      <c r="G436" t="n">
        <v>3750</v>
      </c>
      <c r="H436" t="n">
        <v>0</v>
      </c>
      <c r="I436" t="n">
        <v>100</v>
      </c>
      <c r="J436" t="n">
        <v>360</v>
      </c>
      <c r="K436" t="n">
        <v>1</v>
      </c>
      <c r="L436" t="inlineStr">
        <is>
          <t>Urban</t>
        </is>
      </c>
      <c r="M436" t="inlineStr">
        <is>
          <t>Y</t>
        </is>
      </c>
      <c r="N436">
        <f>IF(AND(K436=1,M436="Y"),"Lower Risk",IF(AND(K436=0,M436="N"),"High Risk","Medium Risk"))</f>
        <v/>
      </c>
    </row>
    <row r="437">
      <c r="A437" t="inlineStr">
        <is>
          <t>LP002393</t>
        </is>
      </c>
      <c r="B437" t="inlineStr">
        <is>
          <t>Female</t>
        </is>
      </c>
      <c r="E437" t="inlineStr">
        <is>
          <t>Graduate</t>
        </is>
      </c>
      <c r="F437" t="inlineStr">
        <is>
          <t>No</t>
        </is>
      </c>
      <c r="G437" t="n">
        <v>10047</v>
      </c>
      <c r="H437" t="n">
        <v>0</v>
      </c>
      <c r="J437" t="n">
        <v>240</v>
      </c>
      <c r="K437" t="n">
        <v>1</v>
      </c>
      <c r="L437" t="inlineStr">
        <is>
          <t>Semiurban</t>
        </is>
      </c>
      <c r="M437" t="inlineStr">
        <is>
          <t>Y</t>
        </is>
      </c>
      <c r="N437">
        <f>IF(AND(K437=1,M437="Y"),"Lower Risk",IF(AND(K437=0,M437="N"),"High Risk","Medium Risk"))</f>
        <v/>
      </c>
    </row>
    <row r="438">
      <c r="A438" t="inlineStr">
        <is>
          <t>LP002398</t>
        </is>
      </c>
      <c r="B438" t="inlineStr">
        <is>
          <t>Male</t>
        </is>
      </c>
      <c r="C438" t="inlineStr">
        <is>
          <t>No</t>
        </is>
      </c>
      <c r="D438" t="n">
        <v>0</v>
      </c>
      <c r="E438" t="inlineStr">
        <is>
          <t>Graduate</t>
        </is>
      </c>
      <c r="F438" t="inlineStr">
        <is>
          <t>No</t>
        </is>
      </c>
      <c r="G438" t="n">
        <v>1926</v>
      </c>
      <c r="H438" t="n">
        <v>1851</v>
      </c>
      <c r="I438" t="n">
        <v>50</v>
      </c>
      <c r="J438" t="n">
        <v>360</v>
      </c>
      <c r="K438" t="n">
        <v>1</v>
      </c>
      <c r="L438" t="inlineStr">
        <is>
          <t>Semiurban</t>
        </is>
      </c>
      <c r="M438" t="inlineStr">
        <is>
          <t>Y</t>
        </is>
      </c>
      <c r="N438">
        <f>IF(AND(K438=1,M438="Y"),"Lower Risk",IF(AND(K438=0,M438="N"),"High Risk","Medium Risk"))</f>
        <v/>
      </c>
    </row>
    <row r="439">
      <c r="A439" t="inlineStr">
        <is>
          <t>LP002401</t>
        </is>
      </c>
      <c r="B439" t="inlineStr">
        <is>
          <t>Male</t>
        </is>
      </c>
      <c r="C439" t="inlineStr">
        <is>
          <t>Yes</t>
        </is>
      </c>
      <c r="D439" t="n">
        <v>0</v>
      </c>
      <c r="E439" t="inlineStr">
        <is>
          <t>Graduate</t>
        </is>
      </c>
      <c r="F439" t="inlineStr">
        <is>
          <t>No</t>
        </is>
      </c>
      <c r="G439" t="n">
        <v>2213</v>
      </c>
      <c r="H439" t="n">
        <v>1125</v>
      </c>
      <c r="J439" t="n">
        <v>360</v>
      </c>
      <c r="K439" t="n">
        <v>1</v>
      </c>
      <c r="L439" t="inlineStr">
        <is>
          <t>Urban</t>
        </is>
      </c>
      <c r="M439" t="inlineStr">
        <is>
          <t>Y</t>
        </is>
      </c>
      <c r="N439">
        <f>IF(AND(K439=1,M439="Y"),"Lower Risk",IF(AND(K439=0,M439="N"),"High Risk","Medium Risk"))</f>
        <v/>
      </c>
    </row>
    <row r="440">
      <c r="A440" t="inlineStr">
        <is>
          <t>LP002403</t>
        </is>
      </c>
      <c r="B440" t="inlineStr">
        <is>
          <t>Male</t>
        </is>
      </c>
      <c r="C440" t="inlineStr">
        <is>
          <t>No</t>
        </is>
      </c>
      <c r="D440" t="n">
        <v>0</v>
      </c>
      <c r="E440" t="inlineStr">
        <is>
          <t>Graduate</t>
        </is>
      </c>
      <c r="F440" t="inlineStr">
        <is>
          <t>Yes</t>
        </is>
      </c>
      <c r="G440" t="n">
        <v>10416</v>
      </c>
      <c r="H440" t="n">
        <v>0</v>
      </c>
      <c r="I440" t="n">
        <v>187</v>
      </c>
      <c r="J440" t="n">
        <v>360</v>
      </c>
      <c r="K440" t="n">
        <v>0</v>
      </c>
      <c r="L440" t="inlineStr">
        <is>
          <t>Urban</t>
        </is>
      </c>
      <c r="M440" t="inlineStr">
        <is>
          <t>N</t>
        </is>
      </c>
      <c r="N440">
        <f>IF(AND(K440=1,M440="Y"),"Lower Risk",IF(AND(K440=0,M440="N"),"High Risk","Medium Risk"))</f>
        <v/>
      </c>
    </row>
    <row r="441">
      <c r="A441" t="inlineStr">
        <is>
          <t>LP002407</t>
        </is>
      </c>
      <c r="B441" t="inlineStr">
        <is>
          <t>Female</t>
        </is>
      </c>
      <c r="C441" t="inlineStr">
        <is>
          <t>Yes</t>
        </is>
      </c>
      <c r="D441" t="n">
        <v>0</v>
      </c>
      <c r="E441" t="inlineStr">
        <is>
          <t>Not Graduate</t>
        </is>
      </c>
      <c r="F441" t="inlineStr">
        <is>
          <t>Yes</t>
        </is>
      </c>
      <c r="G441" t="n">
        <v>7142</v>
      </c>
      <c r="H441" t="n">
        <v>0</v>
      </c>
      <c r="I441" t="n">
        <v>138</v>
      </c>
      <c r="J441" t="n">
        <v>360</v>
      </c>
      <c r="K441" t="n">
        <v>1</v>
      </c>
      <c r="L441" t="inlineStr">
        <is>
          <t>Rural</t>
        </is>
      </c>
      <c r="M441" t="inlineStr">
        <is>
          <t>Y</t>
        </is>
      </c>
      <c r="N441">
        <f>IF(AND(K441=1,M441="Y"),"Lower Risk",IF(AND(K441=0,M441="N"),"High Risk","Medium Risk"))</f>
        <v/>
      </c>
    </row>
    <row r="442">
      <c r="A442" t="inlineStr">
        <is>
          <t>LP002408</t>
        </is>
      </c>
      <c r="B442" t="inlineStr">
        <is>
          <t>Male</t>
        </is>
      </c>
      <c r="C442" t="inlineStr">
        <is>
          <t>No</t>
        </is>
      </c>
      <c r="D442" t="n">
        <v>0</v>
      </c>
      <c r="E442" t="inlineStr">
        <is>
          <t>Graduate</t>
        </is>
      </c>
      <c r="F442" t="inlineStr">
        <is>
          <t>No</t>
        </is>
      </c>
      <c r="G442" t="n">
        <v>3660</v>
      </c>
      <c r="H442" t="n">
        <v>5064</v>
      </c>
      <c r="I442" t="n">
        <v>187</v>
      </c>
      <c r="J442" t="n">
        <v>360</v>
      </c>
      <c r="K442" t="n">
        <v>1</v>
      </c>
      <c r="L442" t="inlineStr">
        <is>
          <t>Semiurban</t>
        </is>
      </c>
      <c r="M442" t="inlineStr">
        <is>
          <t>Y</t>
        </is>
      </c>
      <c r="N442">
        <f>IF(AND(K442=1,M442="Y"),"Lower Risk",IF(AND(K442=0,M442="N"),"High Risk","Medium Risk"))</f>
        <v/>
      </c>
    </row>
    <row r="443">
      <c r="A443" t="inlineStr">
        <is>
          <t>LP002409</t>
        </is>
      </c>
      <c r="B443" t="inlineStr">
        <is>
          <t>Male</t>
        </is>
      </c>
      <c r="C443" t="inlineStr">
        <is>
          <t>Yes</t>
        </is>
      </c>
      <c r="D443" t="n">
        <v>0</v>
      </c>
      <c r="E443" t="inlineStr">
        <is>
          <t>Graduate</t>
        </is>
      </c>
      <c r="F443" t="inlineStr">
        <is>
          <t>No</t>
        </is>
      </c>
      <c r="G443" t="n">
        <v>7901</v>
      </c>
      <c r="H443" t="n">
        <v>1833</v>
      </c>
      <c r="I443" t="n">
        <v>180</v>
      </c>
      <c r="J443" t="n">
        <v>360</v>
      </c>
      <c r="K443" t="n">
        <v>1</v>
      </c>
      <c r="L443" t="inlineStr">
        <is>
          <t>Rural</t>
        </is>
      </c>
      <c r="M443" t="inlineStr">
        <is>
          <t>Y</t>
        </is>
      </c>
      <c r="N443">
        <f>IF(AND(K443=1,M443="Y"),"Lower Risk",IF(AND(K443=0,M443="N"),"High Risk","Medium Risk"))</f>
        <v/>
      </c>
    </row>
    <row r="444">
      <c r="A444" t="inlineStr">
        <is>
          <t>LP002418</t>
        </is>
      </c>
      <c r="B444" t="inlineStr">
        <is>
          <t>Male</t>
        </is>
      </c>
      <c r="C444" t="inlineStr">
        <is>
          <t>No</t>
        </is>
      </c>
      <c r="D444" t="inlineStr">
        <is>
          <t>3+</t>
        </is>
      </c>
      <c r="E444" t="inlineStr">
        <is>
          <t>Not Graduate</t>
        </is>
      </c>
      <c r="F444" t="inlineStr">
        <is>
          <t>No</t>
        </is>
      </c>
      <c r="G444" t="n">
        <v>4707</v>
      </c>
      <c r="H444" t="n">
        <v>1993</v>
      </c>
      <c r="I444" t="n">
        <v>148</v>
      </c>
      <c r="J444" t="n">
        <v>360</v>
      </c>
      <c r="K444" t="n">
        <v>1</v>
      </c>
      <c r="L444" t="inlineStr">
        <is>
          <t>Semiurban</t>
        </is>
      </c>
      <c r="M444" t="inlineStr">
        <is>
          <t>Y</t>
        </is>
      </c>
      <c r="N444">
        <f>IF(AND(K444=1,M444="Y"),"Lower Risk",IF(AND(K444=0,M444="N"),"High Risk","Medium Risk"))</f>
        <v/>
      </c>
    </row>
    <row r="445">
      <c r="A445" t="inlineStr">
        <is>
          <t>LP002422</t>
        </is>
      </c>
      <c r="B445" t="inlineStr">
        <is>
          <t>Male</t>
        </is>
      </c>
      <c r="C445" t="inlineStr">
        <is>
          <t>No</t>
        </is>
      </c>
      <c r="D445" t="n">
        <v>1</v>
      </c>
      <c r="E445" t="inlineStr">
        <is>
          <t>Graduate</t>
        </is>
      </c>
      <c r="F445" t="inlineStr">
        <is>
          <t>No</t>
        </is>
      </c>
      <c r="G445" t="n">
        <v>37719</v>
      </c>
      <c r="H445" t="n">
        <v>0</v>
      </c>
      <c r="I445" t="n">
        <v>152</v>
      </c>
      <c r="J445" t="n">
        <v>360</v>
      </c>
      <c r="K445" t="n">
        <v>1</v>
      </c>
      <c r="L445" t="inlineStr">
        <is>
          <t>Semiurban</t>
        </is>
      </c>
      <c r="M445" t="inlineStr">
        <is>
          <t>Y</t>
        </is>
      </c>
      <c r="N445">
        <f>IF(AND(K445=1,M445="Y"),"Lower Risk",IF(AND(K445=0,M445="N"),"High Risk","Medium Risk"))</f>
        <v/>
      </c>
    </row>
    <row r="446">
      <c r="A446" t="inlineStr">
        <is>
          <t>LP002424</t>
        </is>
      </c>
      <c r="B446" t="inlineStr">
        <is>
          <t>Male</t>
        </is>
      </c>
      <c r="C446" t="inlineStr">
        <is>
          <t>Yes</t>
        </is>
      </c>
      <c r="D446" t="n">
        <v>0</v>
      </c>
      <c r="E446" t="inlineStr">
        <is>
          <t>Graduate</t>
        </is>
      </c>
      <c r="F446" t="inlineStr">
        <is>
          <t>No</t>
        </is>
      </c>
      <c r="G446" t="n">
        <v>7333</v>
      </c>
      <c r="H446" t="n">
        <v>8333</v>
      </c>
      <c r="I446" t="n">
        <v>175</v>
      </c>
      <c r="J446" t="n">
        <v>300</v>
      </c>
      <c r="L446" t="inlineStr">
        <is>
          <t>Rural</t>
        </is>
      </c>
      <c r="M446" t="inlineStr">
        <is>
          <t>Y</t>
        </is>
      </c>
      <c r="N446">
        <f>IF(AND(K446=1,M446="Y"),"Lower Risk",IF(AND(K446=0,M446="N"),"High Risk","Medium Risk"))</f>
        <v/>
      </c>
    </row>
    <row r="447">
      <c r="A447" t="inlineStr">
        <is>
          <t>LP002429</t>
        </is>
      </c>
      <c r="B447" t="inlineStr">
        <is>
          <t>Male</t>
        </is>
      </c>
      <c r="C447" t="inlineStr">
        <is>
          <t>Yes</t>
        </is>
      </c>
      <c r="D447" t="n">
        <v>1</v>
      </c>
      <c r="E447" t="inlineStr">
        <is>
          <t>Graduate</t>
        </is>
      </c>
      <c r="F447" t="inlineStr">
        <is>
          <t>Yes</t>
        </is>
      </c>
      <c r="G447" t="n">
        <v>3466</v>
      </c>
      <c r="H447" t="n">
        <v>1210</v>
      </c>
      <c r="I447" t="n">
        <v>130</v>
      </c>
      <c r="J447" t="n">
        <v>360</v>
      </c>
      <c r="K447" t="n">
        <v>1</v>
      </c>
      <c r="L447" t="inlineStr">
        <is>
          <t>Rural</t>
        </is>
      </c>
      <c r="M447" t="inlineStr">
        <is>
          <t>Y</t>
        </is>
      </c>
      <c r="N447">
        <f>IF(AND(K447=1,M447="Y"),"Lower Risk",IF(AND(K447=0,M447="N"),"High Risk","Medium Risk"))</f>
        <v/>
      </c>
    </row>
    <row r="448">
      <c r="A448" t="inlineStr">
        <is>
          <t>LP002434</t>
        </is>
      </c>
      <c r="B448" t="inlineStr">
        <is>
          <t>Male</t>
        </is>
      </c>
      <c r="C448" t="inlineStr">
        <is>
          <t>Yes</t>
        </is>
      </c>
      <c r="D448" t="n">
        <v>2</v>
      </c>
      <c r="E448" t="inlineStr">
        <is>
          <t>Not Graduate</t>
        </is>
      </c>
      <c r="F448" t="inlineStr">
        <is>
          <t>No</t>
        </is>
      </c>
      <c r="G448" t="n">
        <v>4652</v>
      </c>
      <c r="H448" t="n">
        <v>0</v>
      </c>
      <c r="I448" t="n">
        <v>110</v>
      </c>
      <c r="J448" t="n">
        <v>360</v>
      </c>
      <c r="K448" t="n">
        <v>1</v>
      </c>
      <c r="L448" t="inlineStr">
        <is>
          <t>Rural</t>
        </is>
      </c>
      <c r="M448" t="inlineStr">
        <is>
          <t>Y</t>
        </is>
      </c>
      <c r="N448">
        <f>IF(AND(K448=1,M448="Y"),"Lower Risk",IF(AND(K448=0,M448="N"),"High Risk","Medium Risk"))</f>
        <v/>
      </c>
    </row>
    <row r="449">
      <c r="A449" t="inlineStr">
        <is>
          <t>LP002435</t>
        </is>
      </c>
      <c r="B449" t="inlineStr">
        <is>
          <t>Male</t>
        </is>
      </c>
      <c r="C449" t="inlineStr">
        <is>
          <t>Yes</t>
        </is>
      </c>
      <c r="D449" t="n">
        <v>0</v>
      </c>
      <c r="E449" t="inlineStr">
        <is>
          <t>Graduate</t>
        </is>
      </c>
      <c r="G449" t="n">
        <v>3539</v>
      </c>
      <c r="H449" t="n">
        <v>1376</v>
      </c>
      <c r="I449" t="n">
        <v>55</v>
      </c>
      <c r="J449" t="n">
        <v>360</v>
      </c>
      <c r="K449" t="n">
        <v>1</v>
      </c>
      <c r="L449" t="inlineStr">
        <is>
          <t>Rural</t>
        </is>
      </c>
      <c r="M449" t="inlineStr">
        <is>
          <t>N</t>
        </is>
      </c>
      <c r="N449">
        <f>IF(AND(K449=1,M449="Y"),"Lower Risk",IF(AND(K449=0,M449="N"),"High Risk","Medium Risk"))</f>
        <v/>
      </c>
    </row>
    <row r="450">
      <c r="A450" t="inlineStr">
        <is>
          <t>LP002443</t>
        </is>
      </c>
      <c r="B450" t="inlineStr">
        <is>
          <t>Male</t>
        </is>
      </c>
      <c r="C450" t="inlineStr">
        <is>
          <t>Yes</t>
        </is>
      </c>
      <c r="D450" t="n">
        <v>2</v>
      </c>
      <c r="E450" t="inlineStr">
        <is>
          <t>Graduate</t>
        </is>
      </c>
      <c r="F450" t="inlineStr">
        <is>
          <t>No</t>
        </is>
      </c>
      <c r="G450" t="n">
        <v>3340</v>
      </c>
      <c r="H450" t="n">
        <v>1710</v>
      </c>
      <c r="I450" t="n">
        <v>150</v>
      </c>
      <c r="J450" t="n">
        <v>360</v>
      </c>
      <c r="K450" t="n">
        <v>0</v>
      </c>
      <c r="L450" t="inlineStr">
        <is>
          <t>Rural</t>
        </is>
      </c>
      <c r="M450" t="inlineStr">
        <is>
          <t>N</t>
        </is>
      </c>
      <c r="N450">
        <f>IF(AND(K450=1,M450="Y"),"Lower Risk",IF(AND(K450=0,M450="N"),"High Risk","Medium Risk"))</f>
        <v/>
      </c>
    </row>
    <row r="451">
      <c r="A451" t="inlineStr">
        <is>
          <t>LP002444</t>
        </is>
      </c>
      <c r="B451" t="inlineStr">
        <is>
          <t>Male</t>
        </is>
      </c>
      <c r="C451" t="inlineStr">
        <is>
          <t>No</t>
        </is>
      </c>
      <c r="D451" t="n">
        <v>1</v>
      </c>
      <c r="E451" t="inlineStr">
        <is>
          <t>Not Graduate</t>
        </is>
      </c>
      <c r="F451" t="inlineStr">
        <is>
          <t>Yes</t>
        </is>
      </c>
      <c r="G451" t="n">
        <v>2769</v>
      </c>
      <c r="H451" t="n">
        <v>1542</v>
      </c>
      <c r="I451" t="n">
        <v>190</v>
      </c>
      <c r="J451" t="n">
        <v>360</v>
      </c>
      <c r="L451" t="inlineStr">
        <is>
          <t>Semiurban</t>
        </is>
      </c>
      <c r="M451" t="inlineStr">
        <is>
          <t>N</t>
        </is>
      </c>
      <c r="N451">
        <f>IF(AND(K451=1,M451="Y"),"Lower Risk",IF(AND(K451=0,M451="N"),"High Risk","Medium Risk"))</f>
        <v/>
      </c>
    </row>
    <row r="452">
      <c r="A452" t="inlineStr">
        <is>
          <t>LP002446</t>
        </is>
      </c>
      <c r="B452" t="inlineStr">
        <is>
          <t>Male</t>
        </is>
      </c>
      <c r="C452" t="inlineStr">
        <is>
          <t>Yes</t>
        </is>
      </c>
      <c r="D452" t="n">
        <v>2</v>
      </c>
      <c r="E452" t="inlineStr">
        <is>
          <t>Not Graduate</t>
        </is>
      </c>
      <c r="F452" t="inlineStr">
        <is>
          <t>No</t>
        </is>
      </c>
      <c r="G452" t="n">
        <v>2309</v>
      </c>
      <c r="H452" t="n">
        <v>1255</v>
      </c>
      <c r="I452" t="n">
        <v>125</v>
      </c>
      <c r="J452" t="n">
        <v>360</v>
      </c>
      <c r="K452" t="n">
        <v>0</v>
      </c>
      <c r="L452" t="inlineStr">
        <is>
          <t>Rural</t>
        </is>
      </c>
      <c r="M452" t="inlineStr">
        <is>
          <t>N</t>
        </is>
      </c>
      <c r="N452">
        <f>IF(AND(K452=1,M452="Y"),"Lower Risk",IF(AND(K452=0,M452="N"),"High Risk","Medium Risk"))</f>
        <v/>
      </c>
    </row>
    <row r="453">
      <c r="A453" t="inlineStr">
        <is>
          <t>LP002447</t>
        </is>
      </c>
      <c r="B453" t="inlineStr">
        <is>
          <t>Male</t>
        </is>
      </c>
      <c r="C453" t="inlineStr">
        <is>
          <t>Yes</t>
        </is>
      </c>
      <c r="D453" t="n">
        <v>2</v>
      </c>
      <c r="E453" t="inlineStr">
        <is>
          <t>Not Graduate</t>
        </is>
      </c>
      <c r="F453" t="inlineStr">
        <is>
          <t>No</t>
        </is>
      </c>
      <c r="G453" t="n">
        <v>1958</v>
      </c>
      <c r="H453" t="n">
        <v>1456</v>
      </c>
      <c r="I453" t="n">
        <v>60</v>
      </c>
      <c r="J453" t="n">
        <v>300</v>
      </c>
      <c r="L453" t="inlineStr">
        <is>
          <t>Urban</t>
        </is>
      </c>
      <c r="M453" t="inlineStr">
        <is>
          <t>Y</t>
        </is>
      </c>
      <c r="N453">
        <f>IF(AND(K453=1,M453="Y"),"Lower Risk",IF(AND(K453=0,M453="N"),"High Risk","Medium Risk"))</f>
        <v/>
      </c>
    </row>
    <row r="454">
      <c r="A454" t="inlineStr">
        <is>
          <t>LP002448</t>
        </is>
      </c>
      <c r="B454" t="inlineStr">
        <is>
          <t>Male</t>
        </is>
      </c>
      <c r="C454" t="inlineStr">
        <is>
          <t>Yes</t>
        </is>
      </c>
      <c r="D454" t="n">
        <v>0</v>
      </c>
      <c r="E454" t="inlineStr">
        <is>
          <t>Graduate</t>
        </is>
      </c>
      <c r="F454" t="inlineStr">
        <is>
          <t>No</t>
        </is>
      </c>
      <c r="G454" t="n">
        <v>3948</v>
      </c>
      <c r="H454" t="n">
        <v>1733</v>
      </c>
      <c r="I454" t="n">
        <v>149</v>
      </c>
      <c r="J454" t="n">
        <v>360</v>
      </c>
      <c r="K454" t="n">
        <v>0</v>
      </c>
      <c r="L454" t="inlineStr">
        <is>
          <t>Rural</t>
        </is>
      </c>
      <c r="M454" t="inlineStr">
        <is>
          <t>N</t>
        </is>
      </c>
      <c r="N454">
        <f>IF(AND(K454=1,M454="Y"),"Lower Risk",IF(AND(K454=0,M454="N"),"High Risk","Medium Risk"))</f>
        <v/>
      </c>
    </row>
    <row r="455">
      <c r="A455" t="inlineStr">
        <is>
          <t>LP002449</t>
        </is>
      </c>
      <c r="B455" t="inlineStr">
        <is>
          <t>Male</t>
        </is>
      </c>
      <c r="C455" t="inlineStr">
        <is>
          <t>Yes</t>
        </is>
      </c>
      <c r="D455" t="n">
        <v>0</v>
      </c>
      <c r="E455" t="inlineStr">
        <is>
          <t>Graduate</t>
        </is>
      </c>
      <c r="F455" t="inlineStr">
        <is>
          <t>No</t>
        </is>
      </c>
      <c r="G455" t="n">
        <v>2483</v>
      </c>
      <c r="H455" t="n">
        <v>2466</v>
      </c>
      <c r="I455" t="n">
        <v>90</v>
      </c>
      <c r="J455" t="n">
        <v>180</v>
      </c>
      <c r="K455" t="n">
        <v>0</v>
      </c>
      <c r="L455" t="inlineStr">
        <is>
          <t>Rural</t>
        </is>
      </c>
      <c r="M455" t="inlineStr">
        <is>
          <t>Y</t>
        </is>
      </c>
      <c r="N455">
        <f>IF(AND(K455=1,M455="Y"),"Lower Risk",IF(AND(K455=0,M455="N"),"High Risk","Medium Risk"))</f>
        <v/>
      </c>
    </row>
    <row r="456">
      <c r="A456" t="inlineStr">
        <is>
          <t>LP002453</t>
        </is>
      </c>
      <c r="B456" t="inlineStr">
        <is>
          <t>Male</t>
        </is>
      </c>
      <c r="C456" t="inlineStr">
        <is>
          <t>No</t>
        </is>
      </c>
      <c r="D456" t="n">
        <v>0</v>
      </c>
      <c r="E456" t="inlineStr">
        <is>
          <t>Graduate</t>
        </is>
      </c>
      <c r="F456" t="inlineStr">
        <is>
          <t>Yes</t>
        </is>
      </c>
      <c r="G456" t="n">
        <v>7085</v>
      </c>
      <c r="H456" t="n">
        <v>0</v>
      </c>
      <c r="I456" t="n">
        <v>84</v>
      </c>
      <c r="J456" t="n">
        <v>360</v>
      </c>
      <c r="K456" t="n">
        <v>1</v>
      </c>
      <c r="L456" t="inlineStr">
        <is>
          <t>Semiurban</t>
        </is>
      </c>
      <c r="M456" t="inlineStr">
        <is>
          <t>Y</t>
        </is>
      </c>
      <c r="N456">
        <f>IF(AND(K456=1,M456="Y"),"Lower Risk",IF(AND(K456=0,M456="N"),"High Risk","Medium Risk"))</f>
        <v/>
      </c>
    </row>
    <row r="457">
      <c r="A457" t="inlineStr">
        <is>
          <t>LP002455</t>
        </is>
      </c>
      <c r="B457" t="inlineStr">
        <is>
          <t>Male</t>
        </is>
      </c>
      <c r="C457" t="inlineStr">
        <is>
          <t>Yes</t>
        </is>
      </c>
      <c r="D457" t="n">
        <v>2</v>
      </c>
      <c r="E457" t="inlineStr">
        <is>
          <t>Graduate</t>
        </is>
      </c>
      <c r="F457" t="inlineStr">
        <is>
          <t>No</t>
        </is>
      </c>
      <c r="G457" t="n">
        <v>3859</v>
      </c>
      <c r="H457" t="n">
        <v>0</v>
      </c>
      <c r="I457" t="n">
        <v>96</v>
      </c>
      <c r="J457" t="n">
        <v>360</v>
      </c>
      <c r="K457" t="n">
        <v>1</v>
      </c>
      <c r="L457" t="inlineStr">
        <is>
          <t>Semiurban</t>
        </is>
      </c>
      <c r="M457" t="inlineStr">
        <is>
          <t>Y</t>
        </is>
      </c>
      <c r="N457">
        <f>IF(AND(K457=1,M457="Y"),"Lower Risk",IF(AND(K457=0,M457="N"),"High Risk","Medium Risk"))</f>
        <v/>
      </c>
    </row>
    <row r="458">
      <c r="A458" t="inlineStr">
        <is>
          <t>LP002459</t>
        </is>
      </c>
      <c r="B458" t="inlineStr">
        <is>
          <t>Male</t>
        </is>
      </c>
      <c r="C458" t="inlineStr">
        <is>
          <t>Yes</t>
        </is>
      </c>
      <c r="D458" t="n">
        <v>0</v>
      </c>
      <c r="E458" t="inlineStr">
        <is>
          <t>Graduate</t>
        </is>
      </c>
      <c r="F458" t="inlineStr">
        <is>
          <t>No</t>
        </is>
      </c>
      <c r="G458" t="n">
        <v>4301</v>
      </c>
      <c r="H458" t="n">
        <v>0</v>
      </c>
      <c r="I458" t="n">
        <v>118</v>
      </c>
      <c r="J458" t="n">
        <v>360</v>
      </c>
      <c r="K458" t="n">
        <v>1</v>
      </c>
      <c r="L458" t="inlineStr">
        <is>
          <t>Urban</t>
        </is>
      </c>
      <c r="M458" t="inlineStr">
        <is>
          <t>Y</t>
        </is>
      </c>
      <c r="N458">
        <f>IF(AND(K458=1,M458="Y"),"Lower Risk",IF(AND(K458=0,M458="N"),"High Risk","Medium Risk"))</f>
        <v/>
      </c>
    </row>
    <row r="459">
      <c r="A459" t="inlineStr">
        <is>
          <t>LP002467</t>
        </is>
      </c>
      <c r="B459" t="inlineStr">
        <is>
          <t>Male</t>
        </is>
      </c>
      <c r="C459" t="inlineStr">
        <is>
          <t>Yes</t>
        </is>
      </c>
      <c r="D459" t="n">
        <v>0</v>
      </c>
      <c r="E459" t="inlineStr">
        <is>
          <t>Graduate</t>
        </is>
      </c>
      <c r="F459" t="inlineStr">
        <is>
          <t>No</t>
        </is>
      </c>
      <c r="G459" t="n">
        <v>3708</v>
      </c>
      <c r="H459" t="n">
        <v>2569</v>
      </c>
      <c r="I459" t="n">
        <v>173</v>
      </c>
      <c r="J459" t="n">
        <v>360</v>
      </c>
      <c r="K459" t="n">
        <v>1</v>
      </c>
      <c r="L459" t="inlineStr">
        <is>
          <t>Urban</t>
        </is>
      </c>
      <c r="M459" t="inlineStr">
        <is>
          <t>N</t>
        </is>
      </c>
      <c r="N459">
        <f>IF(AND(K459=1,M459="Y"),"Lower Risk",IF(AND(K459=0,M459="N"),"High Risk","Medium Risk"))</f>
        <v/>
      </c>
    </row>
    <row r="460">
      <c r="A460" t="inlineStr">
        <is>
          <t>LP002472</t>
        </is>
      </c>
      <c r="B460" t="inlineStr">
        <is>
          <t>Male</t>
        </is>
      </c>
      <c r="C460" t="inlineStr">
        <is>
          <t>No</t>
        </is>
      </c>
      <c r="D460" t="n">
        <v>2</v>
      </c>
      <c r="E460" t="inlineStr">
        <is>
          <t>Graduate</t>
        </is>
      </c>
      <c r="F460" t="inlineStr">
        <is>
          <t>No</t>
        </is>
      </c>
      <c r="G460" t="n">
        <v>4354</v>
      </c>
      <c r="H460" t="n">
        <v>0</v>
      </c>
      <c r="I460" t="n">
        <v>136</v>
      </c>
      <c r="J460" t="n">
        <v>360</v>
      </c>
      <c r="K460" t="n">
        <v>1</v>
      </c>
      <c r="L460" t="inlineStr">
        <is>
          <t>Rural</t>
        </is>
      </c>
      <c r="M460" t="inlineStr">
        <is>
          <t>Y</t>
        </is>
      </c>
      <c r="N460">
        <f>IF(AND(K460=1,M460="Y"),"Lower Risk",IF(AND(K460=0,M460="N"),"High Risk","Medium Risk"))</f>
        <v/>
      </c>
    </row>
    <row r="461">
      <c r="A461" t="inlineStr">
        <is>
          <t>LP002473</t>
        </is>
      </c>
      <c r="B461" t="inlineStr">
        <is>
          <t>Male</t>
        </is>
      </c>
      <c r="C461" t="inlineStr">
        <is>
          <t>Yes</t>
        </is>
      </c>
      <c r="D461" t="n">
        <v>0</v>
      </c>
      <c r="E461" t="inlineStr">
        <is>
          <t>Graduate</t>
        </is>
      </c>
      <c r="F461" t="inlineStr">
        <is>
          <t>No</t>
        </is>
      </c>
      <c r="G461" t="n">
        <v>8334</v>
      </c>
      <c r="H461" t="n">
        <v>0</v>
      </c>
      <c r="I461" t="n">
        <v>160</v>
      </c>
      <c r="J461" t="n">
        <v>360</v>
      </c>
      <c r="K461" t="n">
        <v>1</v>
      </c>
      <c r="L461" t="inlineStr">
        <is>
          <t>Semiurban</t>
        </is>
      </c>
      <c r="M461" t="inlineStr">
        <is>
          <t>N</t>
        </is>
      </c>
      <c r="N461">
        <f>IF(AND(K461=1,M461="Y"),"Lower Risk",IF(AND(K461=0,M461="N"),"High Risk","Medium Risk"))</f>
        <v/>
      </c>
    </row>
    <row r="462">
      <c r="A462" t="inlineStr">
        <is>
          <t>LP002478</t>
        </is>
      </c>
      <c r="C462" t="inlineStr">
        <is>
          <t>Yes</t>
        </is>
      </c>
      <c r="D462" t="n">
        <v>0</v>
      </c>
      <c r="E462" t="inlineStr">
        <is>
          <t>Graduate</t>
        </is>
      </c>
      <c r="F462" t="inlineStr">
        <is>
          <t>Yes</t>
        </is>
      </c>
      <c r="G462" t="n">
        <v>2083</v>
      </c>
      <c r="H462" t="n">
        <v>4083</v>
      </c>
      <c r="I462" t="n">
        <v>160</v>
      </c>
      <c r="J462" t="n">
        <v>360</v>
      </c>
      <c r="L462" t="inlineStr">
        <is>
          <t>Semiurban</t>
        </is>
      </c>
      <c r="M462" t="inlineStr">
        <is>
          <t>Y</t>
        </is>
      </c>
      <c r="N462">
        <f>IF(AND(K462=1,M462="Y"),"Lower Risk",IF(AND(K462=0,M462="N"),"High Risk","Medium Risk"))</f>
        <v/>
      </c>
    </row>
    <row r="463">
      <c r="A463" t="inlineStr">
        <is>
          <t>LP002484</t>
        </is>
      </c>
      <c r="B463" t="inlineStr">
        <is>
          <t>Male</t>
        </is>
      </c>
      <c r="C463" t="inlineStr">
        <is>
          <t>Yes</t>
        </is>
      </c>
      <c r="D463" t="inlineStr">
        <is>
          <t>3+</t>
        </is>
      </c>
      <c r="E463" t="inlineStr">
        <is>
          <t>Graduate</t>
        </is>
      </c>
      <c r="F463" t="inlineStr">
        <is>
          <t>No</t>
        </is>
      </c>
      <c r="G463" t="n">
        <v>7740</v>
      </c>
      <c r="H463" t="n">
        <v>0</v>
      </c>
      <c r="I463" t="n">
        <v>128</v>
      </c>
      <c r="J463" t="n">
        <v>180</v>
      </c>
      <c r="K463" t="n">
        <v>1</v>
      </c>
      <c r="L463" t="inlineStr">
        <is>
          <t>Urban</t>
        </is>
      </c>
      <c r="M463" t="inlineStr">
        <is>
          <t>Y</t>
        </is>
      </c>
      <c r="N463">
        <f>IF(AND(K463=1,M463="Y"),"Lower Risk",IF(AND(K463=0,M463="N"),"High Risk","Medium Risk"))</f>
        <v/>
      </c>
    </row>
    <row r="464">
      <c r="A464" t="inlineStr">
        <is>
          <t>LP002487</t>
        </is>
      </c>
      <c r="B464" t="inlineStr">
        <is>
          <t>Male</t>
        </is>
      </c>
      <c r="C464" t="inlineStr">
        <is>
          <t>Yes</t>
        </is>
      </c>
      <c r="D464" t="n">
        <v>0</v>
      </c>
      <c r="E464" t="inlineStr">
        <is>
          <t>Graduate</t>
        </is>
      </c>
      <c r="F464" t="inlineStr">
        <is>
          <t>No</t>
        </is>
      </c>
      <c r="G464" t="n">
        <v>3015</v>
      </c>
      <c r="H464" t="n">
        <v>2188</v>
      </c>
      <c r="I464" t="n">
        <v>153</v>
      </c>
      <c r="J464" t="n">
        <v>360</v>
      </c>
      <c r="K464" t="n">
        <v>1</v>
      </c>
      <c r="L464" t="inlineStr">
        <is>
          <t>Rural</t>
        </is>
      </c>
      <c r="M464" t="inlineStr">
        <is>
          <t>Y</t>
        </is>
      </c>
      <c r="N464">
        <f>IF(AND(K464=1,M464="Y"),"Lower Risk",IF(AND(K464=0,M464="N"),"High Risk","Medium Risk"))</f>
        <v/>
      </c>
    </row>
    <row r="465">
      <c r="A465" t="inlineStr">
        <is>
          <t>LP002489</t>
        </is>
      </c>
      <c r="B465" t="inlineStr">
        <is>
          <t>Female</t>
        </is>
      </c>
      <c r="C465" t="inlineStr">
        <is>
          <t>No</t>
        </is>
      </c>
      <c r="D465" t="n">
        <v>1</v>
      </c>
      <c r="E465" t="inlineStr">
        <is>
          <t>Not Graduate</t>
        </is>
      </c>
      <c r="G465" t="n">
        <v>5191</v>
      </c>
      <c r="H465" t="n">
        <v>0</v>
      </c>
      <c r="I465" t="n">
        <v>132</v>
      </c>
      <c r="J465" t="n">
        <v>360</v>
      </c>
      <c r="K465" t="n">
        <v>1</v>
      </c>
      <c r="L465" t="inlineStr">
        <is>
          <t>Semiurban</t>
        </is>
      </c>
      <c r="M465" t="inlineStr">
        <is>
          <t>Y</t>
        </is>
      </c>
      <c r="N465">
        <f>IF(AND(K465=1,M465="Y"),"Lower Risk",IF(AND(K465=0,M465="N"),"High Risk","Medium Risk"))</f>
        <v/>
      </c>
    </row>
    <row r="466">
      <c r="A466" t="inlineStr">
        <is>
          <t>LP002493</t>
        </is>
      </c>
      <c r="B466" t="inlineStr">
        <is>
          <t>Male</t>
        </is>
      </c>
      <c r="C466" t="inlineStr">
        <is>
          <t>No</t>
        </is>
      </c>
      <c r="D466" t="n">
        <v>0</v>
      </c>
      <c r="E466" t="inlineStr">
        <is>
          <t>Graduate</t>
        </is>
      </c>
      <c r="F466" t="inlineStr">
        <is>
          <t>No</t>
        </is>
      </c>
      <c r="G466" t="n">
        <v>4166</v>
      </c>
      <c r="H466" t="n">
        <v>0</v>
      </c>
      <c r="I466" t="n">
        <v>98</v>
      </c>
      <c r="J466" t="n">
        <v>360</v>
      </c>
      <c r="K466" t="n">
        <v>0</v>
      </c>
      <c r="L466" t="inlineStr">
        <is>
          <t>Semiurban</t>
        </is>
      </c>
      <c r="M466" t="inlineStr">
        <is>
          <t>N</t>
        </is>
      </c>
      <c r="N466">
        <f>IF(AND(K466=1,M466="Y"),"Lower Risk",IF(AND(K466=0,M466="N"),"High Risk","Medium Risk"))</f>
        <v/>
      </c>
    </row>
    <row r="467">
      <c r="A467" t="inlineStr">
        <is>
          <t>LP002494</t>
        </is>
      </c>
      <c r="B467" t="inlineStr">
        <is>
          <t>Male</t>
        </is>
      </c>
      <c r="C467" t="inlineStr">
        <is>
          <t>No</t>
        </is>
      </c>
      <c r="D467" t="n">
        <v>0</v>
      </c>
      <c r="E467" t="inlineStr">
        <is>
          <t>Graduate</t>
        </is>
      </c>
      <c r="F467" t="inlineStr">
        <is>
          <t>No</t>
        </is>
      </c>
      <c r="G467" t="n">
        <v>6000</v>
      </c>
      <c r="H467" t="n">
        <v>0</v>
      </c>
      <c r="I467" t="n">
        <v>140</v>
      </c>
      <c r="J467" t="n">
        <v>360</v>
      </c>
      <c r="K467" t="n">
        <v>1</v>
      </c>
      <c r="L467" t="inlineStr">
        <is>
          <t>Rural</t>
        </is>
      </c>
      <c r="M467" t="inlineStr">
        <is>
          <t>Y</t>
        </is>
      </c>
      <c r="N467">
        <f>IF(AND(K467=1,M467="Y"),"Lower Risk",IF(AND(K467=0,M467="N"),"High Risk","Medium Risk"))</f>
        <v/>
      </c>
    </row>
    <row r="468">
      <c r="A468" t="inlineStr">
        <is>
          <t>LP002500</t>
        </is>
      </c>
      <c r="B468" t="inlineStr">
        <is>
          <t>Male</t>
        </is>
      </c>
      <c r="C468" t="inlineStr">
        <is>
          <t>Yes</t>
        </is>
      </c>
      <c r="D468" t="inlineStr">
        <is>
          <t>3+</t>
        </is>
      </c>
      <c r="E468" t="inlineStr">
        <is>
          <t>Not Graduate</t>
        </is>
      </c>
      <c r="F468" t="inlineStr">
        <is>
          <t>No</t>
        </is>
      </c>
      <c r="G468" t="n">
        <v>2947</v>
      </c>
      <c r="H468" t="n">
        <v>1664</v>
      </c>
      <c r="I468" t="n">
        <v>70</v>
      </c>
      <c r="J468" t="n">
        <v>180</v>
      </c>
      <c r="K468" t="n">
        <v>0</v>
      </c>
      <c r="L468" t="inlineStr">
        <is>
          <t>Urban</t>
        </is>
      </c>
      <c r="M468" t="inlineStr">
        <is>
          <t>N</t>
        </is>
      </c>
      <c r="N468">
        <f>IF(AND(K468=1,M468="Y"),"Lower Risk",IF(AND(K468=0,M468="N"),"High Risk","Medium Risk"))</f>
        <v/>
      </c>
    </row>
    <row r="469">
      <c r="A469" t="inlineStr">
        <is>
          <t>LP002501</t>
        </is>
      </c>
      <c r="C469" t="inlineStr">
        <is>
          <t>Yes</t>
        </is>
      </c>
      <c r="D469" t="n">
        <v>0</v>
      </c>
      <c r="E469" t="inlineStr">
        <is>
          <t>Graduate</t>
        </is>
      </c>
      <c r="F469" t="inlineStr">
        <is>
          <t>No</t>
        </is>
      </c>
      <c r="G469" t="n">
        <v>16692</v>
      </c>
      <c r="H469" t="n">
        <v>0</v>
      </c>
      <c r="I469" t="n">
        <v>110</v>
      </c>
      <c r="J469" t="n">
        <v>360</v>
      </c>
      <c r="K469" t="n">
        <v>1</v>
      </c>
      <c r="L469" t="inlineStr">
        <is>
          <t>Semiurban</t>
        </is>
      </c>
      <c r="M469" t="inlineStr">
        <is>
          <t>Y</t>
        </is>
      </c>
      <c r="N469">
        <f>IF(AND(K469=1,M469="Y"),"Lower Risk",IF(AND(K469=0,M469="N"),"High Risk","Medium Risk"))</f>
        <v/>
      </c>
    </row>
    <row r="470">
      <c r="A470" t="inlineStr">
        <is>
          <t>LP002502</t>
        </is>
      </c>
      <c r="B470" t="inlineStr">
        <is>
          <t>Female</t>
        </is>
      </c>
      <c r="C470" t="inlineStr">
        <is>
          <t>Yes</t>
        </is>
      </c>
      <c r="D470" t="n">
        <v>2</v>
      </c>
      <c r="E470" t="inlineStr">
        <is>
          <t>Not Graduate</t>
        </is>
      </c>
      <c r="G470" t="n">
        <v>210</v>
      </c>
      <c r="H470" t="n">
        <v>2917</v>
      </c>
      <c r="I470" t="n">
        <v>98</v>
      </c>
      <c r="J470" t="n">
        <v>360</v>
      </c>
      <c r="K470" t="n">
        <v>1</v>
      </c>
      <c r="L470" t="inlineStr">
        <is>
          <t>Semiurban</t>
        </is>
      </c>
      <c r="M470" t="inlineStr">
        <is>
          <t>Y</t>
        </is>
      </c>
      <c r="N470">
        <f>IF(AND(K470=1,M470="Y"),"Lower Risk",IF(AND(K470=0,M470="N"),"High Risk","Medium Risk"))</f>
        <v/>
      </c>
    </row>
    <row r="471">
      <c r="A471" t="inlineStr">
        <is>
          <t>LP002505</t>
        </is>
      </c>
      <c r="B471" t="inlineStr">
        <is>
          <t>Male</t>
        </is>
      </c>
      <c r="C471" t="inlineStr">
        <is>
          <t>Yes</t>
        </is>
      </c>
      <c r="D471" t="n">
        <v>0</v>
      </c>
      <c r="E471" t="inlineStr">
        <is>
          <t>Graduate</t>
        </is>
      </c>
      <c r="F471" t="inlineStr">
        <is>
          <t>No</t>
        </is>
      </c>
      <c r="G471" t="n">
        <v>4333</v>
      </c>
      <c r="H471" t="n">
        <v>2451</v>
      </c>
      <c r="I471" t="n">
        <v>110</v>
      </c>
      <c r="J471" t="n">
        <v>360</v>
      </c>
      <c r="K471" t="n">
        <v>1</v>
      </c>
      <c r="L471" t="inlineStr">
        <is>
          <t>Urban</t>
        </is>
      </c>
      <c r="M471" t="inlineStr">
        <is>
          <t>N</t>
        </is>
      </c>
      <c r="N471">
        <f>IF(AND(K471=1,M471="Y"),"Lower Risk",IF(AND(K471=0,M471="N"),"High Risk","Medium Risk"))</f>
        <v/>
      </c>
    </row>
    <row r="472">
      <c r="A472" t="inlineStr">
        <is>
          <t>LP002515</t>
        </is>
      </c>
      <c r="B472" t="inlineStr">
        <is>
          <t>Male</t>
        </is>
      </c>
      <c r="C472" t="inlineStr">
        <is>
          <t>Yes</t>
        </is>
      </c>
      <c r="D472" t="n">
        <v>1</v>
      </c>
      <c r="E472" t="inlineStr">
        <is>
          <t>Graduate</t>
        </is>
      </c>
      <c r="F472" t="inlineStr">
        <is>
          <t>Yes</t>
        </is>
      </c>
      <c r="G472" t="n">
        <v>3450</v>
      </c>
      <c r="H472" t="n">
        <v>2079</v>
      </c>
      <c r="I472" t="n">
        <v>162</v>
      </c>
      <c r="J472" t="n">
        <v>360</v>
      </c>
      <c r="K472" t="n">
        <v>1</v>
      </c>
      <c r="L472" t="inlineStr">
        <is>
          <t>Semiurban</t>
        </is>
      </c>
      <c r="M472" t="inlineStr">
        <is>
          <t>Y</t>
        </is>
      </c>
      <c r="N472">
        <f>IF(AND(K472=1,M472="Y"),"Lower Risk",IF(AND(K472=0,M472="N"),"High Risk","Medium Risk"))</f>
        <v/>
      </c>
    </row>
    <row r="473">
      <c r="A473" t="inlineStr">
        <is>
          <t>LP002517</t>
        </is>
      </c>
      <c r="B473" t="inlineStr">
        <is>
          <t>Male</t>
        </is>
      </c>
      <c r="C473" t="inlineStr">
        <is>
          <t>Yes</t>
        </is>
      </c>
      <c r="D473" t="n">
        <v>1</v>
      </c>
      <c r="E473" t="inlineStr">
        <is>
          <t>Not Graduate</t>
        </is>
      </c>
      <c r="F473" t="inlineStr">
        <is>
          <t>No</t>
        </is>
      </c>
      <c r="G473" t="n">
        <v>2653</v>
      </c>
      <c r="H473" t="n">
        <v>1500</v>
      </c>
      <c r="I473" t="n">
        <v>113</v>
      </c>
      <c r="J473" t="n">
        <v>180</v>
      </c>
      <c r="K473" t="n">
        <v>0</v>
      </c>
      <c r="L473" t="inlineStr">
        <is>
          <t>Rural</t>
        </is>
      </c>
      <c r="M473" t="inlineStr">
        <is>
          <t>N</t>
        </is>
      </c>
      <c r="N473">
        <f>IF(AND(K473=1,M473="Y"),"Lower Risk",IF(AND(K473=0,M473="N"),"High Risk","Medium Risk"))</f>
        <v/>
      </c>
    </row>
    <row r="474">
      <c r="A474" t="inlineStr">
        <is>
          <t>LP002519</t>
        </is>
      </c>
      <c r="B474" t="inlineStr">
        <is>
          <t>Male</t>
        </is>
      </c>
      <c r="C474" t="inlineStr">
        <is>
          <t>Yes</t>
        </is>
      </c>
      <c r="D474" t="inlineStr">
        <is>
          <t>3+</t>
        </is>
      </c>
      <c r="E474" t="inlineStr">
        <is>
          <t>Graduate</t>
        </is>
      </c>
      <c r="F474" t="inlineStr">
        <is>
          <t>No</t>
        </is>
      </c>
      <c r="G474" t="n">
        <v>4691</v>
      </c>
      <c r="H474" t="n">
        <v>0</v>
      </c>
      <c r="I474" t="n">
        <v>100</v>
      </c>
      <c r="J474" t="n">
        <v>360</v>
      </c>
      <c r="K474" t="n">
        <v>1</v>
      </c>
      <c r="L474" t="inlineStr">
        <is>
          <t>Semiurban</t>
        </is>
      </c>
      <c r="M474" t="inlineStr">
        <is>
          <t>Y</t>
        </is>
      </c>
      <c r="N474">
        <f>IF(AND(K474=1,M474="Y"),"Lower Risk",IF(AND(K474=0,M474="N"),"High Risk","Medium Risk"))</f>
        <v/>
      </c>
    </row>
    <row r="475">
      <c r="A475" t="inlineStr">
        <is>
          <t>LP002522</t>
        </is>
      </c>
      <c r="B475" t="inlineStr">
        <is>
          <t>Female</t>
        </is>
      </c>
      <c r="C475" t="inlineStr">
        <is>
          <t>No</t>
        </is>
      </c>
      <c r="D475" t="n">
        <v>0</v>
      </c>
      <c r="E475" t="inlineStr">
        <is>
          <t>Graduate</t>
        </is>
      </c>
      <c r="F475" t="inlineStr">
        <is>
          <t>Yes</t>
        </is>
      </c>
      <c r="G475" t="n">
        <v>2500</v>
      </c>
      <c r="H475" t="n">
        <v>0</v>
      </c>
      <c r="I475" t="n">
        <v>93</v>
      </c>
      <c r="J475" t="n">
        <v>360</v>
      </c>
      <c r="L475" t="inlineStr">
        <is>
          <t>Urban</t>
        </is>
      </c>
      <c r="M475" t="inlineStr">
        <is>
          <t>Y</t>
        </is>
      </c>
      <c r="N475">
        <f>IF(AND(K475=1,M475="Y"),"Lower Risk",IF(AND(K475=0,M475="N"),"High Risk","Medium Risk"))</f>
        <v/>
      </c>
    </row>
    <row r="476">
      <c r="A476" t="inlineStr">
        <is>
          <t>LP002524</t>
        </is>
      </c>
      <c r="B476" t="inlineStr">
        <is>
          <t>Male</t>
        </is>
      </c>
      <c r="C476" t="inlineStr">
        <is>
          <t>No</t>
        </is>
      </c>
      <c r="D476" t="n">
        <v>2</v>
      </c>
      <c r="E476" t="inlineStr">
        <is>
          <t>Graduate</t>
        </is>
      </c>
      <c r="F476" t="inlineStr">
        <is>
          <t>No</t>
        </is>
      </c>
      <c r="G476" t="n">
        <v>5532</v>
      </c>
      <c r="H476" t="n">
        <v>4648</v>
      </c>
      <c r="I476" t="n">
        <v>162</v>
      </c>
      <c r="J476" t="n">
        <v>360</v>
      </c>
      <c r="K476" t="n">
        <v>1</v>
      </c>
      <c r="L476" t="inlineStr">
        <is>
          <t>Rural</t>
        </is>
      </c>
      <c r="M476" t="inlineStr">
        <is>
          <t>Y</t>
        </is>
      </c>
      <c r="N476">
        <f>IF(AND(K476=1,M476="Y"),"Lower Risk",IF(AND(K476=0,M476="N"),"High Risk","Medium Risk"))</f>
        <v/>
      </c>
    </row>
    <row r="477">
      <c r="A477" t="inlineStr">
        <is>
          <t>LP002527</t>
        </is>
      </c>
      <c r="B477" t="inlineStr">
        <is>
          <t>Male</t>
        </is>
      </c>
      <c r="C477" t="inlineStr">
        <is>
          <t>Yes</t>
        </is>
      </c>
      <c r="D477" t="n">
        <v>2</v>
      </c>
      <c r="E477" t="inlineStr">
        <is>
          <t>Graduate</t>
        </is>
      </c>
      <c r="F477" t="inlineStr">
        <is>
          <t>Yes</t>
        </is>
      </c>
      <c r="G477" t="n">
        <v>16525</v>
      </c>
      <c r="H477" t="n">
        <v>1014</v>
      </c>
      <c r="I477" t="n">
        <v>150</v>
      </c>
      <c r="J477" t="n">
        <v>360</v>
      </c>
      <c r="K477" t="n">
        <v>1</v>
      </c>
      <c r="L477" t="inlineStr">
        <is>
          <t>Rural</t>
        </is>
      </c>
      <c r="M477" t="inlineStr">
        <is>
          <t>Y</t>
        </is>
      </c>
      <c r="N477">
        <f>IF(AND(K477=1,M477="Y"),"Lower Risk",IF(AND(K477=0,M477="N"),"High Risk","Medium Risk"))</f>
        <v/>
      </c>
    </row>
    <row r="478">
      <c r="A478" t="inlineStr">
        <is>
          <t>LP002529</t>
        </is>
      </c>
      <c r="B478" t="inlineStr">
        <is>
          <t>Male</t>
        </is>
      </c>
      <c r="C478" t="inlineStr">
        <is>
          <t>Yes</t>
        </is>
      </c>
      <c r="D478" t="n">
        <v>2</v>
      </c>
      <c r="E478" t="inlineStr">
        <is>
          <t>Graduate</t>
        </is>
      </c>
      <c r="F478" t="inlineStr">
        <is>
          <t>No</t>
        </is>
      </c>
      <c r="G478" t="n">
        <v>6700</v>
      </c>
      <c r="H478" t="n">
        <v>1750</v>
      </c>
      <c r="I478" t="n">
        <v>230</v>
      </c>
      <c r="J478" t="n">
        <v>300</v>
      </c>
      <c r="K478" t="n">
        <v>1</v>
      </c>
      <c r="L478" t="inlineStr">
        <is>
          <t>Semiurban</t>
        </is>
      </c>
      <c r="M478" t="inlineStr">
        <is>
          <t>Y</t>
        </is>
      </c>
      <c r="N478">
        <f>IF(AND(K478=1,M478="Y"),"Lower Risk",IF(AND(K478=0,M478="N"),"High Risk","Medium Risk"))</f>
        <v/>
      </c>
    </row>
    <row r="479">
      <c r="A479" t="inlineStr">
        <is>
          <t>LP002530</t>
        </is>
      </c>
      <c r="C479" t="inlineStr">
        <is>
          <t>Yes</t>
        </is>
      </c>
      <c r="D479" t="n">
        <v>2</v>
      </c>
      <c r="E479" t="inlineStr">
        <is>
          <t>Graduate</t>
        </is>
      </c>
      <c r="F479" t="inlineStr">
        <is>
          <t>No</t>
        </is>
      </c>
      <c r="G479" t="n">
        <v>2873</v>
      </c>
      <c r="H479" t="n">
        <v>1872</v>
      </c>
      <c r="I479" t="n">
        <v>132</v>
      </c>
      <c r="J479" t="n">
        <v>360</v>
      </c>
      <c r="K479" t="n">
        <v>0</v>
      </c>
      <c r="L479" t="inlineStr">
        <is>
          <t>Semiurban</t>
        </is>
      </c>
      <c r="M479" t="inlineStr">
        <is>
          <t>N</t>
        </is>
      </c>
      <c r="N479">
        <f>IF(AND(K479=1,M479="Y"),"Lower Risk",IF(AND(K479=0,M479="N"),"High Risk","Medium Risk"))</f>
        <v/>
      </c>
    </row>
    <row r="480">
      <c r="A480" t="inlineStr">
        <is>
          <t>LP002531</t>
        </is>
      </c>
      <c r="B480" t="inlineStr">
        <is>
          <t>Male</t>
        </is>
      </c>
      <c r="C480" t="inlineStr">
        <is>
          <t>Yes</t>
        </is>
      </c>
      <c r="D480" t="n">
        <v>1</v>
      </c>
      <c r="E480" t="inlineStr">
        <is>
          <t>Graduate</t>
        </is>
      </c>
      <c r="F480" t="inlineStr">
        <is>
          <t>Yes</t>
        </is>
      </c>
      <c r="G480" t="n">
        <v>16667</v>
      </c>
      <c r="H480" t="n">
        <v>2250</v>
      </c>
      <c r="I480" t="n">
        <v>86</v>
      </c>
      <c r="J480" t="n">
        <v>360</v>
      </c>
      <c r="K480" t="n">
        <v>1</v>
      </c>
      <c r="L480" t="inlineStr">
        <is>
          <t>Semiurban</t>
        </is>
      </c>
      <c r="M480" t="inlineStr">
        <is>
          <t>Y</t>
        </is>
      </c>
      <c r="N480">
        <f>IF(AND(K480=1,M480="Y"),"Lower Risk",IF(AND(K480=0,M480="N"),"High Risk","Medium Risk"))</f>
        <v/>
      </c>
    </row>
    <row r="481">
      <c r="A481" t="inlineStr">
        <is>
          <t>LP002533</t>
        </is>
      </c>
      <c r="B481" t="inlineStr">
        <is>
          <t>Male</t>
        </is>
      </c>
      <c r="C481" t="inlineStr">
        <is>
          <t>Yes</t>
        </is>
      </c>
      <c r="D481" t="n">
        <v>2</v>
      </c>
      <c r="E481" t="inlineStr">
        <is>
          <t>Graduate</t>
        </is>
      </c>
      <c r="F481" t="inlineStr">
        <is>
          <t>No</t>
        </is>
      </c>
      <c r="G481" t="n">
        <v>2947</v>
      </c>
      <c r="H481" t="n">
        <v>1603</v>
      </c>
      <c r="J481" t="n">
        <v>360</v>
      </c>
      <c r="K481" t="n">
        <v>1</v>
      </c>
      <c r="L481" t="inlineStr">
        <is>
          <t>Urban</t>
        </is>
      </c>
      <c r="M481" t="inlineStr">
        <is>
          <t>N</t>
        </is>
      </c>
      <c r="N481">
        <f>IF(AND(K481=1,M481="Y"),"Lower Risk",IF(AND(K481=0,M481="N"),"High Risk","Medium Risk"))</f>
        <v/>
      </c>
    </row>
    <row r="482">
      <c r="A482" t="inlineStr">
        <is>
          <t>LP002534</t>
        </is>
      </c>
      <c r="B482" t="inlineStr">
        <is>
          <t>Female</t>
        </is>
      </c>
      <c r="C482" t="inlineStr">
        <is>
          <t>No</t>
        </is>
      </c>
      <c r="D482" t="n">
        <v>0</v>
      </c>
      <c r="E482" t="inlineStr">
        <is>
          <t>Not Graduate</t>
        </is>
      </c>
      <c r="F482" t="inlineStr">
        <is>
          <t>No</t>
        </is>
      </c>
      <c r="G482" t="n">
        <v>4350</v>
      </c>
      <c r="H482" t="n">
        <v>0</v>
      </c>
      <c r="I482" t="n">
        <v>154</v>
      </c>
      <c r="J482" t="n">
        <v>360</v>
      </c>
      <c r="K482" t="n">
        <v>1</v>
      </c>
      <c r="L482" t="inlineStr">
        <is>
          <t>Rural</t>
        </is>
      </c>
      <c r="M482" t="inlineStr">
        <is>
          <t>Y</t>
        </is>
      </c>
      <c r="N482">
        <f>IF(AND(K482=1,M482="Y"),"Lower Risk",IF(AND(K482=0,M482="N"),"High Risk","Medium Risk"))</f>
        <v/>
      </c>
    </row>
    <row r="483">
      <c r="A483" t="inlineStr">
        <is>
          <t>LP002536</t>
        </is>
      </c>
      <c r="B483" t="inlineStr">
        <is>
          <t>Male</t>
        </is>
      </c>
      <c r="C483" t="inlineStr">
        <is>
          <t>Yes</t>
        </is>
      </c>
      <c r="D483" t="inlineStr">
        <is>
          <t>3+</t>
        </is>
      </c>
      <c r="E483" t="inlineStr">
        <is>
          <t>Not Graduate</t>
        </is>
      </c>
      <c r="F483" t="inlineStr">
        <is>
          <t>No</t>
        </is>
      </c>
      <c r="G483" t="n">
        <v>3095</v>
      </c>
      <c r="H483" t="n">
        <v>0</v>
      </c>
      <c r="I483" t="n">
        <v>113</v>
      </c>
      <c r="J483" t="n">
        <v>360</v>
      </c>
      <c r="K483" t="n">
        <v>1</v>
      </c>
      <c r="L483" t="inlineStr">
        <is>
          <t>Rural</t>
        </is>
      </c>
      <c r="M483" t="inlineStr">
        <is>
          <t>Y</t>
        </is>
      </c>
      <c r="N483">
        <f>IF(AND(K483=1,M483="Y"),"Lower Risk",IF(AND(K483=0,M483="N"),"High Risk","Medium Risk"))</f>
        <v/>
      </c>
    </row>
    <row r="484">
      <c r="A484" t="inlineStr">
        <is>
          <t>LP002537</t>
        </is>
      </c>
      <c r="B484" t="inlineStr">
        <is>
          <t>Male</t>
        </is>
      </c>
      <c r="C484" t="inlineStr">
        <is>
          <t>Yes</t>
        </is>
      </c>
      <c r="D484" t="n">
        <v>0</v>
      </c>
      <c r="E484" t="inlineStr">
        <is>
          <t>Graduate</t>
        </is>
      </c>
      <c r="F484" t="inlineStr">
        <is>
          <t>No</t>
        </is>
      </c>
      <c r="G484" t="n">
        <v>2083</v>
      </c>
      <c r="H484" t="n">
        <v>3150</v>
      </c>
      <c r="I484" t="n">
        <v>128</v>
      </c>
      <c r="J484" t="n">
        <v>360</v>
      </c>
      <c r="K484" t="n">
        <v>1</v>
      </c>
      <c r="L484" t="inlineStr">
        <is>
          <t>Semiurban</t>
        </is>
      </c>
      <c r="M484" t="inlineStr">
        <is>
          <t>Y</t>
        </is>
      </c>
      <c r="N484">
        <f>IF(AND(K484=1,M484="Y"),"Lower Risk",IF(AND(K484=0,M484="N"),"High Risk","Medium Risk"))</f>
        <v/>
      </c>
    </row>
    <row r="485">
      <c r="A485" t="inlineStr">
        <is>
          <t>LP002541</t>
        </is>
      </c>
      <c r="B485" t="inlineStr">
        <is>
          <t>Male</t>
        </is>
      </c>
      <c r="C485" t="inlineStr">
        <is>
          <t>Yes</t>
        </is>
      </c>
      <c r="D485" t="n">
        <v>0</v>
      </c>
      <c r="E485" t="inlineStr">
        <is>
          <t>Graduate</t>
        </is>
      </c>
      <c r="F485" t="inlineStr">
        <is>
          <t>No</t>
        </is>
      </c>
      <c r="G485" t="n">
        <v>10833</v>
      </c>
      <c r="H485" t="n">
        <v>0</v>
      </c>
      <c r="I485" t="n">
        <v>234</v>
      </c>
      <c r="J485" t="n">
        <v>360</v>
      </c>
      <c r="K485" t="n">
        <v>1</v>
      </c>
      <c r="L485" t="inlineStr">
        <is>
          <t>Semiurban</t>
        </is>
      </c>
      <c r="M485" t="inlineStr">
        <is>
          <t>Y</t>
        </is>
      </c>
      <c r="N485">
        <f>IF(AND(K485=1,M485="Y"),"Lower Risk",IF(AND(K485=0,M485="N"),"High Risk","Medium Risk"))</f>
        <v/>
      </c>
    </row>
    <row r="486">
      <c r="A486" t="inlineStr">
        <is>
          <t>LP002543</t>
        </is>
      </c>
      <c r="B486" t="inlineStr">
        <is>
          <t>Male</t>
        </is>
      </c>
      <c r="C486" t="inlineStr">
        <is>
          <t>Yes</t>
        </is>
      </c>
      <c r="D486" t="n">
        <v>2</v>
      </c>
      <c r="E486" t="inlineStr">
        <is>
          <t>Graduate</t>
        </is>
      </c>
      <c r="F486" t="inlineStr">
        <is>
          <t>No</t>
        </is>
      </c>
      <c r="G486" t="n">
        <v>8333</v>
      </c>
      <c r="H486" t="n">
        <v>0</v>
      </c>
      <c r="I486" t="n">
        <v>246</v>
      </c>
      <c r="J486" t="n">
        <v>360</v>
      </c>
      <c r="K486" t="n">
        <v>1</v>
      </c>
      <c r="L486" t="inlineStr">
        <is>
          <t>Semiurban</t>
        </is>
      </c>
      <c r="M486" t="inlineStr">
        <is>
          <t>Y</t>
        </is>
      </c>
      <c r="N486">
        <f>IF(AND(K486=1,M486="Y"),"Lower Risk",IF(AND(K486=0,M486="N"),"High Risk","Medium Risk"))</f>
        <v/>
      </c>
    </row>
    <row r="487">
      <c r="A487" t="inlineStr">
        <is>
          <t>LP002544</t>
        </is>
      </c>
      <c r="B487" t="inlineStr">
        <is>
          <t>Male</t>
        </is>
      </c>
      <c r="C487" t="inlineStr">
        <is>
          <t>Yes</t>
        </is>
      </c>
      <c r="D487" t="n">
        <v>1</v>
      </c>
      <c r="E487" t="inlineStr">
        <is>
          <t>Not Graduate</t>
        </is>
      </c>
      <c r="F487" t="inlineStr">
        <is>
          <t>No</t>
        </is>
      </c>
      <c r="G487" t="n">
        <v>1958</v>
      </c>
      <c r="H487" t="n">
        <v>2436</v>
      </c>
      <c r="I487" t="n">
        <v>131</v>
      </c>
      <c r="J487" t="n">
        <v>360</v>
      </c>
      <c r="K487" t="n">
        <v>1</v>
      </c>
      <c r="L487" t="inlineStr">
        <is>
          <t>Rural</t>
        </is>
      </c>
      <c r="M487" t="inlineStr">
        <is>
          <t>Y</t>
        </is>
      </c>
      <c r="N487">
        <f>IF(AND(K487=1,M487="Y"),"Lower Risk",IF(AND(K487=0,M487="N"),"High Risk","Medium Risk"))</f>
        <v/>
      </c>
    </row>
    <row r="488">
      <c r="A488" t="inlineStr">
        <is>
          <t>LP002545</t>
        </is>
      </c>
      <c r="B488" t="inlineStr">
        <is>
          <t>Male</t>
        </is>
      </c>
      <c r="C488" t="inlineStr">
        <is>
          <t>No</t>
        </is>
      </c>
      <c r="D488" t="n">
        <v>2</v>
      </c>
      <c r="E488" t="inlineStr">
        <is>
          <t>Graduate</t>
        </is>
      </c>
      <c r="F488" t="inlineStr">
        <is>
          <t>No</t>
        </is>
      </c>
      <c r="G488" t="n">
        <v>3547</v>
      </c>
      <c r="H488" t="n">
        <v>0</v>
      </c>
      <c r="I488" t="n">
        <v>80</v>
      </c>
      <c r="J488" t="n">
        <v>360</v>
      </c>
      <c r="K488" t="n">
        <v>0</v>
      </c>
      <c r="L488" t="inlineStr">
        <is>
          <t>Rural</t>
        </is>
      </c>
      <c r="M488" t="inlineStr">
        <is>
          <t>N</t>
        </is>
      </c>
      <c r="N488">
        <f>IF(AND(K488=1,M488="Y"),"Lower Risk",IF(AND(K488=0,M488="N"),"High Risk","Medium Risk"))</f>
        <v/>
      </c>
    </row>
    <row r="489">
      <c r="A489" t="inlineStr">
        <is>
          <t>LP002547</t>
        </is>
      </c>
      <c r="B489" t="inlineStr">
        <is>
          <t>Male</t>
        </is>
      </c>
      <c r="C489" t="inlineStr">
        <is>
          <t>Yes</t>
        </is>
      </c>
      <c r="D489" t="n">
        <v>1</v>
      </c>
      <c r="E489" t="inlineStr">
        <is>
          <t>Graduate</t>
        </is>
      </c>
      <c r="F489" t="inlineStr">
        <is>
          <t>No</t>
        </is>
      </c>
      <c r="G489" t="n">
        <v>18333</v>
      </c>
      <c r="H489" t="n">
        <v>0</v>
      </c>
      <c r="I489" t="n">
        <v>500</v>
      </c>
      <c r="J489" t="n">
        <v>360</v>
      </c>
      <c r="K489" t="n">
        <v>1</v>
      </c>
      <c r="L489" t="inlineStr">
        <is>
          <t>Urban</t>
        </is>
      </c>
      <c r="M489" t="inlineStr">
        <is>
          <t>N</t>
        </is>
      </c>
      <c r="N489">
        <f>IF(AND(K489=1,M489="Y"),"Lower Risk",IF(AND(K489=0,M489="N"),"High Risk","Medium Risk"))</f>
        <v/>
      </c>
    </row>
    <row r="490">
      <c r="A490" t="inlineStr">
        <is>
          <t>LP002555</t>
        </is>
      </c>
      <c r="B490" t="inlineStr">
        <is>
          <t>Male</t>
        </is>
      </c>
      <c r="C490" t="inlineStr">
        <is>
          <t>Yes</t>
        </is>
      </c>
      <c r="D490" t="n">
        <v>2</v>
      </c>
      <c r="E490" t="inlineStr">
        <is>
          <t>Graduate</t>
        </is>
      </c>
      <c r="F490" t="inlineStr">
        <is>
          <t>Yes</t>
        </is>
      </c>
      <c r="G490" t="n">
        <v>4583</v>
      </c>
      <c r="H490" t="n">
        <v>2083</v>
      </c>
      <c r="I490" t="n">
        <v>160</v>
      </c>
      <c r="J490" t="n">
        <v>360</v>
      </c>
      <c r="K490" t="n">
        <v>1</v>
      </c>
      <c r="L490" t="inlineStr">
        <is>
          <t>Semiurban</t>
        </is>
      </c>
      <c r="M490" t="inlineStr">
        <is>
          <t>Y</t>
        </is>
      </c>
      <c r="N490">
        <f>IF(AND(K490=1,M490="Y"),"Lower Risk",IF(AND(K490=0,M490="N"),"High Risk","Medium Risk"))</f>
        <v/>
      </c>
    </row>
    <row r="491">
      <c r="A491" t="inlineStr">
        <is>
          <t>LP002556</t>
        </is>
      </c>
      <c r="B491" t="inlineStr">
        <is>
          <t>Male</t>
        </is>
      </c>
      <c r="C491" t="inlineStr">
        <is>
          <t>No</t>
        </is>
      </c>
      <c r="D491" t="n">
        <v>0</v>
      </c>
      <c r="E491" t="inlineStr">
        <is>
          <t>Graduate</t>
        </is>
      </c>
      <c r="F491" t="inlineStr">
        <is>
          <t>No</t>
        </is>
      </c>
      <c r="G491" t="n">
        <v>2435</v>
      </c>
      <c r="H491" t="n">
        <v>0</v>
      </c>
      <c r="I491" t="n">
        <v>75</v>
      </c>
      <c r="J491" t="n">
        <v>360</v>
      </c>
      <c r="K491" t="n">
        <v>1</v>
      </c>
      <c r="L491" t="inlineStr">
        <is>
          <t>Urban</t>
        </is>
      </c>
      <c r="M491" t="inlineStr">
        <is>
          <t>N</t>
        </is>
      </c>
      <c r="N491">
        <f>IF(AND(K491=1,M491="Y"),"Lower Risk",IF(AND(K491=0,M491="N"),"High Risk","Medium Risk"))</f>
        <v/>
      </c>
    </row>
    <row r="492">
      <c r="A492" t="inlineStr">
        <is>
          <t>LP002560</t>
        </is>
      </c>
      <c r="B492" t="inlineStr">
        <is>
          <t>Male</t>
        </is>
      </c>
      <c r="C492" t="inlineStr">
        <is>
          <t>No</t>
        </is>
      </c>
      <c r="D492" t="n">
        <v>0</v>
      </c>
      <c r="E492" t="inlineStr">
        <is>
          <t>Not Graduate</t>
        </is>
      </c>
      <c r="F492" t="inlineStr">
        <is>
          <t>No</t>
        </is>
      </c>
      <c r="G492" t="n">
        <v>2699</v>
      </c>
      <c r="H492" t="n">
        <v>2785</v>
      </c>
      <c r="I492" t="n">
        <v>96</v>
      </c>
      <c r="J492" t="n">
        <v>360</v>
      </c>
      <c r="L492" t="inlineStr">
        <is>
          <t>Semiurban</t>
        </is>
      </c>
      <c r="M492" t="inlineStr">
        <is>
          <t>Y</t>
        </is>
      </c>
      <c r="N492">
        <f>IF(AND(K492=1,M492="Y"),"Lower Risk",IF(AND(K492=0,M492="N"),"High Risk","Medium Risk"))</f>
        <v/>
      </c>
    </row>
    <row r="493">
      <c r="A493" t="inlineStr">
        <is>
          <t>LP002562</t>
        </is>
      </c>
      <c r="B493" t="inlineStr">
        <is>
          <t>Male</t>
        </is>
      </c>
      <c r="C493" t="inlineStr">
        <is>
          <t>Yes</t>
        </is>
      </c>
      <c r="D493" t="n">
        <v>1</v>
      </c>
      <c r="E493" t="inlineStr">
        <is>
          <t>Not Graduate</t>
        </is>
      </c>
      <c r="F493" t="inlineStr">
        <is>
          <t>No</t>
        </is>
      </c>
      <c r="G493" t="n">
        <v>5333</v>
      </c>
      <c r="H493" t="n">
        <v>1131</v>
      </c>
      <c r="I493" t="n">
        <v>186</v>
      </c>
      <c r="J493" t="n">
        <v>360</v>
      </c>
      <c r="L493" t="inlineStr">
        <is>
          <t>Urban</t>
        </is>
      </c>
      <c r="M493" t="inlineStr">
        <is>
          <t>Y</t>
        </is>
      </c>
      <c r="N493">
        <f>IF(AND(K493=1,M493="Y"),"Lower Risk",IF(AND(K493=0,M493="N"),"High Risk","Medium Risk"))</f>
        <v/>
      </c>
    </row>
    <row r="494">
      <c r="A494" t="inlineStr">
        <is>
          <t>LP002571</t>
        </is>
      </c>
      <c r="B494" t="inlineStr">
        <is>
          <t>Male</t>
        </is>
      </c>
      <c r="C494" t="inlineStr">
        <is>
          <t>No</t>
        </is>
      </c>
      <c r="D494" t="n">
        <v>0</v>
      </c>
      <c r="E494" t="inlineStr">
        <is>
          <t>Not Graduate</t>
        </is>
      </c>
      <c r="F494" t="inlineStr">
        <is>
          <t>No</t>
        </is>
      </c>
      <c r="G494" t="n">
        <v>3691</v>
      </c>
      <c r="H494" t="n">
        <v>0</v>
      </c>
      <c r="I494" t="n">
        <v>110</v>
      </c>
      <c r="J494" t="n">
        <v>360</v>
      </c>
      <c r="K494" t="n">
        <v>1</v>
      </c>
      <c r="L494" t="inlineStr">
        <is>
          <t>Rural</t>
        </is>
      </c>
      <c r="M494" t="inlineStr">
        <is>
          <t>Y</t>
        </is>
      </c>
      <c r="N494">
        <f>IF(AND(K494=1,M494="Y"),"Lower Risk",IF(AND(K494=0,M494="N"),"High Risk","Medium Risk"))</f>
        <v/>
      </c>
    </row>
    <row r="495">
      <c r="A495" t="inlineStr">
        <is>
          <t>LP002582</t>
        </is>
      </c>
      <c r="B495" t="inlineStr">
        <is>
          <t>Female</t>
        </is>
      </c>
      <c r="C495" t="inlineStr">
        <is>
          <t>No</t>
        </is>
      </c>
      <c r="D495" t="n">
        <v>0</v>
      </c>
      <c r="E495" t="inlineStr">
        <is>
          <t>Not Graduate</t>
        </is>
      </c>
      <c r="F495" t="inlineStr">
        <is>
          <t>Yes</t>
        </is>
      </c>
      <c r="G495" t="n">
        <v>17263</v>
      </c>
      <c r="H495" t="n">
        <v>0</v>
      </c>
      <c r="I495" t="n">
        <v>225</v>
      </c>
      <c r="J495" t="n">
        <v>360</v>
      </c>
      <c r="K495" t="n">
        <v>1</v>
      </c>
      <c r="L495" t="inlineStr">
        <is>
          <t>Semiurban</t>
        </is>
      </c>
      <c r="M495" t="inlineStr">
        <is>
          <t>Y</t>
        </is>
      </c>
      <c r="N495">
        <f>IF(AND(K495=1,M495="Y"),"Lower Risk",IF(AND(K495=0,M495="N"),"High Risk","Medium Risk"))</f>
        <v/>
      </c>
    </row>
    <row r="496">
      <c r="A496" t="inlineStr">
        <is>
          <t>LP002585</t>
        </is>
      </c>
      <c r="B496" t="inlineStr">
        <is>
          <t>Male</t>
        </is>
      </c>
      <c r="C496" t="inlineStr">
        <is>
          <t>Yes</t>
        </is>
      </c>
      <c r="D496" t="n">
        <v>0</v>
      </c>
      <c r="E496" t="inlineStr">
        <is>
          <t>Graduate</t>
        </is>
      </c>
      <c r="F496" t="inlineStr">
        <is>
          <t>No</t>
        </is>
      </c>
      <c r="G496" t="n">
        <v>3597</v>
      </c>
      <c r="H496" t="n">
        <v>2157</v>
      </c>
      <c r="I496" t="n">
        <v>119</v>
      </c>
      <c r="J496" t="n">
        <v>360</v>
      </c>
      <c r="K496" t="n">
        <v>0</v>
      </c>
      <c r="L496" t="inlineStr">
        <is>
          <t>Rural</t>
        </is>
      </c>
      <c r="M496" t="inlineStr">
        <is>
          <t>N</t>
        </is>
      </c>
      <c r="N496">
        <f>IF(AND(K496=1,M496="Y"),"Lower Risk",IF(AND(K496=0,M496="N"),"High Risk","Medium Risk"))</f>
        <v/>
      </c>
    </row>
    <row r="497">
      <c r="A497" t="inlineStr">
        <is>
          <t>LP002586</t>
        </is>
      </c>
      <c r="B497" t="inlineStr">
        <is>
          <t>Female</t>
        </is>
      </c>
      <c r="C497" t="inlineStr">
        <is>
          <t>Yes</t>
        </is>
      </c>
      <c r="D497" t="n">
        <v>1</v>
      </c>
      <c r="E497" t="inlineStr">
        <is>
          <t>Graduate</t>
        </is>
      </c>
      <c r="F497" t="inlineStr">
        <is>
          <t>No</t>
        </is>
      </c>
      <c r="G497" t="n">
        <v>3326</v>
      </c>
      <c r="H497" t="n">
        <v>913</v>
      </c>
      <c r="I497" t="n">
        <v>105</v>
      </c>
      <c r="J497" t="n">
        <v>84</v>
      </c>
      <c r="K497" t="n">
        <v>1</v>
      </c>
      <c r="L497" t="inlineStr">
        <is>
          <t>Semiurban</t>
        </is>
      </c>
      <c r="M497" t="inlineStr">
        <is>
          <t>Y</t>
        </is>
      </c>
      <c r="N497">
        <f>IF(AND(K497=1,M497="Y"),"Lower Risk",IF(AND(K497=0,M497="N"),"High Risk","Medium Risk"))</f>
        <v/>
      </c>
    </row>
    <row r="498">
      <c r="A498" t="inlineStr">
        <is>
          <t>LP002587</t>
        </is>
      </c>
      <c r="B498" t="inlineStr">
        <is>
          <t>Male</t>
        </is>
      </c>
      <c r="C498" t="inlineStr">
        <is>
          <t>Yes</t>
        </is>
      </c>
      <c r="D498" t="n">
        <v>0</v>
      </c>
      <c r="E498" t="inlineStr">
        <is>
          <t>Not Graduate</t>
        </is>
      </c>
      <c r="F498" t="inlineStr">
        <is>
          <t>No</t>
        </is>
      </c>
      <c r="G498" t="n">
        <v>2600</v>
      </c>
      <c r="H498" t="n">
        <v>1700</v>
      </c>
      <c r="I498" t="n">
        <v>107</v>
      </c>
      <c r="J498" t="n">
        <v>360</v>
      </c>
      <c r="K498" t="n">
        <v>1</v>
      </c>
      <c r="L498" t="inlineStr">
        <is>
          <t>Rural</t>
        </is>
      </c>
      <c r="M498" t="inlineStr">
        <is>
          <t>Y</t>
        </is>
      </c>
      <c r="N498">
        <f>IF(AND(K498=1,M498="Y"),"Lower Risk",IF(AND(K498=0,M498="N"),"High Risk","Medium Risk"))</f>
        <v/>
      </c>
    </row>
    <row r="499">
      <c r="A499" t="inlineStr">
        <is>
          <t>LP002588</t>
        </is>
      </c>
      <c r="B499" t="inlineStr">
        <is>
          <t>Male</t>
        </is>
      </c>
      <c r="C499" t="inlineStr">
        <is>
          <t>Yes</t>
        </is>
      </c>
      <c r="D499" t="n">
        <v>0</v>
      </c>
      <c r="E499" t="inlineStr">
        <is>
          <t>Graduate</t>
        </is>
      </c>
      <c r="F499" t="inlineStr">
        <is>
          <t>No</t>
        </is>
      </c>
      <c r="G499" t="n">
        <v>4625</v>
      </c>
      <c r="H499" t="n">
        <v>2857</v>
      </c>
      <c r="I499" t="n">
        <v>111</v>
      </c>
      <c r="J499" t="n">
        <v>12</v>
      </c>
      <c r="L499" t="inlineStr">
        <is>
          <t>Urban</t>
        </is>
      </c>
      <c r="M499" t="inlineStr">
        <is>
          <t>Y</t>
        </is>
      </c>
      <c r="N499">
        <f>IF(AND(K499=1,M499="Y"),"Lower Risk",IF(AND(K499=0,M499="N"),"High Risk","Medium Risk"))</f>
        <v/>
      </c>
    </row>
    <row r="500">
      <c r="A500" t="inlineStr">
        <is>
          <t>LP002600</t>
        </is>
      </c>
      <c r="B500" t="inlineStr">
        <is>
          <t>Male</t>
        </is>
      </c>
      <c r="C500" t="inlineStr">
        <is>
          <t>Yes</t>
        </is>
      </c>
      <c r="D500" t="n">
        <v>1</v>
      </c>
      <c r="E500" t="inlineStr">
        <is>
          <t>Graduate</t>
        </is>
      </c>
      <c r="F500" t="inlineStr">
        <is>
          <t>Yes</t>
        </is>
      </c>
      <c r="G500" t="n">
        <v>2895</v>
      </c>
      <c r="H500" t="n">
        <v>0</v>
      </c>
      <c r="I500" t="n">
        <v>95</v>
      </c>
      <c r="J500" t="n">
        <v>360</v>
      </c>
      <c r="K500" t="n">
        <v>1</v>
      </c>
      <c r="L500" t="inlineStr">
        <is>
          <t>Semiurban</t>
        </is>
      </c>
      <c r="M500" t="inlineStr">
        <is>
          <t>Y</t>
        </is>
      </c>
      <c r="N500">
        <f>IF(AND(K500=1,M500="Y"),"Lower Risk",IF(AND(K500=0,M500="N"),"High Risk","Medium Risk"))</f>
        <v/>
      </c>
    </row>
    <row r="501">
      <c r="A501" t="inlineStr">
        <is>
          <t>LP002602</t>
        </is>
      </c>
      <c r="B501" t="inlineStr">
        <is>
          <t>Male</t>
        </is>
      </c>
      <c r="C501" t="inlineStr">
        <is>
          <t>No</t>
        </is>
      </c>
      <c r="D501" t="n">
        <v>0</v>
      </c>
      <c r="E501" t="inlineStr">
        <is>
          <t>Graduate</t>
        </is>
      </c>
      <c r="F501" t="inlineStr">
        <is>
          <t>No</t>
        </is>
      </c>
      <c r="G501" t="n">
        <v>6283</v>
      </c>
      <c r="H501" t="n">
        <v>4416</v>
      </c>
      <c r="I501" t="n">
        <v>209</v>
      </c>
      <c r="J501" t="n">
        <v>360</v>
      </c>
      <c r="K501" t="n">
        <v>0</v>
      </c>
      <c r="L501" t="inlineStr">
        <is>
          <t>Rural</t>
        </is>
      </c>
      <c r="M501" t="inlineStr">
        <is>
          <t>N</t>
        </is>
      </c>
      <c r="N501">
        <f>IF(AND(K501=1,M501="Y"),"Lower Risk",IF(AND(K501=0,M501="N"),"High Risk","Medium Risk"))</f>
        <v/>
      </c>
    </row>
    <row r="502">
      <c r="A502" t="inlineStr">
        <is>
          <t>LP002603</t>
        </is>
      </c>
      <c r="B502" t="inlineStr">
        <is>
          <t>Female</t>
        </is>
      </c>
      <c r="C502" t="inlineStr">
        <is>
          <t>No</t>
        </is>
      </c>
      <c r="D502" t="n">
        <v>0</v>
      </c>
      <c r="E502" t="inlineStr">
        <is>
          <t>Graduate</t>
        </is>
      </c>
      <c r="F502" t="inlineStr">
        <is>
          <t>No</t>
        </is>
      </c>
      <c r="G502" t="n">
        <v>645</v>
      </c>
      <c r="H502" t="n">
        <v>3683</v>
      </c>
      <c r="I502" t="n">
        <v>113</v>
      </c>
      <c r="J502" t="n">
        <v>480</v>
      </c>
      <c r="K502" t="n">
        <v>1</v>
      </c>
      <c r="L502" t="inlineStr">
        <is>
          <t>Rural</t>
        </is>
      </c>
      <c r="M502" t="inlineStr">
        <is>
          <t>Y</t>
        </is>
      </c>
      <c r="N502">
        <f>IF(AND(K502=1,M502="Y"),"Lower Risk",IF(AND(K502=0,M502="N"),"High Risk","Medium Risk"))</f>
        <v/>
      </c>
    </row>
    <row r="503">
      <c r="A503" t="inlineStr">
        <is>
          <t>LP002606</t>
        </is>
      </c>
      <c r="B503" t="inlineStr">
        <is>
          <t>Female</t>
        </is>
      </c>
      <c r="C503" t="inlineStr">
        <is>
          <t>No</t>
        </is>
      </c>
      <c r="D503" t="n">
        <v>0</v>
      </c>
      <c r="E503" t="inlineStr">
        <is>
          <t>Graduate</t>
        </is>
      </c>
      <c r="F503" t="inlineStr">
        <is>
          <t>No</t>
        </is>
      </c>
      <c r="G503" t="n">
        <v>3159</v>
      </c>
      <c r="H503" t="n">
        <v>0</v>
      </c>
      <c r="I503" t="n">
        <v>100</v>
      </c>
      <c r="J503" t="n">
        <v>360</v>
      </c>
      <c r="K503" t="n">
        <v>1</v>
      </c>
      <c r="L503" t="inlineStr">
        <is>
          <t>Semiurban</t>
        </is>
      </c>
      <c r="M503" t="inlineStr">
        <is>
          <t>Y</t>
        </is>
      </c>
      <c r="N503">
        <f>IF(AND(K503=1,M503="Y"),"Lower Risk",IF(AND(K503=0,M503="N"),"High Risk","Medium Risk"))</f>
        <v/>
      </c>
    </row>
    <row r="504">
      <c r="A504" t="inlineStr">
        <is>
          <t>LP002615</t>
        </is>
      </c>
      <c r="B504" t="inlineStr">
        <is>
          <t>Male</t>
        </is>
      </c>
      <c r="C504" t="inlineStr">
        <is>
          <t>Yes</t>
        </is>
      </c>
      <c r="D504" t="n">
        <v>2</v>
      </c>
      <c r="E504" t="inlineStr">
        <is>
          <t>Graduate</t>
        </is>
      </c>
      <c r="F504" t="inlineStr">
        <is>
          <t>No</t>
        </is>
      </c>
      <c r="G504" t="n">
        <v>4865</v>
      </c>
      <c r="H504" t="n">
        <v>5624</v>
      </c>
      <c r="I504" t="n">
        <v>208</v>
      </c>
      <c r="J504" t="n">
        <v>360</v>
      </c>
      <c r="K504" t="n">
        <v>1</v>
      </c>
      <c r="L504" t="inlineStr">
        <is>
          <t>Semiurban</t>
        </is>
      </c>
      <c r="M504" t="inlineStr">
        <is>
          <t>Y</t>
        </is>
      </c>
      <c r="N504">
        <f>IF(AND(K504=1,M504="Y"),"Lower Risk",IF(AND(K504=0,M504="N"),"High Risk","Medium Risk"))</f>
        <v/>
      </c>
    </row>
    <row r="505">
      <c r="A505" t="inlineStr">
        <is>
          <t>LP002618</t>
        </is>
      </c>
      <c r="B505" t="inlineStr">
        <is>
          <t>Male</t>
        </is>
      </c>
      <c r="C505" t="inlineStr">
        <is>
          <t>Yes</t>
        </is>
      </c>
      <c r="D505" t="n">
        <v>1</v>
      </c>
      <c r="E505" t="inlineStr">
        <is>
          <t>Not Graduate</t>
        </is>
      </c>
      <c r="F505" t="inlineStr">
        <is>
          <t>No</t>
        </is>
      </c>
      <c r="G505" t="n">
        <v>4050</v>
      </c>
      <c r="H505" t="n">
        <v>5302</v>
      </c>
      <c r="I505" t="n">
        <v>138</v>
      </c>
      <c r="J505" t="n">
        <v>360</v>
      </c>
      <c r="L505" t="inlineStr">
        <is>
          <t>Rural</t>
        </is>
      </c>
      <c r="M505" t="inlineStr">
        <is>
          <t>N</t>
        </is>
      </c>
      <c r="N505">
        <f>IF(AND(K505=1,M505="Y"),"Lower Risk",IF(AND(K505=0,M505="N"),"High Risk","Medium Risk"))</f>
        <v/>
      </c>
    </row>
    <row r="506">
      <c r="A506" t="inlineStr">
        <is>
          <t>LP002619</t>
        </is>
      </c>
      <c r="B506" t="inlineStr">
        <is>
          <t>Male</t>
        </is>
      </c>
      <c r="C506" t="inlineStr">
        <is>
          <t>Yes</t>
        </is>
      </c>
      <c r="D506" t="n">
        <v>0</v>
      </c>
      <c r="E506" t="inlineStr">
        <is>
          <t>Not Graduate</t>
        </is>
      </c>
      <c r="F506" t="inlineStr">
        <is>
          <t>No</t>
        </is>
      </c>
      <c r="G506" t="n">
        <v>3814</v>
      </c>
      <c r="H506" t="n">
        <v>1483</v>
      </c>
      <c r="I506" t="n">
        <v>124</v>
      </c>
      <c r="J506" t="n">
        <v>300</v>
      </c>
      <c r="K506" t="n">
        <v>1</v>
      </c>
      <c r="L506" t="inlineStr">
        <is>
          <t>Semiurban</t>
        </is>
      </c>
      <c r="M506" t="inlineStr">
        <is>
          <t>Y</t>
        </is>
      </c>
      <c r="N506">
        <f>IF(AND(K506=1,M506="Y"),"Lower Risk",IF(AND(K506=0,M506="N"),"High Risk","Medium Risk"))</f>
        <v/>
      </c>
    </row>
    <row r="507">
      <c r="A507" t="inlineStr">
        <is>
          <t>LP002622</t>
        </is>
      </c>
      <c r="B507" t="inlineStr">
        <is>
          <t>Male</t>
        </is>
      </c>
      <c r="C507" t="inlineStr">
        <is>
          <t>Yes</t>
        </is>
      </c>
      <c r="D507" t="n">
        <v>2</v>
      </c>
      <c r="E507" t="inlineStr">
        <is>
          <t>Graduate</t>
        </is>
      </c>
      <c r="F507" t="inlineStr">
        <is>
          <t>No</t>
        </is>
      </c>
      <c r="G507" t="n">
        <v>3510</v>
      </c>
      <c r="H507" t="n">
        <v>4416</v>
      </c>
      <c r="I507" t="n">
        <v>243</v>
      </c>
      <c r="J507" t="n">
        <v>360</v>
      </c>
      <c r="K507" t="n">
        <v>1</v>
      </c>
      <c r="L507" t="inlineStr">
        <is>
          <t>Rural</t>
        </is>
      </c>
      <c r="M507" t="inlineStr">
        <is>
          <t>Y</t>
        </is>
      </c>
      <c r="N507">
        <f>IF(AND(K507=1,M507="Y"),"Lower Risk",IF(AND(K507=0,M507="N"),"High Risk","Medium Risk"))</f>
        <v/>
      </c>
    </row>
    <row r="508">
      <c r="A508" t="inlineStr">
        <is>
          <t>LP002624</t>
        </is>
      </c>
      <c r="B508" t="inlineStr">
        <is>
          <t>Male</t>
        </is>
      </c>
      <c r="C508" t="inlineStr">
        <is>
          <t>Yes</t>
        </is>
      </c>
      <c r="D508" t="n">
        <v>0</v>
      </c>
      <c r="E508" t="inlineStr">
        <is>
          <t>Graduate</t>
        </is>
      </c>
      <c r="F508" t="inlineStr">
        <is>
          <t>No</t>
        </is>
      </c>
      <c r="G508" t="n">
        <v>20833</v>
      </c>
      <c r="H508" t="n">
        <v>6667</v>
      </c>
      <c r="I508" t="n">
        <v>480</v>
      </c>
      <c r="J508" t="n">
        <v>360</v>
      </c>
      <c r="L508" t="inlineStr">
        <is>
          <t>Urban</t>
        </is>
      </c>
      <c r="M508" t="inlineStr">
        <is>
          <t>Y</t>
        </is>
      </c>
      <c r="N508">
        <f>IF(AND(K508=1,M508="Y"),"Lower Risk",IF(AND(K508=0,M508="N"),"High Risk","Medium Risk"))</f>
        <v/>
      </c>
    </row>
    <row r="509">
      <c r="A509" t="inlineStr">
        <is>
          <t>LP002625</t>
        </is>
      </c>
      <c r="C509" t="inlineStr">
        <is>
          <t>No</t>
        </is>
      </c>
      <c r="D509" t="n">
        <v>0</v>
      </c>
      <c r="E509" t="inlineStr">
        <is>
          <t>Graduate</t>
        </is>
      </c>
      <c r="F509" t="inlineStr">
        <is>
          <t>No</t>
        </is>
      </c>
      <c r="G509" t="n">
        <v>3583</v>
      </c>
      <c r="H509" t="n">
        <v>0</v>
      </c>
      <c r="I509" t="n">
        <v>96</v>
      </c>
      <c r="J509" t="n">
        <v>360</v>
      </c>
      <c r="K509" t="n">
        <v>1</v>
      </c>
      <c r="L509" t="inlineStr">
        <is>
          <t>Urban</t>
        </is>
      </c>
      <c r="M509" t="inlineStr">
        <is>
          <t>N</t>
        </is>
      </c>
      <c r="N509">
        <f>IF(AND(K509=1,M509="Y"),"Lower Risk",IF(AND(K509=0,M509="N"),"High Risk","Medium Risk"))</f>
        <v/>
      </c>
    </row>
    <row r="510">
      <c r="A510" t="inlineStr">
        <is>
          <t>LP002626</t>
        </is>
      </c>
      <c r="B510" t="inlineStr">
        <is>
          <t>Male</t>
        </is>
      </c>
      <c r="C510" t="inlineStr">
        <is>
          <t>Yes</t>
        </is>
      </c>
      <c r="D510" t="n">
        <v>0</v>
      </c>
      <c r="E510" t="inlineStr">
        <is>
          <t>Graduate</t>
        </is>
      </c>
      <c r="F510" t="inlineStr">
        <is>
          <t>Yes</t>
        </is>
      </c>
      <c r="G510" t="n">
        <v>2479</v>
      </c>
      <c r="H510" t="n">
        <v>3013</v>
      </c>
      <c r="I510" t="n">
        <v>188</v>
      </c>
      <c r="J510" t="n">
        <v>360</v>
      </c>
      <c r="K510" t="n">
        <v>1</v>
      </c>
      <c r="L510" t="inlineStr">
        <is>
          <t>Urban</t>
        </is>
      </c>
      <c r="M510" t="inlineStr">
        <is>
          <t>Y</t>
        </is>
      </c>
      <c r="N510">
        <f>IF(AND(K510=1,M510="Y"),"Lower Risk",IF(AND(K510=0,M510="N"),"High Risk","Medium Risk"))</f>
        <v/>
      </c>
    </row>
    <row r="511">
      <c r="A511" t="inlineStr">
        <is>
          <t>LP002634</t>
        </is>
      </c>
      <c r="B511" t="inlineStr">
        <is>
          <t>Female</t>
        </is>
      </c>
      <c r="C511" t="inlineStr">
        <is>
          <t>No</t>
        </is>
      </c>
      <c r="D511" t="n">
        <v>1</v>
      </c>
      <c r="E511" t="inlineStr">
        <is>
          <t>Graduate</t>
        </is>
      </c>
      <c r="F511" t="inlineStr">
        <is>
          <t>No</t>
        </is>
      </c>
      <c r="G511" t="n">
        <v>13262</v>
      </c>
      <c r="H511" t="n">
        <v>0</v>
      </c>
      <c r="I511" t="n">
        <v>40</v>
      </c>
      <c r="J511" t="n">
        <v>360</v>
      </c>
      <c r="K511" t="n">
        <v>1</v>
      </c>
      <c r="L511" t="inlineStr">
        <is>
          <t>Urban</t>
        </is>
      </c>
      <c r="M511" t="inlineStr">
        <is>
          <t>Y</t>
        </is>
      </c>
      <c r="N511">
        <f>IF(AND(K511=1,M511="Y"),"Lower Risk",IF(AND(K511=0,M511="N"),"High Risk","Medium Risk"))</f>
        <v/>
      </c>
    </row>
    <row r="512">
      <c r="A512" t="inlineStr">
        <is>
          <t>LP002637</t>
        </is>
      </c>
      <c r="B512" t="inlineStr">
        <is>
          <t>Male</t>
        </is>
      </c>
      <c r="C512" t="inlineStr">
        <is>
          <t>No</t>
        </is>
      </c>
      <c r="D512" t="n">
        <v>0</v>
      </c>
      <c r="E512" t="inlineStr">
        <is>
          <t>Not Graduate</t>
        </is>
      </c>
      <c r="F512" t="inlineStr">
        <is>
          <t>No</t>
        </is>
      </c>
      <c r="G512" t="n">
        <v>3598</v>
      </c>
      <c r="H512" t="n">
        <v>1287</v>
      </c>
      <c r="I512" t="n">
        <v>100</v>
      </c>
      <c r="J512" t="n">
        <v>360</v>
      </c>
      <c r="K512" t="n">
        <v>1</v>
      </c>
      <c r="L512" t="inlineStr">
        <is>
          <t>Rural</t>
        </is>
      </c>
      <c r="M512" t="inlineStr">
        <is>
          <t>N</t>
        </is>
      </c>
      <c r="N512">
        <f>IF(AND(K512=1,M512="Y"),"Lower Risk",IF(AND(K512=0,M512="N"),"High Risk","Medium Risk"))</f>
        <v/>
      </c>
    </row>
    <row r="513">
      <c r="A513" t="inlineStr">
        <is>
          <t>LP002640</t>
        </is>
      </c>
      <c r="B513" t="inlineStr">
        <is>
          <t>Male</t>
        </is>
      </c>
      <c r="C513" t="inlineStr">
        <is>
          <t>Yes</t>
        </is>
      </c>
      <c r="D513" t="n">
        <v>1</v>
      </c>
      <c r="E513" t="inlineStr">
        <is>
          <t>Graduate</t>
        </is>
      </c>
      <c r="F513" t="inlineStr">
        <is>
          <t>No</t>
        </is>
      </c>
      <c r="G513" t="n">
        <v>6065</v>
      </c>
      <c r="H513" t="n">
        <v>2004</v>
      </c>
      <c r="I513" t="n">
        <v>250</v>
      </c>
      <c r="J513" t="n">
        <v>360</v>
      </c>
      <c r="K513" t="n">
        <v>1</v>
      </c>
      <c r="L513" t="inlineStr">
        <is>
          <t>Semiurban</t>
        </is>
      </c>
      <c r="M513" t="inlineStr">
        <is>
          <t>Y</t>
        </is>
      </c>
      <c r="N513">
        <f>IF(AND(K513=1,M513="Y"),"Lower Risk",IF(AND(K513=0,M513="N"),"High Risk","Medium Risk"))</f>
        <v/>
      </c>
    </row>
    <row r="514">
      <c r="A514" t="inlineStr">
        <is>
          <t>LP002643</t>
        </is>
      </c>
      <c r="B514" t="inlineStr">
        <is>
          <t>Male</t>
        </is>
      </c>
      <c r="C514" t="inlineStr">
        <is>
          <t>Yes</t>
        </is>
      </c>
      <c r="D514" t="n">
        <v>2</v>
      </c>
      <c r="E514" t="inlineStr">
        <is>
          <t>Graduate</t>
        </is>
      </c>
      <c r="F514" t="inlineStr">
        <is>
          <t>No</t>
        </is>
      </c>
      <c r="G514" t="n">
        <v>3283</v>
      </c>
      <c r="H514" t="n">
        <v>2035</v>
      </c>
      <c r="I514" t="n">
        <v>148</v>
      </c>
      <c r="J514" t="n">
        <v>360</v>
      </c>
      <c r="K514" t="n">
        <v>1</v>
      </c>
      <c r="L514" t="inlineStr">
        <is>
          <t>Urban</t>
        </is>
      </c>
      <c r="M514" t="inlineStr">
        <is>
          <t>Y</t>
        </is>
      </c>
      <c r="N514">
        <f>IF(AND(K514=1,M514="Y"),"Lower Risk",IF(AND(K514=0,M514="N"),"High Risk","Medium Risk"))</f>
        <v/>
      </c>
    </row>
    <row r="515">
      <c r="A515" t="inlineStr">
        <is>
          <t>LP002648</t>
        </is>
      </c>
      <c r="B515" t="inlineStr">
        <is>
          <t>Male</t>
        </is>
      </c>
      <c r="C515" t="inlineStr">
        <is>
          <t>Yes</t>
        </is>
      </c>
      <c r="D515" t="n">
        <v>0</v>
      </c>
      <c r="E515" t="inlineStr">
        <is>
          <t>Graduate</t>
        </is>
      </c>
      <c r="F515" t="inlineStr">
        <is>
          <t>No</t>
        </is>
      </c>
      <c r="G515" t="n">
        <v>2130</v>
      </c>
      <c r="H515" t="n">
        <v>6666</v>
      </c>
      <c r="I515" t="n">
        <v>70</v>
      </c>
      <c r="J515" t="n">
        <v>180</v>
      </c>
      <c r="K515" t="n">
        <v>1</v>
      </c>
      <c r="L515" t="inlineStr">
        <is>
          <t>Semiurban</t>
        </is>
      </c>
      <c r="M515" t="inlineStr">
        <is>
          <t>N</t>
        </is>
      </c>
      <c r="N515">
        <f>IF(AND(K515=1,M515="Y"),"Lower Risk",IF(AND(K515=0,M515="N"),"High Risk","Medium Risk"))</f>
        <v/>
      </c>
    </row>
    <row r="516">
      <c r="A516" t="inlineStr">
        <is>
          <t>LP002652</t>
        </is>
      </c>
      <c r="B516" t="inlineStr">
        <is>
          <t>Male</t>
        </is>
      </c>
      <c r="C516" t="inlineStr">
        <is>
          <t>No</t>
        </is>
      </c>
      <c r="D516" t="n">
        <v>0</v>
      </c>
      <c r="E516" t="inlineStr">
        <is>
          <t>Graduate</t>
        </is>
      </c>
      <c r="F516" t="inlineStr">
        <is>
          <t>No</t>
        </is>
      </c>
      <c r="G516" t="n">
        <v>5815</v>
      </c>
      <c r="H516" t="n">
        <v>3666</v>
      </c>
      <c r="I516" t="n">
        <v>311</v>
      </c>
      <c r="J516" t="n">
        <v>360</v>
      </c>
      <c r="K516" t="n">
        <v>1</v>
      </c>
      <c r="L516" t="inlineStr">
        <is>
          <t>Rural</t>
        </is>
      </c>
      <c r="M516" t="inlineStr">
        <is>
          <t>N</t>
        </is>
      </c>
      <c r="N516">
        <f>IF(AND(K516=1,M516="Y"),"Lower Risk",IF(AND(K516=0,M516="N"),"High Risk","Medium Risk"))</f>
        <v/>
      </c>
    </row>
    <row r="517">
      <c r="A517" t="inlineStr">
        <is>
          <t>LP002659</t>
        </is>
      </c>
      <c r="B517" t="inlineStr">
        <is>
          <t>Male</t>
        </is>
      </c>
      <c r="C517" t="inlineStr">
        <is>
          <t>Yes</t>
        </is>
      </c>
      <c r="D517" t="inlineStr">
        <is>
          <t>3+</t>
        </is>
      </c>
      <c r="E517" t="inlineStr">
        <is>
          <t>Graduate</t>
        </is>
      </c>
      <c r="F517" t="inlineStr">
        <is>
          <t>No</t>
        </is>
      </c>
      <c r="G517" t="n">
        <v>3466</v>
      </c>
      <c r="H517" t="n">
        <v>3428</v>
      </c>
      <c r="I517" t="n">
        <v>150</v>
      </c>
      <c r="J517" t="n">
        <v>360</v>
      </c>
      <c r="K517" t="n">
        <v>1</v>
      </c>
      <c r="L517" t="inlineStr">
        <is>
          <t>Rural</t>
        </is>
      </c>
      <c r="M517" t="inlineStr">
        <is>
          <t>Y</t>
        </is>
      </c>
      <c r="N517">
        <f>IF(AND(K517=1,M517="Y"),"Lower Risk",IF(AND(K517=0,M517="N"),"High Risk","Medium Risk"))</f>
        <v/>
      </c>
    </row>
    <row r="518">
      <c r="A518" t="inlineStr">
        <is>
          <t>LP002670</t>
        </is>
      </c>
      <c r="B518" t="inlineStr">
        <is>
          <t>Female</t>
        </is>
      </c>
      <c r="C518" t="inlineStr">
        <is>
          <t>Yes</t>
        </is>
      </c>
      <c r="D518" t="n">
        <v>2</v>
      </c>
      <c r="E518" t="inlineStr">
        <is>
          <t>Graduate</t>
        </is>
      </c>
      <c r="F518" t="inlineStr">
        <is>
          <t>No</t>
        </is>
      </c>
      <c r="G518" t="n">
        <v>2031</v>
      </c>
      <c r="H518" t="n">
        <v>1632</v>
      </c>
      <c r="I518" t="n">
        <v>113</v>
      </c>
      <c r="J518" t="n">
        <v>480</v>
      </c>
      <c r="K518" t="n">
        <v>1</v>
      </c>
      <c r="L518" t="inlineStr">
        <is>
          <t>Semiurban</t>
        </is>
      </c>
      <c r="M518" t="inlineStr">
        <is>
          <t>Y</t>
        </is>
      </c>
      <c r="N518">
        <f>IF(AND(K518=1,M518="Y"),"Lower Risk",IF(AND(K518=0,M518="N"),"High Risk","Medium Risk"))</f>
        <v/>
      </c>
    </row>
    <row r="519">
      <c r="A519" t="inlineStr">
        <is>
          <t>LP002682</t>
        </is>
      </c>
      <c r="B519" t="inlineStr">
        <is>
          <t>Male</t>
        </is>
      </c>
      <c r="C519" t="inlineStr">
        <is>
          <t>Yes</t>
        </is>
      </c>
      <c r="E519" t="inlineStr">
        <is>
          <t>Not Graduate</t>
        </is>
      </c>
      <c r="F519" t="inlineStr">
        <is>
          <t>No</t>
        </is>
      </c>
      <c r="G519" t="n">
        <v>3074</v>
      </c>
      <c r="H519" t="n">
        <v>1800</v>
      </c>
      <c r="I519" t="n">
        <v>123</v>
      </c>
      <c r="J519" t="n">
        <v>360</v>
      </c>
      <c r="K519" t="n">
        <v>0</v>
      </c>
      <c r="L519" t="inlineStr">
        <is>
          <t>Semiurban</t>
        </is>
      </c>
      <c r="M519" t="inlineStr">
        <is>
          <t>N</t>
        </is>
      </c>
      <c r="N519">
        <f>IF(AND(K519=1,M519="Y"),"Lower Risk",IF(AND(K519=0,M519="N"),"High Risk","Medium Risk"))</f>
        <v/>
      </c>
    </row>
    <row r="520">
      <c r="A520" t="inlineStr">
        <is>
          <t>LP002683</t>
        </is>
      </c>
      <c r="B520" t="inlineStr">
        <is>
          <t>Male</t>
        </is>
      </c>
      <c r="C520" t="inlineStr">
        <is>
          <t>No</t>
        </is>
      </c>
      <c r="D520" t="n">
        <v>0</v>
      </c>
      <c r="E520" t="inlineStr">
        <is>
          <t>Graduate</t>
        </is>
      </c>
      <c r="F520" t="inlineStr">
        <is>
          <t>No</t>
        </is>
      </c>
      <c r="G520" t="n">
        <v>4683</v>
      </c>
      <c r="H520" t="n">
        <v>1915</v>
      </c>
      <c r="I520" t="n">
        <v>185</v>
      </c>
      <c r="J520" t="n">
        <v>360</v>
      </c>
      <c r="K520" t="n">
        <v>1</v>
      </c>
      <c r="L520" t="inlineStr">
        <is>
          <t>Semiurban</t>
        </is>
      </c>
      <c r="M520" t="inlineStr">
        <is>
          <t>N</t>
        </is>
      </c>
      <c r="N520">
        <f>IF(AND(K520=1,M520="Y"),"Lower Risk",IF(AND(K520=0,M520="N"),"High Risk","Medium Risk"))</f>
        <v/>
      </c>
    </row>
    <row r="521">
      <c r="A521" t="inlineStr">
        <is>
          <t>LP002684</t>
        </is>
      </c>
      <c r="B521" t="inlineStr">
        <is>
          <t>Female</t>
        </is>
      </c>
      <c r="C521" t="inlineStr">
        <is>
          <t>No</t>
        </is>
      </c>
      <c r="D521" t="n">
        <v>0</v>
      </c>
      <c r="E521" t="inlineStr">
        <is>
          <t>Not Graduate</t>
        </is>
      </c>
      <c r="F521" t="inlineStr">
        <is>
          <t>No</t>
        </is>
      </c>
      <c r="G521" t="n">
        <v>3400</v>
      </c>
      <c r="H521" t="n">
        <v>0</v>
      </c>
      <c r="I521" t="n">
        <v>95</v>
      </c>
      <c r="J521" t="n">
        <v>360</v>
      </c>
      <c r="K521" t="n">
        <v>1</v>
      </c>
      <c r="L521" t="inlineStr">
        <is>
          <t>Rural</t>
        </is>
      </c>
      <c r="M521" t="inlineStr">
        <is>
          <t>N</t>
        </is>
      </c>
      <c r="N521">
        <f>IF(AND(K521=1,M521="Y"),"Lower Risk",IF(AND(K521=0,M521="N"),"High Risk","Medium Risk"))</f>
        <v/>
      </c>
    </row>
    <row r="522">
      <c r="A522" t="inlineStr">
        <is>
          <t>LP002689</t>
        </is>
      </c>
      <c r="B522" t="inlineStr">
        <is>
          <t>Male</t>
        </is>
      </c>
      <c r="C522" t="inlineStr">
        <is>
          <t>Yes</t>
        </is>
      </c>
      <c r="D522" t="n">
        <v>2</v>
      </c>
      <c r="E522" t="inlineStr">
        <is>
          <t>Not Graduate</t>
        </is>
      </c>
      <c r="F522" t="inlineStr">
        <is>
          <t>No</t>
        </is>
      </c>
      <c r="G522" t="n">
        <v>2192</v>
      </c>
      <c r="H522" t="n">
        <v>1742</v>
      </c>
      <c r="I522" t="n">
        <v>45</v>
      </c>
      <c r="J522" t="n">
        <v>360</v>
      </c>
      <c r="K522" t="n">
        <v>1</v>
      </c>
      <c r="L522" t="inlineStr">
        <is>
          <t>Semiurban</t>
        </is>
      </c>
      <c r="M522" t="inlineStr">
        <is>
          <t>Y</t>
        </is>
      </c>
      <c r="N522">
        <f>IF(AND(K522=1,M522="Y"),"Lower Risk",IF(AND(K522=0,M522="N"),"High Risk","Medium Risk"))</f>
        <v/>
      </c>
    </row>
    <row r="523">
      <c r="A523" t="inlineStr">
        <is>
          <t>LP002690</t>
        </is>
      </c>
      <c r="B523" t="inlineStr">
        <is>
          <t>Male</t>
        </is>
      </c>
      <c r="C523" t="inlineStr">
        <is>
          <t>No</t>
        </is>
      </c>
      <c r="D523" t="n">
        <v>0</v>
      </c>
      <c r="E523" t="inlineStr">
        <is>
          <t>Graduate</t>
        </is>
      </c>
      <c r="F523" t="inlineStr">
        <is>
          <t>No</t>
        </is>
      </c>
      <c r="G523" t="n">
        <v>2500</v>
      </c>
      <c r="H523" t="n">
        <v>0</v>
      </c>
      <c r="I523" t="n">
        <v>55</v>
      </c>
      <c r="J523" t="n">
        <v>360</v>
      </c>
      <c r="K523" t="n">
        <v>1</v>
      </c>
      <c r="L523" t="inlineStr">
        <is>
          <t>Semiurban</t>
        </is>
      </c>
      <c r="M523" t="inlineStr">
        <is>
          <t>Y</t>
        </is>
      </c>
      <c r="N523">
        <f>IF(AND(K523=1,M523="Y"),"Lower Risk",IF(AND(K523=0,M523="N"),"High Risk","Medium Risk"))</f>
        <v/>
      </c>
    </row>
    <row r="524">
      <c r="A524" t="inlineStr">
        <is>
          <t>LP002692</t>
        </is>
      </c>
      <c r="B524" t="inlineStr">
        <is>
          <t>Male</t>
        </is>
      </c>
      <c r="C524" t="inlineStr">
        <is>
          <t>Yes</t>
        </is>
      </c>
      <c r="D524" t="inlineStr">
        <is>
          <t>3+</t>
        </is>
      </c>
      <c r="E524" t="inlineStr">
        <is>
          <t>Graduate</t>
        </is>
      </c>
      <c r="F524" t="inlineStr">
        <is>
          <t>Yes</t>
        </is>
      </c>
      <c r="G524" t="n">
        <v>5677</v>
      </c>
      <c r="H524" t="n">
        <v>1424</v>
      </c>
      <c r="I524" t="n">
        <v>100</v>
      </c>
      <c r="J524" t="n">
        <v>360</v>
      </c>
      <c r="K524" t="n">
        <v>1</v>
      </c>
      <c r="L524" t="inlineStr">
        <is>
          <t>Rural</t>
        </is>
      </c>
      <c r="M524" t="inlineStr">
        <is>
          <t>Y</t>
        </is>
      </c>
      <c r="N524">
        <f>IF(AND(K524=1,M524="Y"),"Lower Risk",IF(AND(K524=0,M524="N"),"High Risk","Medium Risk"))</f>
        <v/>
      </c>
    </row>
    <row r="525">
      <c r="A525" t="inlineStr">
        <is>
          <t>LP002693</t>
        </is>
      </c>
      <c r="B525" t="inlineStr">
        <is>
          <t>Male</t>
        </is>
      </c>
      <c r="C525" t="inlineStr">
        <is>
          <t>Yes</t>
        </is>
      </c>
      <c r="D525" t="n">
        <v>2</v>
      </c>
      <c r="E525" t="inlineStr">
        <is>
          <t>Graduate</t>
        </is>
      </c>
      <c r="F525" t="inlineStr">
        <is>
          <t>Yes</t>
        </is>
      </c>
      <c r="G525" t="n">
        <v>7948</v>
      </c>
      <c r="H525" t="n">
        <v>7166</v>
      </c>
      <c r="I525" t="n">
        <v>480</v>
      </c>
      <c r="J525" t="n">
        <v>360</v>
      </c>
      <c r="K525" t="n">
        <v>1</v>
      </c>
      <c r="L525" t="inlineStr">
        <is>
          <t>Rural</t>
        </is>
      </c>
      <c r="M525" t="inlineStr">
        <is>
          <t>Y</t>
        </is>
      </c>
      <c r="N525">
        <f>IF(AND(K525=1,M525="Y"),"Lower Risk",IF(AND(K525=0,M525="N"),"High Risk","Medium Risk"))</f>
        <v/>
      </c>
    </row>
    <row r="526">
      <c r="A526" t="inlineStr">
        <is>
          <t>LP002697</t>
        </is>
      </c>
      <c r="B526" t="inlineStr">
        <is>
          <t>Male</t>
        </is>
      </c>
      <c r="C526" t="inlineStr">
        <is>
          <t>No</t>
        </is>
      </c>
      <c r="D526" t="n">
        <v>0</v>
      </c>
      <c r="E526" t="inlineStr">
        <is>
          <t>Graduate</t>
        </is>
      </c>
      <c r="F526" t="inlineStr">
        <is>
          <t>No</t>
        </is>
      </c>
      <c r="G526" t="n">
        <v>4680</v>
      </c>
      <c r="H526" t="n">
        <v>2087</v>
      </c>
      <c r="J526" t="n">
        <v>360</v>
      </c>
      <c r="K526" t="n">
        <v>1</v>
      </c>
      <c r="L526" t="inlineStr">
        <is>
          <t>Semiurban</t>
        </is>
      </c>
      <c r="M526" t="inlineStr">
        <is>
          <t>N</t>
        </is>
      </c>
      <c r="N526">
        <f>IF(AND(K526=1,M526="Y"),"Lower Risk",IF(AND(K526=0,M526="N"),"High Risk","Medium Risk"))</f>
        <v/>
      </c>
    </row>
    <row r="527">
      <c r="A527" t="inlineStr">
        <is>
          <t>LP002699</t>
        </is>
      </c>
      <c r="B527" t="inlineStr">
        <is>
          <t>Male</t>
        </is>
      </c>
      <c r="C527" t="inlineStr">
        <is>
          <t>Yes</t>
        </is>
      </c>
      <c r="D527" t="n">
        <v>2</v>
      </c>
      <c r="E527" t="inlineStr">
        <is>
          <t>Graduate</t>
        </is>
      </c>
      <c r="F527" t="inlineStr">
        <is>
          <t>Yes</t>
        </is>
      </c>
      <c r="G527" t="n">
        <v>17500</v>
      </c>
      <c r="H527" t="n">
        <v>0</v>
      </c>
      <c r="I527" t="n">
        <v>400</v>
      </c>
      <c r="J527" t="n">
        <v>360</v>
      </c>
      <c r="K527" t="n">
        <v>1</v>
      </c>
      <c r="L527" t="inlineStr">
        <is>
          <t>Rural</t>
        </is>
      </c>
      <c r="M527" t="inlineStr">
        <is>
          <t>Y</t>
        </is>
      </c>
      <c r="N527">
        <f>IF(AND(K527=1,M527="Y"),"Lower Risk",IF(AND(K527=0,M527="N"),"High Risk","Medium Risk"))</f>
        <v/>
      </c>
    </row>
    <row r="528">
      <c r="A528" t="inlineStr">
        <is>
          <t>LP002705</t>
        </is>
      </c>
      <c r="B528" t="inlineStr">
        <is>
          <t>Male</t>
        </is>
      </c>
      <c r="C528" t="inlineStr">
        <is>
          <t>Yes</t>
        </is>
      </c>
      <c r="D528" t="n">
        <v>0</v>
      </c>
      <c r="E528" t="inlineStr">
        <is>
          <t>Graduate</t>
        </is>
      </c>
      <c r="F528" t="inlineStr">
        <is>
          <t>No</t>
        </is>
      </c>
      <c r="G528" t="n">
        <v>3775</v>
      </c>
      <c r="H528" t="n">
        <v>0</v>
      </c>
      <c r="I528" t="n">
        <v>110</v>
      </c>
      <c r="J528" t="n">
        <v>360</v>
      </c>
      <c r="K528" t="n">
        <v>1</v>
      </c>
      <c r="L528" t="inlineStr">
        <is>
          <t>Semiurban</t>
        </is>
      </c>
      <c r="M528" t="inlineStr">
        <is>
          <t>Y</t>
        </is>
      </c>
      <c r="N528">
        <f>IF(AND(K528=1,M528="Y"),"Lower Risk",IF(AND(K528=0,M528="N"),"High Risk","Medium Risk"))</f>
        <v/>
      </c>
    </row>
    <row r="529">
      <c r="A529" t="inlineStr">
        <is>
          <t>LP002706</t>
        </is>
      </c>
      <c r="B529" t="inlineStr">
        <is>
          <t>Male</t>
        </is>
      </c>
      <c r="C529" t="inlineStr">
        <is>
          <t>Yes</t>
        </is>
      </c>
      <c r="D529" t="n">
        <v>1</v>
      </c>
      <c r="E529" t="inlineStr">
        <is>
          <t>Not Graduate</t>
        </is>
      </c>
      <c r="F529" t="inlineStr">
        <is>
          <t>No</t>
        </is>
      </c>
      <c r="G529" t="n">
        <v>5285</v>
      </c>
      <c r="H529" t="n">
        <v>1430</v>
      </c>
      <c r="I529" t="n">
        <v>161</v>
      </c>
      <c r="J529" t="n">
        <v>360</v>
      </c>
      <c r="K529" t="n">
        <v>0</v>
      </c>
      <c r="L529" t="inlineStr">
        <is>
          <t>Semiurban</t>
        </is>
      </c>
      <c r="M529" t="inlineStr">
        <is>
          <t>Y</t>
        </is>
      </c>
      <c r="N529">
        <f>IF(AND(K529=1,M529="Y"),"Lower Risk",IF(AND(K529=0,M529="N"),"High Risk","Medium Risk"))</f>
        <v/>
      </c>
    </row>
    <row r="530">
      <c r="A530" t="inlineStr">
        <is>
          <t>LP002714</t>
        </is>
      </c>
      <c r="B530" t="inlineStr">
        <is>
          <t>Male</t>
        </is>
      </c>
      <c r="C530" t="inlineStr">
        <is>
          <t>No</t>
        </is>
      </c>
      <c r="D530" t="n">
        <v>1</v>
      </c>
      <c r="E530" t="inlineStr">
        <is>
          <t>Not Graduate</t>
        </is>
      </c>
      <c r="F530" t="inlineStr">
        <is>
          <t>No</t>
        </is>
      </c>
      <c r="G530" t="n">
        <v>2679</v>
      </c>
      <c r="H530" t="n">
        <v>1302</v>
      </c>
      <c r="I530" t="n">
        <v>94</v>
      </c>
      <c r="J530" t="n">
        <v>360</v>
      </c>
      <c r="K530" t="n">
        <v>1</v>
      </c>
      <c r="L530" t="inlineStr">
        <is>
          <t>Semiurban</t>
        </is>
      </c>
      <c r="M530" t="inlineStr">
        <is>
          <t>Y</t>
        </is>
      </c>
      <c r="N530">
        <f>IF(AND(K530=1,M530="Y"),"Lower Risk",IF(AND(K530=0,M530="N"),"High Risk","Medium Risk"))</f>
        <v/>
      </c>
    </row>
    <row r="531">
      <c r="A531" t="inlineStr">
        <is>
          <t>LP002716</t>
        </is>
      </c>
      <c r="B531" t="inlineStr">
        <is>
          <t>Male</t>
        </is>
      </c>
      <c r="C531" t="inlineStr">
        <is>
          <t>No</t>
        </is>
      </c>
      <c r="D531" t="n">
        <v>0</v>
      </c>
      <c r="E531" t="inlineStr">
        <is>
          <t>Not Graduate</t>
        </is>
      </c>
      <c r="F531" t="inlineStr">
        <is>
          <t>No</t>
        </is>
      </c>
      <c r="G531" t="n">
        <v>6783</v>
      </c>
      <c r="H531" t="n">
        <v>0</v>
      </c>
      <c r="I531" t="n">
        <v>130</v>
      </c>
      <c r="J531" t="n">
        <v>360</v>
      </c>
      <c r="K531" t="n">
        <v>1</v>
      </c>
      <c r="L531" t="inlineStr">
        <is>
          <t>Semiurban</t>
        </is>
      </c>
      <c r="M531" t="inlineStr">
        <is>
          <t>Y</t>
        </is>
      </c>
      <c r="N531">
        <f>IF(AND(K531=1,M531="Y"),"Lower Risk",IF(AND(K531=0,M531="N"),"High Risk","Medium Risk"))</f>
        <v/>
      </c>
    </row>
    <row r="532">
      <c r="A532" t="inlineStr">
        <is>
          <t>LP002717</t>
        </is>
      </c>
      <c r="B532" t="inlineStr">
        <is>
          <t>Male</t>
        </is>
      </c>
      <c r="C532" t="inlineStr">
        <is>
          <t>Yes</t>
        </is>
      </c>
      <c r="D532" t="n">
        <v>0</v>
      </c>
      <c r="E532" t="inlineStr">
        <is>
          <t>Graduate</t>
        </is>
      </c>
      <c r="F532" t="inlineStr">
        <is>
          <t>No</t>
        </is>
      </c>
      <c r="G532" t="n">
        <v>1025</v>
      </c>
      <c r="H532" t="n">
        <v>5500</v>
      </c>
      <c r="I532" t="n">
        <v>216</v>
      </c>
      <c r="J532" t="n">
        <v>360</v>
      </c>
      <c r="L532" t="inlineStr">
        <is>
          <t>Rural</t>
        </is>
      </c>
      <c r="M532" t="inlineStr">
        <is>
          <t>Y</t>
        </is>
      </c>
      <c r="N532">
        <f>IF(AND(K532=1,M532="Y"),"Lower Risk",IF(AND(K532=0,M532="N"),"High Risk","Medium Risk"))</f>
        <v/>
      </c>
    </row>
    <row r="533">
      <c r="A533" t="inlineStr">
        <is>
          <t>LP002720</t>
        </is>
      </c>
      <c r="B533" t="inlineStr">
        <is>
          <t>Male</t>
        </is>
      </c>
      <c r="C533" t="inlineStr">
        <is>
          <t>Yes</t>
        </is>
      </c>
      <c r="D533" t="inlineStr">
        <is>
          <t>3+</t>
        </is>
      </c>
      <c r="E533" t="inlineStr">
        <is>
          <t>Graduate</t>
        </is>
      </c>
      <c r="F533" t="inlineStr">
        <is>
          <t>No</t>
        </is>
      </c>
      <c r="G533" t="n">
        <v>4281</v>
      </c>
      <c r="H533" t="n">
        <v>0</v>
      </c>
      <c r="I533" t="n">
        <v>100</v>
      </c>
      <c r="J533" t="n">
        <v>360</v>
      </c>
      <c r="K533" t="n">
        <v>1</v>
      </c>
      <c r="L533" t="inlineStr">
        <is>
          <t>Urban</t>
        </is>
      </c>
      <c r="M533" t="inlineStr">
        <is>
          <t>Y</t>
        </is>
      </c>
      <c r="N533">
        <f>IF(AND(K533=1,M533="Y"),"Lower Risk",IF(AND(K533=0,M533="N"),"High Risk","Medium Risk"))</f>
        <v/>
      </c>
    </row>
    <row r="534">
      <c r="A534" t="inlineStr">
        <is>
          <t>LP002723</t>
        </is>
      </c>
      <c r="B534" t="inlineStr">
        <is>
          <t>Male</t>
        </is>
      </c>
      <c r="C534" t="inlineStr">
        <is>
          <t>No</t>
        </is>
      </c>
      <c r="D534" t="n">
        <v>2</v>
      </c>
      <c r="E534" t="inlineStr">
        <is>
          <t>Graduate</t>
        </is>
      </c>
      <c r="F534" t="inlineStr">
        <is>
          <t>No</t>
        </is>
      </c>
      <c r="G534" t="n">
        <v>3588</v>
      </c>
      <c r="H534" t="n">
        <v>0</v>
      </c>
      <c r="I534" t="n">
        <v>110</v>
      </c>
      <c r="J534" t="n">
        <v>360</v>
      </c>
      <c r="K534" t="n">
        <v>0</v>
      </c>
      <c r="L534" t="inlineStr">
        <is>
          <t>Rural</t>
        </is>
      </c>
      <c r="M534" t="inlineStr">
        <is>
          <t>N</t>
        </is>
      </c>
      <c r="N534">
        <f>IF(AND(K534=1,M534="Y"),"Lower Risk",IF(AND(K534=0,M534="N"),"High Risk","Medium Risk"))</f>
        <v/>
      </c>
    </row>
    <row r="535">
      <c r="A535" t="inlineStr">
        <is>
          <t>LP002729</t>
        </is>
      </c>
      <c r="B535" t="inlineStr">
        <is>
          <t>Male</t>
        </is>
      </c>
      <c r="C535" t="inlineStr">
        <is>
          <t>No</t>
        </is>
      </c>
      <c r="D535" t="n">
        <v>1</v>
      </c>
      <c r="E535" t="inlineStr">
        <is>
          <t>Graduate</t>
        </is>
      </c>
      <c r="F535" t="inlineStr">
        <is>
          <t>No</t>
        </is>
      </c>
      <c r="G535" t="n">
        <v>11250</v>
      </c>
      <c r="H535" t="n">
        <v>0</v>
      </c>
      <c r="I535" t="n">
        <v>196</v>
      </c>
      <c r="J535" t="n">
        <v>360</v>
      </c>
      <c r="L535" t="inlineStr">
        <is>
          <t>Semiurban</t>
        </is>
      </c>
      <c r="M535" t="inlineStr">
        <is>
          <t>N</t>
        </is>
      </c>
      <c r="N535">
        <f>IF(AND(K535=1,M535="Y"),"Lower Risk",IF(AND(K535=0,M535="N"),"High Risk","Medium Risk"))</f>
        <v/>
      </c>
    </row>
    <row r="536">
      <c r="A536" t="inlineStr">
        <is>
          <t>LP002731</t>
        </is>
      </c>
      <c r="B536" t="inlineStr">
        <is>
          <t>Female</t>
        </is>
      </c>
      <c r="C536" t="inlineStr">
        <is>
          <t>No</t>
        </is>
      </c>
      <c r="D536" t="n">
        <v>0</v>
      </c>
      <c r="E536" t="inlineStr">
        <is>
          <t>Not Graduate</t>
        </is>
      </c>
      <c r="F536" t="inlineStr">
        <is>
          <t>Yes</t>
        </is>
      </c>
      <c r="G536" t="n">
        <v>18165</v>
      </c>
      <c r="H536" t="n">
        <v>0</v>
      </c>
      <c r="I536" t="n">
        <v>125</v>
      </c>
      <c r="J536" t="n">
        <v>360</v>
      </c>
      <c r="K536" t="n">
        <v>1</v>
      </c>
      <c r="L536" t="inlineStr">
        <is>
          <t>Urban</t>
        </is>
      </c>
      <c r="M536" t="inlineStr">
        <is>
          <t>Y</t>
        </is>
      </c>
      <c r="N536">
        <f>IF(AND(K536=1,M536="Y"),"Lower Risk",IF(AND(K536=0,M536="N"),"High Risk","Medium Risk"))</f>
        <v/>
      </c>
    </row>
    <row r="537">
      <c r="A537" t="inlineStr">
        <is>
          <t>LP002732</t>
        </is>
      </c>
      <c r="B537" t="inlineStr">
        <is>
          <t>Male</t>
        </is>
      </c>
      <c r="C537" t="inlineStr">
        <is>
          <t>No</t>
        </is>
      </c>
      <c r="D537" t="n">
        <v>0</v>
      </c>
      <c r="E537" t="inlineStr">
        <is>
          <t>Not Graduate</t>
        </is>
      </c>
      <c r="G537" t="n">
        <v>2550</v>
      </c>
      <c r="H537" t="n">
        <v>2042</v>
      </c>
      <c r="I537" t="n">
        <v>126</v>
      </c>
      <c r="J537" t="n">
        <v>360</v>
      </c>
      <c r="K537" t="n">
        <v>1</v>
      </c>
      <c r="L537" t="inlineStr">
        <is>
          <t>Rural</t>
        </is>
      </c>
      <c r="M537" t="inlineStr">
        <is>
          <t>Y</t>
        </is>
      </c>
      <c r="N537">
        <f>IF(AND(K537=1,M537="Y"),"Lower Risk",IF(AND(K537=0,M537="N"),"High Risk","Medium Risk"))</f>
        <v/>
      </c>
    </row>
    <row r="538">
      <c r="A538" t="inlineStr">
        <is>
          <t>LP002734</t>
        </is>
      </c>
      <c r="B538" t="inlineStr">
        <is>
          <t>Male</t>
        </is>
      </c>
      <c r="C538" t="inlineStr">
        <is>
          <t>Yes</t>
        </is>
      </c>
      <c r="D538" t="n">
        <v>0</v>
      </c>
      <c r="E538" t="inlineStr">
        <is>
          <t>Graduate</t>
        </is>
      </c>
      <c r="F538" t="inlineStr">
        <is>
          <t>No</t>
        </is>
      </c>
      <c r="G538" t="n">
        <v>6133</v>
      </c>
      <c r="H538" t="n">
        <v>3906</v>
      </c>
      <c r="I538" t="n">
        <v>324</v>
      </c>
      <c r="J538" t="n">
        <v>360</v>
      </c>
      <c r="K538" t="n">
        <v>1</v>
      </c>
      <c r="L538" t="inlineStr">
        <is>
          <t>Urban</t>
        </is>
      </c>
      <c r="M538" t="inlineStr">
        <is>
          <t>Y</t>
        </is>
      </c>
      <c r="N538">
        <f>IF(AND(K538=1,M538="Y"),"Lower Risk",IF(AND(K538=0,M538="N"),"High Risk","Medium Risk"))</f>
        <v/>
      </c>
    </row>
    <row r="539">
      <c r="A539" t="inlineStr">
        <is>
          <t>LP002738</t>
        </is>
      </c>
      <c r="B539" t="inlineStr">
        <is>
          <t>Male</t>
        </is>
      </c>
      <c r="C539" t="inlineStr">
        <is>
          <t>No</t>
        </is>
      </c>
      <c r="D539" t="n">
        <v>2</v>
      </c>
      <c r="E539" t="inlineStr">
        <is>
          <t>Graduate</t>
        </is>
      </c>
      <c r="F539" t="inlineStr">
        <is>
          <t>No</t>
        </is>
      </c>
      <c r="G539" t="n">
        <v>3617</v>
      </c>
      <c r="H539" t="n">
        <v>0</v>
      </c>
      <c r="I539" t="n">
        <v>107</v>
      </c>
      <c r="J539" t="n">
        <v>360</v>
      </c>
      <c r="K539" t="n">
        <v>1</v>
      </c>
      <c r="L539" t="inlineStr">
        <is>
          <t>Semiurban</t>
        </is>
      </c>
      <c r="M539" t="inlineStr">
        <is>
          <t>Y</t>
        </is>
      </c>
      <c r="N539">
        <f>IF(AND(K539=1,M539="Y"),"Lower Risk",IF(AND(K539=0,M539="N"),"High Risk","Medium Risk"))</f>
        <v/>
      </c>
    </row>
    <row r="540">
      <c r="A540" t="inlineStr">
        <is>
          <t>LP002739</t>
        </is>
      </c>
      <c r="B540" t="inlineStr">
        <is>
          <t>Male</t>
        </is>
      </c>
      <c r="C540" t="inlineStr">
        <is>
          <t>Yes</t>
        </is>
      </c>
      <c r="D540" t="n">
        <v>0</v>
      </c>
      <c r="E540" t="inlineStr">
        <is>
          <t>Not Graduate</t>
        </is>
      </c>
      <c r="F540" t="inlineStr">
        <is>
          <t>No</t>
        </is>
      </c>
      <c r="G540" t="n">
        <v>2917</v>
      </c>
      <c r="H540" t="n">
        <v>536</v>
      </c>
      <c r="I540" t="n">
        <v>66</v>
      </c>
      <c r="J540" t="n">
        <v>360</v>
      </c>
      <c r="K540" t="n">
        <v>1</v>
      </c>
      <c r="L540" t="inlineStr">
        <is>
          <t>Rural</t>
        </is>
      </c>
      <c r="M540" t="inlineStr">
        <is>
          <t>N</t>
        </is>
      </c>
      <c r="N540">
        <f>IF(AND(K540=1,M540="Y"),"Lower Risk",IF(AND(K540=0,M540="N"),"High Risk","Medium Risk"))</f>
        <v/>
      </c>
    </row>
    <row r="541">
      <c r="A541" t="inlineStr">
        <is>
          <t>LP002740</t>
        </is>
      </c>
      <c r="B541" t="inlineStr">
        <is>
          <t>Male</t>
        </is>
      </c>
      <c r="C541" t="inlineStr">
        <is>
          <t>Yes</t>
        </is>
      </c>
      <c r="D541" t="inlineStr">
        <is>
          <t>3+</t>
        </is>
      </c>
      <c r="E541" t="inlineStr">
        <is>
          <t>Graduate</t>
        </is>
      </c>
      <c r="F541" t="inlineStr">
        <is>
          <t>No</t>
        </is>
      </c>
      <c r="G541" t="n">
        <v>6417</v>
      </c>
      <c r="H541" t="n">
        <v>0</v>
      </c>
      <c r="I541" t="n">
        <v>157</v>
      </c>
      <c r="J541" t="n">
        <v>180</v>
      </c>
      <c r="K541" t="n">
        <v>1</v>
      </c>
      <c r="L541" t="inlineStr">
        <is>
          <t>Rural</t>
        </is>
      </c>
      <c r="M541" t="inlineStr">
        <is>
          <t>Y</t>
        </is>
      </c>
      <c r="N541">
        <f>IF(AND(K541=1,M541="Y"),"Lower Risk",IF(AND(K541=0,M541="N"),"High Risk","Medium Risk"))</f>
        <v/>
      </c>
    </row>
    <row r="542">
      <c r="A542" t="inlineStr">
        <is>
          <t>LP002741</t>
        </is>
      </c>
      <c r="B542" t="inlineStr">
        <is>
          <t>Female</t>
        </is>
      </c>
      <c r="C542" t="inlineStr">
        <is>
          <t>Yes</t>
        </is>
      </c>
      <c r="D542" t="n">
        <v>1</v>
      </c>
      <c r="E542" t="inlineStr">
        <is>
          <t>Graduate</t>
        </is>
      </c>
      <c r="F542" t="inlineStr">
        <is>
          <t>No</t>
        </is>
      </c>
      <c r="G542" t="n">
        <v>4608</v>
      </c>
      <c r="H542" t="n">
        <v>2845</v>
      </c>
      <c r="I542" t="n">
        <v>140</v>
      </c>
      <c r="J542" t="n">
        <v>180</v>
      </c>
      <c r="K542" t="n">
        <v>1</v>
      </c>
      <c r="L542" t="inlineStr">
        <is>
          <t>Semiurban</t>
        </is>
      </c>
      <c r="M542" t="inlineStr">
        <is>
          <t>Y</t>
        </is>
      </c>
      <c r="N542">
        <f>IF(AND(K542=1,M542="Y"),"Lower Risk",IF(AND(K542=0,M542="N"),"High Risk","Medium Risk"))</f>
        <v/>
      </c>
    </row>
    <row r="543">
      <c r="A543" t="inlineStr">
        <is>
          <t>LP002743</t>
        </is>
      </c>
      <c r="B543" t="inlineStr">
        <is>
          <t>Female</t>
        </is>
      </c>
      <c r="C543" t="inlineStr">
        <is>
          <t>No</t>
        </is>
      </c>
      <c r="D543" t="n">
        <v>0</v>
      </c>
      <c r="E543" t="inlineStr">
        <is>
          <t>Graduate</t>
        </is>
      </c>
      <c r="F543" t="inlineStr">
        <is>
          <t>No</t>
        </is>
      </c>
      <c r="G543" t="n">
        <v>2138</v>
      </c>
      <c r="H543" t="n">
        <v>0</v>
      </c>
      <c r="I543" t="n">
        <v>99</v>
      </c>
      <c r="J543" t="n">
        <v>360</v>
      </c>
      <c r="K543" t="n">
        <v>0</v>
      </c>
      <c r="L543" t="inlineStr">
        <is>
          <t>Semiurban</t>
        </is>
      </c>
      <c r="M543" t="inlineStr">
        <is>
          <t>N</t>
        </is>
      </c>
      <c r="N543">
        <f>IF(AND(K543=1,M543="Y"),"Lower Risk",IF(AND(K543=0,M543="N"),"High Risk","Medium Risk"))</f>
        <v/>
      </c>
    </row>
    <row r="544">
      <c r="A544" t="inlineStr">
        <is>
          <t>LP002753</t>
        </is>
      </c>
      <c r="B544" t="inlineStr">
        <is>
          <t>Female</t>
        </is>
      </c>
      <c r="C544" t="inlineStr">
        <is>
          <t>No</t>
        </is>
      </c>
      <c r="D544" t="n">
        <v>1</v>
      </c>
      <c r="E544" t="inlineStr">
        <is>
          <t>Graduate</t>
        </is>
      </c>
      <c r="G544" t="n">
        <v>3652</v>
      </c>
      <c r="H544" t="n">
        <v>0</v>
      </c>
      <c r="I544" t="n">
        <v>95</v>
      </c>
      <c r="J544" t="n">
        <v>360</v>
      </c>
      <c r="K544" t="n">
        <v>1</v>
      </c>
      <c r="L544" t="inlineStr">
        <is>
          <t>Semiurban</t>
        </is>
      </c>
      <c r="M544" t="inlineStr">
        <is>
          <t>Y</t>
        </is>
      </c>
      <c r="N544">
        <f>IF(AND(K544=1,M544="Y"),"Lower Risk",IF(AND(K544=0,M544="N"),"High Risk","Medium Risk"))</f>
        <v/>
      </c>
    </row>
    <row r="545">
      <c r="A545" t="inlineStr">
        <is>
          <t>LP002755</t>
        </is>
      </c>
      <c r="B545" t="inlineStr">
        <is>
          <t>Male</t>
        </is>
      </c>
      <c r="C545" t="inlineStr">
        <is>
          <t>Yes</t>
        </is>
      </c>
      <c r="D545" t="n">
        <v>1</v>
      </c>
      <c r="E545" t="inlineStr">
        <is>
          <t>Not Graduate</t>
        </is>
      </c>
      <c r="F545" t="inlineStr">
        <is>
          <t>No</t>
        </is>
      </c>
      <c r="G545" t="n">
        <v>2239</v>
      </c>
      <c r="H545" t="n">
        <v>2524</v>
      </c>
      <c r="I545" t="n">
        <v>128</v>
      </c>
      <c r="J545" t="n">
        <v>360</v>
      </c>
      <c r="K545" t="n">
        <v>1</v>
      </c>
      <c r="L545" t="inlineStr">
        <is>
          <t>Urban</t>
        </is>
      </c>
      <c r="M545" t="inlineStr">
        <is>
          <t>Y</t>
        </is>
      </c>
      <c r="N545">
        <f>IF(AND(K545=1,M545="Y"),"Lower Risk",IF(AND(K545=0,M545="N"),"High Risk","Medium Risk"))</f>
        <v/>
      </c>
    </row>
    <row r="546">
      <c r="A546" t="inlineStr">
        <is>
          <t>LP002757</t>
        </is>
      </c>
      <c r="B546" t="inlineStr">
        <is>
          <t>Female</t>
        </is>
      </c>
      <c r="C546" t="inlineStr">
        <is>
          <t>Yes</t>
        </is>
      </c>
      <c r="D546" t="n">
        <v>0</v>
      </c>
      <c r="E546" t="inlineStr">
        <is>
          <t>Not Graduate</t>
        </is>
      </c>
      <c r="F546" t="inlineStr">
        <is>
          <t>No</t>
        </is>
      </c>
      <c r="G546" t="n">
        <v>3017</v>
      </c>
      <c r="H546" t="n">
        <v>663</v>
      </c>
      <c r="I546" t="n">
        <v>102</v>
      </c>
      <c r="J546" t="n">
        <v>360</v>
      </c>
      <c r="L546" t="inlineStr">
        <is>
          <t>Semiurban</t>
        </is>
      </c>
      <c r="M546" t="inlineStr">
        <is>
          <t>Y</t>
        </is>
      </c>
      <c r="N546">
        <f>IF(AND(K546=1,M546="Y"),"Lower Risk",IF(AND(K546=0,M546="N"),"High Risk","Medium Risk"))</f>
        <v/>
      </c>
    </row>
    <row r="547">
      <c r="A547" t="inlineStr">
        <is>
          <t>LP002767</t>
        </is>
      </c>
      <c r="B547" t="inlineStr">
        <is>
          <t>Male</t>
        </is>
      </c>
      <c r="C547" t="inlineStr">
        <is>
          <t>Yes</t>
        </is>
      </c>
      <c r="D547" t="n">
        <v>0</v>
      </c>
      <c r="E547" t="inlineStr">
        <is>
          <t>Graduate</t>
        </is>
      </c>
      <c r="F547" t="inlineStr">
        <is>
          <t>No</t>
        </is>
      </c>
      <c r="G547" t="n">
        <v>2768</v>
      </c>
      <c r="H547" t="n">
        <v>1950</v>
      </c>
      <c r="I547" t="n">
        <v>155</v>
      </c>
      <c r="J547" t="n">
        <v>360</v>
      </c>
      <c r="K547" t="n">
        <v>1</v>
      </c>
      <c r="L547" t="inlineStr">
        <is>
          <t>Rural</t>
        </is>
      </c>
      <c r="M547" t="inlineStr">
        <is>
          <t>Y</t>
        </is>
      </c>
      <c r="N547">
        <f>IF(AND(K547=1,M547="Y"),"Lower Risk",IF(AND(K547=0,M547="N"),"High Risk","Medium Risk"))</f>
        <v/>
      </c>
    </row>
    <row r="548">
      <c r="A548" t="inlineStr">
        <is>
          <t>LP002768</t>
        </is>
      </c>
      <c r="B548" t="inlineStr">
        <is>
          <t>Male</t>
        </is>
      </c>
      <c r="C548" t="inlineStr">
        <is>
          <t>No</t>
        </is>
      </c>
      <c r="D548" t="n">
        <v>0</v>
      </c>
      <c r="E548" t="inlineStr">
        <is>
          <t>Not Graduate</t>
        </is>
      </c>
      <c r="F548" t="inlineStr">
        <is>
          <t>No</t>
        </is>
      </c>
      <c r="G548" t="n">
        <v>3358</v>
      </c>
      <c r="H548" t="n">
        <v>0</v>
      </c>
      <c r="I548" t="n">
        <v>80</v>
      </c>
      <c r="J548" t="n">
        <v>36</v>
      </c>
      <c r="K548" t="n">
        <v>1</v>
      </c>
      <c r="L548" t="inlineStr">
        <is>
          <t>Semiurban</t>
        </is>
      </c>
      <c r="M548" t="inlineStr">
        <is>
          <t>N</t>
        </is>
      </c>
      <c r="N548">
        <f>IF(AND(K548=1,M548="Y"),"Lower Risk",IF(AND(K548=0,M548="N"),"High Risk","Medium Risk"))</f>
        <v/>
      </c>
    </row>
    <row r="549">
      <c r="A549" t="inlineStr">
        <is>
          <t>LP002772</t>
        </is>
      </c>
      <c r="B549" t="inlineStr">
        <is>
          <t>Male</t>
        </is>
      </c>
      <c r="C549" t="inlineStr">
        <is>
          <t>No</t>
        </is>
      </c>
      <c r="D549" t="n">
        <v>0</v>
      </c>
      <c r="E549" t="inlineStr">
        <is>
          <t>Graduate</t>
        </is>
      </c>
      <c r="F549" t="inlineStr">
        <is>
          <t>No</t>
        </is>
      </c>
      <c r="G549" t="n">
        <v>2526</v>
      </c>
      <c r="H549" t="n">
        <v>1783</v>
      </c>
      <c r="I549" t="n">
        <v>145</v>
      </c>
      <c r="J549" t="n">
        <v>360</v>
      </c>
      <c r="K549" t="n">
        <v>1</v>
      </c>
      <c r="L549" t="inlineStr">
        <is>
          <t>Rural</t>
        </is>
      </c>
      <c r="M549" t="inlineStr">
        <is>
          <t>Y</t>
        </is>
      </c>
      <c r="N549">
        <f>IF(AND(K549=1,M549="Y"),"Lower Risk",IF(AND(K549=0,M549="N"),"High Risk","Medium Risk"))</f>
        <v/>
      </c>
    </row>
    <row r="550">
      <c r="A550" t="inlineStr">
        <is>
          <t>LP002776</t>
        </is>
      </c>
      <c r="B550" t="inlineStr">
        <is>
          <t>Female</t>
        </is>
      </c>
      <c r="C550" t="inlineStr">
        <is>
          <t>No</t>
        </is>
      </c>
      <c r="D550" t="n">
        <v>0</v>
      </c>
      <c r="E550" t="inlineStr">
        <is>
          <t>Graduate</t>
        </is>
      </c>
      <c r="F550" t="inlineStr">
        <is>
          <t>No</t>
        </is>
      </c>
      <c r="G550" t="n">
        <v>5000</v>
      </c>
      <c r="H550" t="n">
        <v>0</v>
      </c>
      <c r="I550" t="n">
        <v>103</v>
      </c>
      <c r="J550" t="n">
        <v>360</v>
      </c>
      <c r="K550" t="n">
        <v>0</v>
      </c>
      <c r="L550" t="inlineStr">
        <is>
          <t>Semiurban</t>
        </is>
      </c>
      <c r="M550" t="inlineStr">
        <is>
          <t>N</t>
        </is>
      </c>
      <c r="N550">
        <f>IF(AND(K550=1,M550="Y"),"Lower Risk",IF(AND(K550=0,M550="N"),"High Risk","Medium Risk"))</f>
        <v/>
      </c>
    </row>
    <row r="551">
      <c r="A551" t="inlineStr">
        <is>
          <t>LP002777</t>
        </is>
      </c>
      <c r="B551" t="inlineStr">
        <is>
          <t>Male</t>
        </is>
      </c>
      <c r="C551" t="inlineStr">
        <is>
          <t>Yes</t>
        </is>
      </c>
      <c r="D551" t="n">
        <v>0</v>
      </c>
      <c r="E551" t="inlineStr">
        <is>
          <t>Graduate</t>
        </is>
      </c>
      <c r="F551" t="inlineStr">
        <is>
          <t>No</t>
        </is>
      </c>
      <c r="G551" t="n">
        <v>2785</v>
      </c>
      <c r="H551" t="n">
        <v>2016</v>
      </c>
      <c r="I551" t="n">
        <v>110</v>
      </c>
      <c r="J551" t="n">
        <v>360</v>
      </c>
      <c r="K551" t="n">
        <v>1</v>
      </c>
      <c r="L551" t="inlineStr">
        <is>
          <t>Rural</t>
        </is>
      </c>
      <c r="M551" t="inlineStr">
        <is>
          <t>Y</t>
        </is>
      </c>
      <c r="N551">
        <f>IF(AND(K551=1,M551="Y"),"Lower Risk",IF(AND(K551=0,M551="N"),"High Risk","Medium Risk"))</f>
        <v/>
      </c>
    </row>
    <row r="552">
      <c r="A552" t="inlineStr">
        <is>
          <t>LP002778</t>
        </is>
      </c>
      <c r="B552" t="inlineStr">
        <is>
          <t>Male</t>
        </is>
      </c>
      <c r="C552" t="inlineStr">
        <is>
          <t>Yes</t>
        </is>
      </c>
      <c r="D552" t="n">
        <v>2</v>
      </c>
      <c r="E552" t="inlineStr">
        <is>
          <t>Graduate</t>
        </is>
      </c>
      <c r="F552" t="inlineStr">
        <is>
          <t>Yes</t>
        </is>
      </c>
      <c r="G552" t="n">
        <v>6633</v>
      </c>
      <c r="H552" t="n">
        <v>0</v>
      </c>
      <c r="J552" t="n">
        <v>360</v>
      </c>
      <c r="K552" t="n">
        <v>0</v>
      </c>
      <c r="L552" t="inlineStr">
        <is>
          <t>Rural</t>
        </is>
      </c>
      <c r="M552" t="inlineStr">
        <is>
          <t>N</t>
        </is>
      </c>
      <c r="N552">
        <f>IF(AND(K552=1,M552="Y"),"Lower Risk",IF(AND(K552=0,M552="N"),"High Risk","Medium Risk"))</f>
        <v/>
      </c>
    </row>
    <row r="553">
      <c r="A553" t="inlineStr">
        <is>
          <t>LP002784</t>
        </is>
      </c>
      <c r="B553" t="inlineStr">
        <is>
          <t>Male</t>
        </is>
      </c>
      <c r="C553" t="inlineStr">
        <is>
          <t>Yes</t>
        </is>
      </c>
      <c r="D553" t="n">
        <v>1</v>
      </c>
      <c r="E553" t="inlineStr">
        <is>
          <t>Not Graduate</t>
        </is>
      </c>
      <c r="F553" t="inlineStr">
        <is>
          <t>No</t>
        </is>
      </c>
      <c r="G553" t="n">
        <v>2492</v>
      </c>
      <c r="H553" t="n">
        <v>2375</v>
      </c>
      <c r="J553" t="n">
        <v>360</v>
      </c>
      <c r="K553" t="n">
        <v>1</v>
      </c>
      <c r="L553" t="inlineStr">
        <is>
          <t>Rural</t>
        </is>
      </c>
      <c r="M553" t="inlineStr">
        <is>
          <t>Y</t>
        </is>
      </c>
      <c r="N553">
        <f>IF(AND(K553=1,M553="Y"),"Lower Risk",IF(AND(K553=0,M553="N"),"High Risk","Medium Risk"))</f>
        <v/>
      </c>
    </row>
    <row r="554">
      <c r="A554" t="inlineStr">
        <is>
          <t>LP002785</t>
        </is>
      </c>
      <c r="B554" t="inlineStr">
        <is>
          <t>Male</t>
        </is>
      </c>
      <c r="C554" t="inlineStr">
        <is>
          <t>Yes</t>
        </is>
      </c>
      <c r="D554" t="n">
        <v>1</v>
      </c>
      <c r="E554" t="inlineStr">
        <is>
          <t>Graduate</t>
        </is>
      </c>
      <c r="F554" t="inlineStr">
        <is>
          <t>No</t>
        </is>
      </c>
      <c r="G554" t="n">
        <v>3333</v>
      </c>
      <c r="H554" t="n">
        <v>3250</v>
      </c>
      <c r="I554" t="n">
        <v>158</v>
      </c>
      <c r="J554" t="n">
        <v>360</v>
      </c>
      <c r="K554" t="n">
        <v>1</v>
      </c>
      <c r="L554" t="inlineStr">
        <is>
          <t>Urban</t>
        </is>
      </c>
      <c r="M554" t="inlineStr">
        <is>
          <t>Y</t>
        </is>
      </c>
      <c r="N554">
        <f>IF(AND(K554=1,M554="Y"),"Lower Risk",IF(AND(K554=0,M554="N"),"High Risk","Medium Risk"))</f>
        <v/>
      </c>
    </row>
    <row r="555">
      <c r="A555" t="inlineStr">
        <is>
          <t>LP002788</t>
        </is>
      </c>
      <c r="B555" t="inlineStr">
        <is>
          <t>Male</t>
        </is>
      </c>
      <c r="C555" t="inlineStr">
        <is>
          <t>Yes</t>
        </is>
      </c>
      <c r="D555" t="n">
        <v>0</v>
      </c>
      <c r="E555" t="inlineStr">
        <is>
          <t>Not Graduate</t>
        </is>
      </c>
      <c r="F555" t="inlineStr">
        <is>
          <t>No</t>
        </is>
      </c>
      <c r="G555" t="n">
        <v>2454</v>
      </c>
      <c r="H555" t="n">
        <v>2333</v>
      </c>
      <c r="I555" t="n">
        <v>181</v>
      </c>
      <c r="J555" t="n">
        <v>360</v>
      </c>
      <c r="K555" t="n">
        <v>0</v>
      </c>
      <c r="L555" t="inlineStr">
        <is>
          <t>Urban</t>
        </is>
      </c>
      <c r="M555" t="inlineStr">
        <is>
          <t>N</t>
        </is>
      </c>
      <c r="N555">
        <f>IF(AND(K555=1,M555="Y"),"Lower Risk",IF(AND(K555=0,M555="N"),"High Risk","Medium Risk"))</f>
        <v/>
      </c>
    </row>
    <row r="556">
      <c r="A556" t="inlineStr">
        <is>
          <t>LP002789</t>
        </is>
      </c>
      <c r="B556" t="inlineStr">
        <is>
          <t>Male</t>
        </is>
      </c>
      <c r="C556" t="inlineStr">
        <is>
          <t>Yes</t>
        </is>
      </c>
      <c r="D556" t="n">
        <v>0</v>
      </c>
      <c r="E556" t="inlineStr">
        <is>
          <t>Graduate</t>
        </is>
      </c>
      <c r="F556" t="inlineStr">
        <is>
          <t>No</t>
        </is>
      </c>
      <c r="G556" t="n">
        <v>3593</v>
      </c>
      <c r="H556" t="n">
        <v>4266</v>
      </c>
      <c r="I556" t="n">
        <v>132</v>
      </c>
      <c r="J556" t="n">
        <v>180</v>
      </c>
      <c r="K556" t="n">
        <v>0</v>
      </c>
      <c r="L556" t="inlineStr">
        <is>
          <t>Rural</t>
        </is>
      </c>
      <c r="M556" t="inlineStr">
        <is>
          <t>N</t>
        </is>
      </c>
      <c r="N556">
        <f>IF(AND(K556=1,M556="Y"),"Lower Risk",IF(AND(K556=0,M556="N"),"High Risk","Medium Risk"))</f>
        <v/>
      </c>
    </row>
    <row r="557">
      <c r="A557" t="inlineStr">
        <is>
          <t>LP002792</t>
        </is>
      </c>
      <c r="B557" t="inlineStr">
        <is>
          <t>Male</t>
        </is>
      </c>
      <c r="C557" t="inlineStr">
        <is>
          <t>Yes</t>
        </is>
      </c>
      <c r="D557" t="n">
        <v>1</v>
      </c>
      <c r="E557" t="inlineStr">
        <is>
          <t>Graduate</t>
        </is>
      </c>
      <c r="F557" t="inlineStr">
        <is>
          <t>No</t>
        </is>
      </c>
      <c r="G557" t="n">
        <v>5468</v>
      </c>
      <c r="H557" t="n">
        <v>1032</v>
      </c>
      <c r="I557" t="n">
        <v>26</v>
      </c>
      <c r="J557" t="n">
        <v>360</v>
      </c>
      <c r="K557" t="n">
        <v>1</v>
      </c>
      <c r="L557" t="inlineStr">
        <is>
          <t>Semiurban</t>
        </is>
      </c>
      <c r="M557" t="inlineStr">
        <is>
          <t>Y</t>
        </is>
      </c>
      <c r="N557">
        <f>IF(AND(K557=1,M557="Y"),"Lower Risk",IF(AND(K557=0,M557="N"),"High Risk","Medium Risk"))</f>
        <v/>
      </c>
    </row>
    <row r="558">
      <c r="A558" t="inlineStr">
        <is>
          <t>LP002794</t>
        </is>
      </c>
      <c r="B558" t="inlineStr">
        <is>
          <t>Female</t>
        </is>
      </c>
      <c r="C558" t="inlineStr">
        <is>
          <t>No</t>
        </is>
      </c>
      <c r="D558" t="n">
        <v>0</v>
      </c>
      <c r="E558" t="inlineStr">
        <is>
          <t>Graduate</t>
        </is>
      </c>
      <c r="F558" t="inlineStr">
        <is>
          <t>No</t>
        </is>
      </c>
      <c r="G558" t="n">
        <v>2667</v>
      </c>
      <c r="H558" t="n">
        <v>1625</v>
      </c>
      <c r="I558" t="n">
        <v>84</v>
      </c>
      <c r="J558" t="n">
        <v>360</v>
      </c>
      <c r="L558" t="inlineStr">
        <is>
          <t>Urban</t>
        </is>
      </c>
      <c r="M558" t="inlineStr">
        <is>
          <t>Y</t>
        </is>
      </c>
      <c r="N558">
        <f>IF(AND(K558=1,M558="Y"),"Lower Risk",IF(AND(K558=0,M558="N"),"High Risk","Medium Risk"))</f>
        <v/>
      </c>
    </row>
    <row r="559">
      <c r="A559" t="inlineStr">
        <is>
          <t>LP002795</t>
        </is>
      </c>
      <c r="B559" t="inlineStr">
        <is>
          <t>Male</t>
        </is>
      </c>
      <c r="C559" t="inlineStr">
        <is>
          <t>Yes</t>
        </is>
      </c>
      <c r="D559" t="inlineStr">
        <is>
          <t>3+</t>
        </is>
      </c>
      <c r="E559" t="inlineStr">
        <is>
          <t>Graduate</t>
        </is>
      </c>
      <c r="F559" t="inlineStr">
        <is>
          <t>Yes</t>
        </is>
      </c>
      <c r="G559" t="n">
        <v>10139</v>
      </c>
      <c r="H559" t="n">
        <v>0</v>
      </c>
      <c r="I559" t="n">
        <v>260</v>
      </c>
      <c r="J559" t="n">
        <v>360</v>
      </c>
      <c r="K559" t="n">
        <v>1</v>
      </c>
      <c r="L559" t="inlineStr">
        <is>
          <t>Semiurban</t>
        </is>
      </c>
      <c r="M559" t="inlineStr">
        <is>
          <t>Y</t>
        </is>
      </c>
      <c r="N559">
        <f>IF(AND(K559=1,M559="Y"),"Lower Risk",IF(AND(K559=0,M559="N"),"High Risk","Medium Risk"))</f>
        <v/>
      </c>
    </row>
    <row r="560">
      <c r="A560" t="inlineStr">
        <is>
          <t>LP002798</t>
        </is>
      </c>
      <c r="B560" t="inlineStr">
        <is>
          <t>Male</t>
        </is>
      </c>
      <c r="C560" t="inlineStr">
        <is>
          <t>Yes</t>
        </is>
      </c>
      <c r="D560" t="n">
        <v>0</v>
      </c>
      <c r="E560" t="inlineStr">
        <is>
          <t>Graduate</t>
        </is>
      </c>
      <c r="F560" t="inlineStr">
        <is>
          <t>No</t>
        </is>
      </c>
      <c r="G560" t="n">
        <v>3887</v>
      </c>
      <c r="H560" t="n">
        <v>2669</v>
      </c>
      <c r="I560" t="n">
        <v>162</v>
      </c>
      <c r="J560" t="n">
        <v>360</v>
      </c>
      <c r="K560" t="n">
        <v>1</v>
      </c>
      <c r="L560" t="inlineStr">
        <is>
          <t>Semiurban</t>
        </is>
      </c>
      <c r="M560" t="inlineStr">
        <is>
          <t>Y</t>
        </is>
      </c>
      <c r="N560">
        <f>IF(AND(K560=1,M560="Y"),"Lower Risk",IF(AND(K560=0,M560="N"),"High Risk","Medium Risk"))</f>
        <v/>
      </c>
    </row>
    <row r="561">
      <c r="A561" t="inlineStr">
        <is>
          <t>LP002804</t>
        </is>
      </c>
      <c r="B561" t="inlineStr">
        <is>
          <t>Female</t>
        </is>
      </c>
      <c r="C561" t="inlineStr">
        <is>
          <t>Yes</t>
        </is>
      </c>
      <c r="D561" t="n">
        <v>0</v>
      </c>
      <c r="E561" t="inlineStr">
        <is>
          <t>Graduate</t>
        </is>
      </c>
      <c r="F561" t="inlineStr">
        <is>
          <t>No</t>
        </is>
      </c>
      <c r="G561" t="n">
        <v>4180</v>
      </c>
      <c r="H561" t="n">
        <v>2306</v>
      </c>
      <c r="I561" t="n">
        <v>182</v>
      </c>
      <c r="J561" t="n">
        <v>360</v>
      </c>
      <c r="K561" t="n">
        <v>1</v>
      </c>
      <c r="L561" t="inlineStr">
        <is>
          <t>Semiurban</t>
        </is>
      </c>
      <c r="M561" t="inlineStr">
        <is>
          <t>Y</t>
        </is>
      </c>
      <c r="N561">
        <f>IF(AND(K561=1,M561="Y"),"Lower Risk",IF(AND(K561=0,M561="N"),"High Risk","Medium Risk"))</f>
        <v/>
      </c>
    </row>
    <row r="562">
      <c r="A562" t="inlineStr">
        <is>
          <t>LP002807</t>
        </is>
      </c>
      <c r="B562" t="inlineStr">
        <is>
          <t>Male</t>
        </is>
      </c>
      <c r="C562" t="inlineStr">
        <is>
          <t>Yes</t>
        </is>
      </c>
      <c r="D562" t="n">
        <v>2</v>
      </c>
      <c r="E562" t="inlineStr">
        <is>
          <t>Not Graduate</t>
        </is>
      </c>
      <c r="F562" t="inlineStr">
        <is>
          <t>No</t>
        </is>
      </c>
      <c r="G562" t="n">
        <v>3675</v>
      </c>
      <c r="H562" t="n">
        <v>242</v>
      </c>
      <c r="I562" t="n">
        <v>108</v>
      </c>
      <c r="J562" t="n">
        <v>360</v>
      </c>
      <c r="K562" t="n">
        <v>1</v>
      </c>
      <c r="L562" t="inlineStr">
        <is>
          <t>Semiurban</t>
        </is>
      </c>
      <c r="M562" t="inlineStr">
        <is>
          <t>Y</t>
        </is>
      </c>
      <c r="N562">
        <f>IF(AND(K562=1,M562="Y"),"Lower Risk",IF(AND(K562=0,M562="N"),"High Risk","Medium Risk"))</f>
        <v/>
      </c>
    </row>
    <row r="563">
      <c r="A563" t="inlineStr">
        <is>
          <t>LP002813</t>
        </is>
      </c>
      <c r="B563" t="inlineStr">
        <is>
          <t>Female</t>
        </is>
      </c>
      <c r="C563" t="inlineStr">
        <is>
          <t>Yes</t>
        </is>
      </c>
      <c r="D563" t="n">
        <v>1</v>
      </c>
      <c r="E563" t="inlineStr">
        <is>
          <t>Graduate</t>
        </is>
      </c>
      <c r="F563" t="inlineStr">
        <is>
          <t>Yes</t>
        </is>
      </c>
      <c r="G563" t="n">
        <v>19484</v>
      </c>
      <c r="H563" t="n">
        <v>0</v>
      </c>
      <c r="I563" t="n">
        <v>600</v>
      </c>
      <c r="J563" t="n">
        <v>360</v>
      </c>
      <c r="K563" t="n">
        <v>1</v>
      </c>
      <c r="L563" t="inlineStr">
        <is>
          <t>Semiurban</t>
        </is>
      </c>
      <c r="M563" t="inlineStr">
        <is>
          <t>Y</t>
        </is>
      </c>
      <c r="N563">
        <f>IF(AND(K563=1,M563="Y"),"Lower Risk",IF(AND(K563=0,M563="N"),"High Risk","Medium Risk"))</f>
        <v/>
      </c>
    </row>
    <row r="564">
      <c r="A564" t="inlineStr">
        <is>
          <t>LP002820</t>
        </is>
      </c>
      <c r="B564" t="inlineStr">
        <is>
          <t>Male</t>
        </is>
      </c>
      <c r="C564" t="inlineStr">
        <is>
          <t>Yes</t>
        </is>
      </c>
      <c r="D564" t="n">
        <v>0</v>
      </c>
      <c r="E564" t="inlineStr">
        <is>
          <t>Graduate</t>
        </is>
      </c>
      <c r="F564" t="inlineStr">
        <is>
          <t>No</t>
        </is>
      </c>
      <c r="G564" t="n">
        <v>5923</v>
      </c>
      <c r="H564" t="n">
        <v>2054</v>
      </c>
      <c r="I564" t="n">
        <v>211</v>
      </c>
      <c r="J564" t="n">
        <v>360</v>
      </c>
      <c r="K564" t="n">
        <v>1</v>
      </c>
      <c r="L564" t="inlineStr">
        <is>
          <t>Rural</t>
        </is>
      </c>
      <c r="M564" t="inlineStr">
        <is>
          <t>Y</t>
        </is>
      </c>
      <c r="N564">
        <f>IF(AND(K564=1,M564="Y"),"Lower Risk",IF(AND(K564=0,M564="N"),"High Risk","Medium Risk"))</f>
        <v/>
      </c>
    </row>
    <row r="565">
      <c r="A565" t="inlineStr">
        <is>
          <t>LP002821</t>
        </is>
      </c>
      <c r="B565" t="inlineStr">
        <is>
          <t>Male</t>
        </is>
      </c>
      <c r="C565" t="inlineStr">
        <is>
          <t>No</t>
        </is>
      </c>
      <c r="D565" t="n">
        <v>0</v>
      </c>
      <c r="E565" t="inlineStr">
        <is>
          <t>Not Graduate</t>
        </is>
      </c>
      <c r="F565" t="inlineStr">
        <is>
          <t>Yes</t>
        </is>
      </c>
      <c r="G565" t="n">
        <v>5800</v>
      </c>
      <c r="H565" t="n">
        <v>0</v>
      </c>
      <c r="I565" t="n">
        <v>132</v>
      </c>
      <c r="J565" t="n">
        <v>360</v>
      </c>
      <c r="K565" t="n">
        <v>1</v>
      </c>
      <c r="L565" t="inlineStr">
        <is>
          <t>Semiurban</t>
        </is>
      </c>
      <c r="M565" t="inlineStr">
        <is>
          <t>Y</t>
        </is>
      </c>
      <c r="N565">
        <f>IF(AND(K565=1,M565="Y"),"Lower Risk",IF(AND(K565=0,M565="N"),"High Risk","Medium Risk"))</f>
        <v/>
      </c>
    </row>
    <row r="566">
      <c r="A566" t="inlineStr">
        <is>
          <t>LP002832</t>
        </is>
      </c>
      <c r="B566" t="inlineStr">
        <is>
          <t>Male</t>
        </is>
      </c>
      <c r="C566" t="inlineStr">
        <is>
          <t>Yes</t>
        </is>
      </c>
      <c r="D566" t="n">
        <v>2</v>
      </c>
      <c r="E566" t="inlineStr">
        <is>
          <t>Graduate</t>
        </is>
      </c>
      <c r="F566" t="inlineStr">
        <is>
          <t>No</t>
        </is>
      </c>
      <c r="G566" t="n">
        <v>8799</v>
      </c>
      <c r="H566" t="n">
        <v>0</v>
      </c>
      <c r="I566" t="n">
        <v>258</v>
      </c>
      <c r="J566" t="n">
        <v>360</v>
      </c>
      <c r="K566" t="n">
        <v>0</v>
      </c>
      <c r="L566" t="inlineStr">
        <is>
          <t>Urban</t>
        </is>
      </c>
      <c r="M566" t="inlineStr">
        <is>
          <t>N</t>
        </is>
      </c>
      <c r="N566">
        <f>IF(AND(K566=1,M566="Y"),"Lower Risk",IF(AND(K566=0,M566="N"),"High Risk","Medium Risk"))</f>
        <v/>
      </c>
    </row>
    <row r="567">
      <c r="A567" t="inlineStr">
        <is>
          <t>LP002833</t>
        </is>
      </c>
      <c r="B567" t="inlineStr">
        <is>
          <t>Male</t>
        </is>
      </c>
      <c r="C567" t="inlineStr">
        <is>
          <t>Yes</t>
        </is>
      </c>
      <c r="D567" t="n">
        <v>0</v>
      </c>
      <c r="E567" t="inlineStr">
        <is>
          <t>Not Graduate</t>
        </is>
      </c>
      <c r="F567" t="inlineStr">
        <is>
          <t>No</t>
        </is>
      </c>
      <c r="G567" t="n">
        <v>4467</v>
      </c>
      <c r="H567" t="n">
        <v>0</v>
      </c>
      <c r="I567" t="n">
        <v>120</v>
      </c>
      <c r="J567" t="n">
        <v>360</v>
      </c>
      <c r="L567" t="inlineStr">
        <is>
          <t>Rural</t>
        </is>
      </c>
      <c r="M567" t="inlineStr">
        <is>
          <t>Y</t>
        </is>
      </c>
      <c r="N567">
        <f>IF(AND(K567=1,M567="Y"),"Lower Risk",IF(AND(K567=0,M567="N"),"High Risk","Medium Risk"))</f>
        <v/>
      </c>
    </row>
    <row r="568">
      <c r="A568" t="inlineStr">
        <is>
          <t>LP002836</t>
        </is>
      </c>
      <c r="B568" t="inlineStr">
        <is>
          <t>Male</t>
        </is>
      </c>
      <c r="C568" t="inlineStr">
        <is>
          <t>No</t>
        </is>
      </c>
      <c r="D568" t="n">
        <v>0</v>
      </c>
      <c r="E568" t="inlineStr">
        <is>
          <t>Graduate</t>
        </is>
      </c>
      <c r="F568" t="inlineStr">
        <is>
          <t>No</t>
        </is>
      </c>
      <c r="G568" t="n">
        <v>3333</v>
      </c>
      <c r="H568" t="n">
        <v>0</v>
      </c>
      <c r="I568" t="n">
        <v>70</v>
      </c>
      <c r="J568" t="n">
        <v>360</v>
      </c>
      <c r="K568" t="n">
        <v>1</v>
      </c>
      <c r="L568" t="inlineStr">
        <is>
          <t>Urban</t>
        </is>
      </c>
      <c r="M568" t="inlineStr">
        <is>
          <t>Y</t>
        </is>
      </c>
      <c r="N568">
        <f>IF(AND(K568=1,M568="Y"),"Lower Risk",IF(AND(K568=0,M568="N"),"High Risk","Medium Risk"))</f>
        <v/>
      </c>
    </row>
    <row r="569">
      <c r="A569" t="inlineStr">
        <is>
          <t>LP002837</t>
        </is>
      </c>
      <c r="B569" t="inlineStr">
        <is>
          <t>Male</t>
        </is>
      </c>
      <c r="C569" t="inlineStr">
        <is>
          <t>Yes</t>
        </is>
      </c>
      <c r="D569" t="inlineStr">
        <is>
          <t>3+</t>
        </is>
      </c>
      <c r="E569" t="inlineStr">
        <is>
          <t>Graduate</t>
        </is>
      </c>
      <c r="F569" t="inlineStr">
        <is>
          <t>No</t>
        </is>
      </c>
      <c r="G569" t="n">
        <v>3400</v>
      </c>
      <c r="H569" t="n">
        <v>2500</v>
      </c>
      <c r="I569" t="n">
        <v>123</v>
      </c>
      <c r="J569" t="n">
        <v>360</v>
      </c>
      <c r="K569" t="n">
        <v>0</v>
      </c>
      <c r="L569" t="inlineStr">
        <is>
          <t>Rural</t>
        </is>
      </c>
      <c r="M569" t="inlineStr">
        <is>
          <t>N</t>
        </is>
      </c>
      <c r="N569">
        <f>IF(AND(K569=1,M569="Y"),"Lower Risk",IF(AND(K569=0,M569="N"),"High Risk","Medium Risk"))</f>
        <v/>
      </c>
    </row>
    <row r="570">
      <c r="A570" t="inlineStr">
        <is>
          <t>LP002840</t>
        </is>
      </c>
      <c r="B570" t="inlineStr">
        <is>
          <t>Female</t>
        </is>
      </c>
      <c r="C570" t="inlineStr">
        <is>
          <t>No</t>
        </is>
      </c>
      <c r="D570" t="n">
        <v>0</v>
      </c>
      <c r="E570" t="inlineStr">
        <is>
          <t>Graduate</t>
        </is>
      </c>
      <c r="F570" t="inlineStr">
        <is>
          <t>No</t>
        </is>
      </c>
      <c r="G570" t="n">
        <v>2378</v>
      </c>
      <c r="H570" t="n">
        <v>0</v>
      </c>
      <c r="I570" t="n">
        <v>9</v>
      </c>
      <c r="J570" t="n">
        <v>360</v>
      </c>
      <c r="K570" t="n">
        <v>1</v>
      </c>
      <c r="L570" t="inlineStr">
        <is>
          <t>Urban</t>
        </is>
      </c>
      <c r="M570" t="inlineStr">
        <is>
          <t>N</t>
        </is>
      </c>
      <c r="N570">
        <f>IF(AND(K570=1,M570="Y"),"Lower Risk",IF(AND(K570=0,M570="N"),"High Risk","Medium Risk"))</f>
        <v/>
      </c>
    </row>
    <row r="571">
      <c r="A571" t="inlineStr">
        <is>
          <t>LP002841</t>
        </is>
      </c>
      <c r="B571" t="inlineStr">
        <is>
          <t>Male</t>
        </is>
      </c>
      <c r="C571" t="inlineStr">
        <is>
          <t>Yes</t>
        </is>
      </c>
      <c r="D571" t="n">
        <v>0</v>
      </c>
      <c r="E571" t="inlineStr">
        <is>
          <t>Graduate</t>
        </is>
      </c>
      <c r="F571" t="inlineStr">
        <is>
          <t>No</t>
        </is>
      </c>
      <c r="G571" t="n">
        <v>3166</v>
      </c>
      <c r="H571" t="n">
        <v>2064</v>
      </c>
      <c r="I571" t="n">
        <v>104</v>
      </c>
      <c r="J571" t="n">
        <v>360</v>
      </c>
      <c r="K571" t="n">
        <v>0</v>
      </c>
      <c r="L571" t="inlineStr">
        <is>
          <t>Urban</t>
        </is>
      </c>
      <c r="M571" t="inlineStr">
        <is>
          <t>N</t>
        </is>
      </c>
      <c r="N571">
        <f>IF(AND(K571=1,M571="Y"),"Lower Risk",IF(AND(K571=0,M571="N"),"High Risk","Medium Risk"))</f>
        <v/>
      </c>
    </row>
    <row r="572">
      <c r="A572" t="inlineStr">
        <is>
          <t>LP002842</t>
        </is>
      </c>
      <c r="B572" t="inlineStr">
        <is>
          <t>Male</t>
        </is>
      </c>
      <c r="C572" t="inlineStr">
        <is>
          <t>Yes</t>
        </is>
      </c>
      <c r="D572" t="n">
        <v>1</v>
      </c>
      <c r="E572" t="inlineStr">
        <is>
          <t>Graduate</t>
        </is>
      </c>
      <c r="F572" t="inlineStr">
        <is>
          <t>No</t>
        </is>
      </c>
      <c r="G572" t="n">
        <v>3417</v>
      </c>
      <c r="H572" t="n">
        <v>1750</v>
      </c>
      <c r="I572" t="n">
        <v>186</v>
      </c>
      <c r="J572" t="n">
        <v>360</v>
      </c>
      <c r="K572" t="n">
        <v>1</v>
      </c>
      <c r="L572" t="inlineStr">
        <is>
          <t>Urban</t>
        </is>
      </c>
      <c r="M572" t="inlineStr">
        <is>
          <t>Y</t>
        </is>
      </c>
      <c r="N572">
        <f>IF(AND(K572=1,M572="Y"),"Lower Risk",IF(AND(K572=0,M572="N"),"High Risk","Medium Risk"))</f>
        <v/>
      </c>
    </row>
    <row r="573">
      <c r="A573" t="inlineStr">
        <is>
          <t>LP002847</t>
        </is>
      </c>
      <c r="B573" t="inlineStr">
        <is>
          <t>Male</t>
        </is>
      </c>
      <c r="C573" t="inlineStr">
        <is>
          <t>Yes</t>
        </is>
      </c>
      <c r="E573" t="inlineStr">
        <is>
          <t>Graduate</t>
        </is>
      </c>
      <c r="F573" t="inlineStr">
        <is>
          <t>No</t>
        </is>
      </c>
      <c r="G573" t="n">
        <v>5116</v>
      </c>
      <c r="H573" t="n">
        <v>1451</v>
      </c>
      <c r="I573" t="n">
        <v>165</v>
      </c>
      <c r="J573" t="n">
        <v>360</v>
      </c>
      <c r="K573" t="n">
        <v>0</v>
      </c>
      <c r="L573" t="inlineStr">
        <is>
          <t>Urban</t>
        </is>
      </c>
      <c r="M573" t="inlineStr">
        <is>
          <t>N</t>
        </is>
      </c>
      <c r="N573">
        <f>IF(AND(K573=1,M573="Y"),"Lower Risk",IF(AND(K573=0,M573="N"),"High Risk","Medium Risk"))</f>
        <v/>
      </c>
    </row>
    <row r="574">
      <c r="A574" t="inlineStr">
        <is>
          <t>LP002855</t>
        </is>
      </c>
      <c r="B574" t="inlineStr">
        <is>
          <t>Male</t>
        </is>
      </c>
      <c r="C574" t="inlineStr">
        <is>
          <t>Yes</t>
        </is>
      </c>
      <c r="D574" t="n">
        <v>2</v>
      </c>
      <c r="E574" t="inlineStr">
        <is>
          <t>Graduate</t>
        </is>
      </c>
      <c r="F574" t="inlineStr">
        <is>
          <t>No</t>
        </is>
      </c>
      <c r="G574" t="n">
        <v>16666</v>
      </c>
      <c r="H574" t="n">
        <v>0</v>
      </c>
      <c r="I574" t="n">
        <v>275</v>
      </c>
      <c r="J574" t="n">
        <v>360</v>
      </c>
      <c r="K574" t="n">
        <v>1</v>
      </c>
      <c r="L574" t="inlineStr">
        <is>
          <t>Urban</t>
        </is>
      </c>
      <c r="M574" t="inlineStr">
        <is>
          <t>Y</t>
        </is>
      </c>
      <c r="N574">
        <f>IF(AND(K574=1,M574="Y"),"Lower Risk",IF(AND(K574=0,M574="N"),"High Risk","Medium Risk"))</f>
        <v/>
      </c>
    </row>
    <row r="575">
      <c r="A575" t="inlineStr">
        <is>
          <t>LP002862</t>
        </is>
      </c>
      <c r="B575" t="inlineStr">
        <is>
          <t>Male</t>
        </is>
      </c>
      <c r="C575" t="inlineStr">
        <is>
          <t>Yes</t>
        </is>
      </c>
      <c r="D575" t="n">
        <v>2</v>
      </c>
      <c r="E575" t="inlineStr">
        <is>
          <t>Not Graduate</t>
        </is>
      </c>
      <c r="F575" t="inlineStr">
        <is>
          <t>No</t>
        </is>
      </c>
      <c r="G575" t="n">
        <v>6125</v>
      </c>
      <c r="H575" t="n">
        <v>1625</v>
      </c>
      <c r="I575" t="n">
        <v>187</v>
      </c>
      <c r="J575" t="n">
        <v>480</v>
      </c>
      <c r="K575" t="n">
        <v>1</v>
      </c>
      <c r="L575" t="inlineStr">
        <is>
          <t>Semiurban</t>
        </is>
      </c>
      <c r="M575" t="inlineStr">
        <is>
          <t>N</t>
        </is>
      </c>
      <c r="N575">
        <f>IF(AND(K575=1,M575="Y"),"Lower Risk",IF(AND(K575=0,M575="N"),"High Risk","Medium Risk"))</f>
        <v/>
      </c>
    </row>
    <row r="576">
      <c r="A576" t="inlineStr">
        <is>
          <t>LP002863</t>
        </is>
      </c>
      <c r="B576" t="inlineStr">
        <is>
          <t>Male</t>
        </is>
      </c>
      <c r="C576" t="inlineStr">
        <is>
          <t>Yes</t>
        </is>
      </c>
      <c r="D576" t="inlineStr">
        <is>
          <t>3+</t>
        </is>
      </c>
      <c r="E576" t="inlineStr">
        <is>
          <t>Graduate</t>
        </is>
      </c>
      <c r="F576" t="inlineStr">
        <is>
          <t>No</t>
        </is>
      </c>
      <c r="G576" t="n">
        <v>6406</v>
      </c>
      <c r="H576" t="n">
        <v>0</v>
      </c>
      <c r="I576" t="n">
        <v>150</v>
      </c>
      <c r="J576" t="n">
        <v>360</v>
      </c>
      <c r="K576" t="n">
        <v>1</v>
      </c>
      <c r="L576" t="inlineStr">
        <is>
          <t>Semiurban</t>
        </is>
      </c>
      <c r="M576" t="inlineStr">
        <is>
          <t>N</t>
        </is>
      </c>
      <c r="N576">
        <f>IF(AND(K576=1,M576="Y"),"Lower Risk",IF(AND(K576=0,M576="N"),"High Risk","Medium Risk"))</f>
        <v/>
      </c>
    </row>
    <row r="577">
      <c r="A577" t="inlineStr">
        <is>
          <t>LP002868</t>
        </is>
      </c>
      <c r="B577" t="inlineStr">
        <is>
          <t>Male</t>
        </is>
      </c>
      <c r="C577" t="inlineStr">
        <is>
          <t>Yes</t>
        </is>
      </c>
      <c r="D577" t="n">
        <v>2</v>
      </c>
      <c r="E577" t="inlineStr">
        <is>
          <t>Graduate</t>
        </is>
      </c>
      <c r="F577" t="inlineStr">
        <is>
          <t>No</t>
        </is>
      </c>
      <c r="G577" t="n">
        <v>3159</v>
      </c>
      <c r="H577" t="n">
        <v>461</v>
      </c>
      <c r="I577" t="n">
        <v>108</v>
      </c>
      <c r="J577" t="n">
        <v>84</v>
      </c>
      <c r="K577" t="n">
        <v>1</v>
      </c>
      <c r="L577" t="inlineStr">
        <is>
          <t>Urban</t>
        </is>
      </c>
      <c r="M577" t="inlineStr">
        <is>
          <t>Y</t>
        </is>
      </c>
      <c r="N577">
        <f>IF(AND(K577=1,M577="Y"),"Lower Risk",IF(AND(K577=0,M577="N"),"High Risk","Medium Risk"))</f>
        <v/>
      </c>
    </row>
    <row r="578">
      <c r="A578" t="inlineStr">
        <is>
          <t>LP002872</t>
        </is>
      </c>
      <c r="C578" t="inlineStr">
        <is>
          <t>Yes</t>
        </is>
      </c>
      <c r="D578" t="n">
        <v>0</v>
      </c>
      <c r="E578" t="inlineStr">
        <is>
          <t>Graduate</t>
        </is>
      </c>
      <c r="F578" t="inlineStr">
        <is>
          <t>No</t>
        </is>
      </c>
      <c r="G578" t="n">
        <v>3087</v>
      </c>
      <c r="H578" t="n">
        <v>2210</v>
      </c>
      <c r="I578" t="n">
        <v>136</v>
      </c>
      <c r="J578" t="n">
        <v>360</v>
      </c>
      <c r="K578" t="n">
        <v>0</v>
      </c>
      <c r="L578" t="inlineStr">
        <is>
          <t>Semiurban</t>
        </is>
      </c>
      <c r="M578" t="inlineStr">
        <is>
          <t>N</t>
        </is>
      </c>
      <c r="N578">
        <f>IF(AND(K578=1,M578="Y"),"Lower Risk",IF(AND(K578=0,M578="N"),"High Risk","Medium Risk"))</f>
        <v/>
      </c>
    </row>
    <row r="579">
      <c r="A579" t="inlineStr">
        <is>
          <t>LP002874</t>
        </is>
      </c>
      <c r="B579" t="inlineStr">
        <is>
          <t>Male</t>
        </is>
      </c>
      <c r="C579" t="inlineStr">
        <is>
          <t>No</t>
        </is>
      </c>
      <c r="D579" t="n">
        <v>0</v>
      </c>
      <c r="E579" t="inlineStr">
        <is>
          <t>Graduate</t>
        </is>
      </c>
      <c r="F579" t="inlineStr">
        <is>
          <t>No</t>
        </is>
      </c>
      <c r="G579" t="n">
        <v>3229</v>
      </c>
      <c r="H579" t="n">
        <v>2739</v>
      </c>
      <c r="I579" t="n">
        <v>110</v>
      </c>
      <c r="J579" t="n">
        <v>360</v>
      </c>
      <c r="K579" t="n">
        <v>1</v>
      </c>
      <c r="L579" t="inlineStr">
        <is>
          <t>Urban</t>
        </is>
      </c>
      <c r="M579" t="inlineStr">
        <is>
          <t>Y</t>
        </is>
      </c>
      <c r="N579">
        <f>IF(AND(K579=1,M579="Y"),"Lower Risk",IF(AND(K579=0,M579="N"),"High Risk","Medium Risk"))</f>
        <v/>
      </c>
    </row>
    <row r="580">
      <c r="A580" t="inlineStr">
        <is>
          <t>LP002877</t>
        </is>
      </c>
      <c r="B580" t="inlineStr">
        <is>
          <t>Male</t>
        </is>
      </c>
      <c r="C580" t="inlineStr">
        <is>
          <t>Yes</t>
        </is>
      </c>
      <c r="D580" t="n">
        <v>1</v>
      </c>
      <c r="E580" t="inlineStr">
        <is>
          <t>Graduate</t>
        </is>
      </c>
      <c r="F580" t="inlineStr">
        <is>
          <t>No</t>
        </is>
      </c>
      <c r="G580" t="n">
        <v>1782</v>
      </c>
      <c r="H580" t="n">
        <v>2232</v>
      </c>
      <c r="I580" t="n">
        <v>107</v>
      </c>
      <c r="J580" t="n">
        <v>360</v>
      </c>
      <c r="K580" t="n">
        <v>1</v>
      </c>
      <c r="L580" t="inlineStr">
        <is>
          <t>Rural</t>
        </is>
      </c>
      <c r="M580" t="inlineStr">
        <is>
          <t>Y</t>
        </is>
      </c>
      <c r="N580">
        <f>IF(AND(K580=1,M580="Y"),"Lower Risk",IF(AND(K580=0,M580="N"),"High Risk","Medium Risk"))</f>
        <v/>
      </c>
    </row>
    <row r="581">
      <c r="A581" t="inlineStr">
        <is>
          <t>LP002888</t>
        </is>
      </c>
      <c r="B581" t="inlineStr">
        <is>
          <t>Male</t>
        </is>
      </c>
      <c r="C581" t="inlineStr">
        <is>
          <t>No</t>
        </is>
      </c>
      <c r="D581" t="n">
        <v>0</v>
      </c>
      <c r="E581" t="inlineStr">
        <is>
          <t>Graduate</t>
        </is>
      </c>
      <c r="G581" t="n">
        <v>3182</v>
      </c>
      <c r="H581" t="n">
        <v>2917</v>
      </c>
      <c r="I581" t="n">
        <v>161</v>
      </c>
      <c r="J581" t="n">
        <v>360</v>
      </c>
      <c r="K581" t="n">
        <v>1</v>
      </c>
      <c r="L581" t="inlineStr">
        <is>
          <t>Urban</t>
        </is>
      </c>
      <c r="M581" t="inlineStr">
        <is>
          <t>Y</t>
        </is>
      </c>
      <c r="N581">
        <f>IF(AND(K581=1,M581="Y"),"Lower Risk",IF(AND(K581=0,M581="N"),"High Risk","Medium Risk"))</f>
        <v/>
      </c>
    </row>
    <row r="582">
      <c r="A582" t="inlineStr">
        <is>
          <t>LP002892</t>
        </is>
      </c>
      <c r="B582" t="inlineStr">
        <is>
          <t>Male</t>
        </is>
      </c>
      <c r="C582" t="inlineStr">
        <is>
          <t>Yes</t>
        </is>
      </c>
      <c r="D582" t="n">
        <v>2</v>
      </c>
      <c r="E582" t="inlineStr">
        <is>
          <t>Graduate</t>
        </is>
      </c>
      <c r="F582" t="inlineStr">
        <is>
          <t>No</t>
        </is>
      </c>
      <c r="G582" t="n">
        <v>6540</v>
      </c>
      <c r="H582" t="n">
        <v>0</v>
      </c>
      <c r="I582" t="n">
        <v>205</v>
      </c>
      <c r="J582" t="n">
        <v>360</v>
      </c>
      <c r="K582" t="n">
        <v>1</v>
      </c>
      <c r="L582" t="inlineStr">
        <is>
          <t>Semiurban</t>
        </is>
      </c>
      <c r="M582" t="inlineStr">
        <is>
          <t>Y</t>
        </is>
      </c>
      <c r="N582">
        <f>IF(AND(K582=1,M582="Y"),"Lower Risk",IF(AND(K582=0,M582="N"),"High Risk","Medium Risk"))</f>
        <v/>
      </c>
    </row>
    <row r="583">
      <c r="A583" t="inlineStr">
        <is>
          <t>LP002893</t>
        </is>
      </c>
      <c r="B583" t="inlineStr">
        <is>
          <t>Male</t>
        </is>
      </c>
      <c r="C583" t="inlineStr">
        <is>
          <t>No</t>
        </is>
      </c>
      <c r="D583" t="n">
        <v>0</v>
      </c>
      <c r="E583" t="inlineStr">
        <is>
          <t>Graduate</t>
        </is>
      </c>
      <c r="F583" t="inlineStr">
        <is>
          <t>No</t>
        </is>
      </c>
      <c r="G583" t="n">
        <v>1836</v>
      </c>
      <c r="H583" t="n">
        <v>33837</v>
      </c>
      <c r="I583" t="n">
        <v>90</v>
      </c>
      <c r="J583" t="n">
        <v>360</v>
      </c>
      <c r="K583" t="n">
        <v>1</v>
      </c>
      <c r="L583" t="inlineStr">
        <is>
          <t>Urban</t>
        </is>
      </c>
      <c r="M583" t="inlineStr">
        <is>
          <t>N</t>
        </is>
      </c>
      <c r="N583">
        <f>IF(AND(K583=1,M583="Y"),"Lower Risk",IF(AND(K583=0,M583="N"),"High Risk","Medium Risk"))</f>
        <v/>
      </c>
    </row>
    <row r="584">
      <c r="A584" t="inlineStr">
        <is>
          <t>LP002894</t>
        </is>
      </c>
      <c r="B584" t="inlineStr">
        <is>
          <t>Female</t>
        </is>
      </c>
      <c r="C584" t="inlineStr">
        <is>
          <t>Yes</t>
        </is>
      </c>
      <c r="D584" t="n">
        <v>0</v>
      </c>
      <c r="E584" t="inlineStr">
        <is>
          <t>Graduate</t>
        </is>
      </c>
      <c r="F584" t="inlineStr">
        <is>
          <t>No</t>
        </is>
      </c>
      <c r="G584" t="n">
        <v>3166</v>
      </c>
      <c r="H584" t="n">
        <v>0</v>
      </c>
      <c r="I584" t="n">
        <v>36</v>
      </c>
      <c r="J584" t="n">
        <v>360</v>
      </c>
      <c r="K584" t="n">
        <v>1</v>
      </c>
      <c r="L584" t="inlineStr">
        <is>
          <t>Semiurban</t>
        </is>
      </c>
      <c r="M584" t="inlineStr">
        <is>
          <t>Y</t>
        </is>
      </c>
      <c r="N584">
        <f>IF(AND(K584=1,M584="Y"),"Lower Risk",IF(AND(K584=0,M584="N"),"High Risk","Medium Risk"))</f>
        <v/>
      </c>
    </row>
    <row r="585">
      <c r="A585" t="inlineStr">
        <is>
          <t>LP002898</t>
        </is>
      </c>
      <c r="B585" t="inlineStr">
        <is>
          <t>Male</t>
        </is>
      </c>
      <c r="C585" t="inlineStr">
        <is>
          <t>Yes</t>
        </is>
      </c>
      <c r="D585" t="n">
        <v>1</v>
      </c>
      <c r="E585" t="inlineStr">
        <is>
          <t>Graduate</t>
        </is>
      </c>
      <c r="F585" t="inlineStr">
        <is>
          <t>No</t>
        </is>
      </c>
      <c r="G585" t="n">
        <v>1880</v>
      </c>
      <c r="H585" t="n">
        <v>0</v>
      </c>
      <c r="I585" t="n">
        <v>61</v>
      </c>
      <c r="J585" t="n">
        <v>360</v>
      </c>
      <c r="L585" t="inlineStr">
        <is>
          <t>Rural</t>
        </is>
      </c>
      <c r="M585" t="inlineStr">
        <is>
          <t>N</t>
        </is>
      </c>
      <c r="N585">
        <f>IF(AND(K585=1,M585="Y"),"Lower Risk",IF(AND(K585=0,M585="N"),"High Risk","Medium Risk"))</f>
        <v/>
      </c>
    </row>
    <row r="586">
      <c r="A586" t="inlineStr">
        <is>
          <t>LP002911</t>
        </is>
      </c>
      <c r="B586" t="inlineStr">
        <is>
          <t>Male</t>
        </is>
      </c>
      <c r="C586" t="inlineStr">
        <is>
          <t>Yes</t>
        </is>
      </c>
      <c r="D586" t="n">
        <v>1</v>
      </c>
      <c r="E586" t="inlineStr">
        <is>
          <t>Graduate</t>
        </is>
      </c>
      <c r="F586" t="inlineStr">
        <is>
          <t>No</t>
        </is>
      </c>
      <c r="G586" t="n">
        <v>2787</v>
      </c>
      <c r="H586" t="n">
        <v>1917</v>
      </c>
      <c r="I586" t="n">
        <v>146</v>
      </c>
      <c r="J586" t="n">
        <v>360</v>
      </c>
      <c r="K586" t="n">
        <v>0</v>
      </c>
      <c r="L586" t="inlineStr">
        <is>
          <t>Rural</t>
        </is>
      </c>
      <c r="M586" t="inlineStr">
        <is>
          <t>N</t>
        </is>
      </c>
      <c r="N586">
        <f>IF(AND(K586=1,M586="Y"),"Lower Risk",IF(AND(K586=0,M586="N"),"High Risk","Medium Risk"))</f>
        <v/>
      </c>
    </row>
    <row r="587">
      <c r="A587" t="inlineStr">
        <is>
          <t>LP002912</t>
        </is>
      </c>
      <c r="B587" t="inlineStr">
        <is>
          <t>Male</t>
        </is>
      </c>
      <c r="C587" t="inlineStr">
        <is>
          <t>Yes</t>
        </is>
      </c>
      <c r="D587" t="n">
        <v>1</v>
      </c>
      <c r="E587" t="inlineStr">
        <is>
          <t>Graduate</t>
        </is>
      </c>
      <c r="F587" t="inlineStr">
        <is>
          <t>No</t>
        </is>
      </c>
      <c r="G587" t="n">
        <v>4283</v>
      </c>
      <c r="H587" t="n">
        <v>3000</v>
      </c>
      <c r="I587" t="n">
        <v>172</v>
      </c>
      <c r="J587" t="n">
        <v>84</v>
      </c>
      <c r="K587" t="n">
        <v>1</v>
      </c>
      <c r="L587" t="inlineStr">
        <is>
          <t>Rural</t>
        </is>
      </c>
      <c r="M587" t="inlineStr">
        <is>
          <t>N</t>
        </is>
      </c>
      <c r="N587">
        <f>IF(AND(K587=1,M587="Y"),"Lower Risk",IF(AND(K587=0,M587="N"),"High Risk","Medium Risk"))</f>
        <v/>
      </c>
    </row>
    <row r="588">
      <c r="A588" t="inlineStr">
        <is>
          <t>LP002916</t>
        </is>
      </c>
      <c r="B588" t="inlineStr">
        <is>
          <t>Male</t>
        </is>
      </c>
      <c r="C588" t="inlineStr">
        <is>
          <t>Yes</t>
        </is>
      </c>
      <c r="D588" t="n">
        <v>0</v>
      </c>
      <c r="E588" t="inlineStr">
        <is>
          <t>Graduate</t>
        </is>
      </c>
      <c r="F588" t="inlineStr">
        <is>
          <t>No</t>
        </is>
      </c>
      <c r="G588" t="n">
        <v>2297</v>
      </c>
      <c r="H588" t="n">
        <v>1522</v>
      </c>
      <c r="I588" t="n">
        <v>104</v>
      </c>
      <c r="J588" t="n">
        <v>360</v>
      </c>
      <c r="K588" t="n">
        <v>1</v>
      </c>
      <c r="L588" t="inlineStr">
        <is>
          <t>Urban</t>
        </is>
      </c>
      <c r="M588" t="inlineStr">
        <is>
          <t>Y</t>
        </is>
      </c>
      <c r="N588">
        <f>IF(AND(K588=1,M588="Y"),"Lower Risk",IF(AND(K588=0,M588="N"),"High Risk","Medium Risk"))</f>
        <v/>
      </c>
    </row>
    <row r="589">
      <c r="A589" t="inlineStr">
        <is>
          <t>LP002917</t>
        </is>
      </c>
      <c r="B589" t="inlineStr">
        <is>
          <t>Female</t>
        </is>
      </c>
      <c r="C589" t="inlineStr">
        <is>
          <t>No</t>
        </is>
      </c>
      <c r="D589" t="n">
        <v>0</v>
      </c>
      <c r="E589" t="inlineStr">
        <is>
          <t>Not Graduate</t>
        </is>
      </c>
      <c r="F589" t="inlineStr">
        <is>
          <t>No</t>
        </is>
      </c>
      <c r="G589" t="n">
        <v>2165</v>
      </c>
      <c r="H589" t="n">
        <v>0</v>
      </c>
      <c r="I589" t="n">
        <v>70</v>
      </c>
      <c r="J589" t="n">
        <v>360</v>
      </c>
      <c r="K589" t="n">
        <v>1</v>
      </c>
      <c r="L589" t="inlineStr">
        <is>
          <t>Semiurban</t>
        </is>
      </c>
      <c r="M589" t="inlineStr">
        <is>
          <t>Y</t>
        </is>
      </c>
      <c r="N589">
        <f>IF(AND(K589=1,M589="Y"),"Lower Risk",IF(AND(K589=0,M589="N"),"High Risk","Medium Risk"))</f>
        <v/>
      </c>
    </row>
    <row r="590">
      <c r="A590" t="inlineStr">
        <is>
          <t>LP002925</t>
        </is>
      </c>
      <c r="C590" t="inlineStr">
        <is>
          <t>No</t>
        </is>
      </c>
      <c r="D590" t="n">
        <v>0</v>
      </c>
      <c r="E590" t="inlineStr">
        <is>
          <t>Graduate</t>
        </is>
      </c>
      <c r="F590" t="inlineStr">
        <is>
          <t>No</t>
        </is>
      </c>
      <c r="G590" t="n">
        <v>4750</v>
      </c>
      <c r="H590" t="n">
        <v>0</v>
      </c>
      <c r="I590" t="n">
        <v>94</v>
      </c>
      <c r="J590" t="n">
        <v>360</v>
      </c>
      <c r="K590" t="n">
        <v>1</v>
      </c>
      <c r="L590" t="inlineStr">
        <is>
          <t>Semiurban</t>
        </is>
      </c>
      <c r="M590" t="inlineStr">
        <is>
          <t>Y</t>
        </is>
      </c>
      <c r="N590">
        <f>IF(AND(K590=1,M590="Y"),"Lower Risk",IF(AND(K590=0,M590="N"),"High Risk","Medium Risk"))</f>
        <v/>
      </c>
    </row>
    <row r="591">
      <c r="A591" t="inlineStr">
        <is>
          <t>LP002926</t>
        </is>
      </c>
      <c r="B591" t="inlineStr">
        <is>
          <t>Male</t>
        </is>
      </c>
      <c r="C591" t="inlineStr">
        <is>
          <t>Yes</t>
        </is>
      </c>
      <c r="D591" t="n">
        <v>2</v>
      </c>
      <c r="E591" t="inlineStr">
        <is>
          <t>Graduate</t>
        </is>
      </c>
      <c r="F591" t="inlineStr">
        <is>
          <t>Yes</t>
        </is>
      </c>
      <c r="G591" t="n">
        <v>2726</v>
      </c>
      <c r="H591" t="n">
        <v>0</v>
      </c>
      <c r="I591" t="n">
        <v>106</v>
      </c>
      <c r="J591" t="n">
        <v>360</v>
      </c>
      <c r="K591" t="n">
        <v>0</v>
      </c>
      <c r="L591" t="inlineStr">
        <is>
          <t>Semiurban</t>
        </is>
      </c>
      <c r="M591" t="inlineStr">
        <is>
          <t>N</t>
        </is>
      </c>
      <c r="N591">
        <f>IF(AND(K591=1,M591="Y"),"Lower Risk",IF(AND(K591=0,M591="N"),"High Risk","Medium Risk"))</f>
        <v/>
      </c>
    </row>
    <row r="592">
      <c r="A592" t="inlineStr">
        <is>
          <t>LP002928</t>
        </is>
      </c>
      <c r="B592" t="inlineStr">
        <is>
          <t>Male</t>
        </is>
      </c>
      <c r="C592" t="inlineStr">
        <is>
          <t>Yes</t>
        </is>
      </c>
      <c r="D592" t="n">
        <v>0</v>
      </c>
      <c r="E592" t="inlineStr">
        <is>
          <t>Graduate</t>
        </is>
      </c>
      <c r="F592" t="inlineStr">
        <is>
          <t>No</t>
        </is>
      </c>
      <c r="G592" t="n">
        <v>3000</v>
      </c>
      <c r="H592" t="n">
        <v>3416</v>
      </c>
      <c r="I592" t="n">
        <v>56</v>
      </c>
      <c r="J592" t="n">
        <v>180</v>
      </c>
      <c r="K592" t="n">
        <v>1</v>
      </c>
      <c r="L592" t="inlineStr">
        <is>
          <t>Semiurban</t>
        </is>
      </c>
      <c r="M592" t="inlineStr">
        <is>
          <t>Y</t>
        </is>
      </c>
      <c r="N592">
        <f>IF(AND(K592=1,M592="Y"),"Lower Risk",IF(AND(K592=0,M592="N"),"High Risk","Medium Risk"))</f>
        <v/>
      </c>
    </row>
    <row r="593">
      <c r="A593" t="inlineStr">
        <is>
          <t>LP002931</t>
        </is>
      </c>
      <c r="B593" t="inlineStr">
        <is>
          <t>Male</t>
        </is>
      </c>
      <c r="C593" t="inlineStr">
        <is>
          <t>Yes</t>
        </is>
      </c>
      <c r="D593" t="n">
        <v>2</v>
      </c>
      <c r="E593" t="inlineStr">
        <is>
          <t>Graduate</t>
        </is>
      </c>
      <c r="F593" t="inlineStr">
        <is>
          <t>Yes</t>
        </is>
      </c>
      <c r="G593" t="n">
        <v>6000</v>
      </c>
      <c r="H593" t="n">
        <v>0</v>
      </c>
      <c r="I593" t="n">
        <v>205</v>
      </c>
      <c r="J593" t="n">
        <v>240</v>
      </c>
      <c r="K593" t="n">
        <v>1</v>
      </c>
      <c r="L593" t="inlineStr">
        <is>
          <t>Semiurban</t>
        </is>
      </c>
      <c r="M593" t="inlineStr">
        <is>
          <t>N</t>
        </is>
      </c>
      <c r="N593">
        <f>IF(AND(K593=1,M593="Y"),"Lower Risk",IF(AND(K593=0,M593="N"),"High Risk","Medium Risk"))</f>
        <v/>
      </c>
    </row>
    <row r="594">
      <c r="A594" t="inlineStr">
        <is>
          <t>LP002933</t>
        </is>
      </c>
      <c r="C594" t="inlineStr">
        <is>
          <t>No</t>
        </is>
      </c>
      <c r="D594" t="inlineStr">
        <is>
          <t>3+</t>
        </is>
      </c>
      <c r="E594" t="inlineStr">
        <is>
          <t>Graduate</t>
        </is>
      </c>
      <c r="F594" t="inlineStr">
        <is>
          <t>Yes</t>
        </is>
      </c>
      <c r="G594" t="n">
        <v>9357</v>
      </c>
      <c r="H594" t="n">
        <v>0</v>
      </c>
      <c r="I594" t="n">
        <v>292</v>
      </c>
      <c r="J594" t="n">
        <v>360</v>
      </c>
      <c r="K594" t="n">
        <v>1</v>
      </c>
      <c r="L594" t="inlineStr">
        <is>
          <t>Semiurban</t>
        </is>
      </c>
      <c r="M594" t="inlineStr">
        <is>
          <t>Y</t>
        </is>
      </c>
      <c r="N594">
        <f>IF(AND(K594=1,M594="Y"),"Lower Risk",IF(AND(K594=0,M594="N"),"High Risk","Medium Risk"))</f>
        <v/>
      </c>
    </row>
    <row r="595">
      <c r="A595" t="inlineStr">
        <is>
          <t>LP002936</t>
        </is>
      </c>
      <c r="B595" t="inlineStr">
        <is>
          <t>Male</t>
        </is>
      </c>
      <c r="C595" t="inlineStr">
        <is>
          <t>Yes</t>
        </is>
      </c>
      <c r="D595" t="n">
        <v>0</v>
      </c>
      <c r="E595" t="inlineStr">
        <is>
          <t>Graduate</t>
        </is>
      </c>
      <c r="F595" t="inlineStr">
        <is>
          <t>No</t>
        </is>
      </c>
      <c r="G595" t="n">
        <v>3859</v>
      </c>
      <c r="H595" t="n">
        <v>3300</v>
      </c>
      <c r="I595" t="n">
        <v>142</v>
      </c>
      <c r="J595" t="n">
        <v>180</v>
      </c>
      <c r="K595" t="n">
        <v>1</v>
      </c>
      <c r="L595" t="inlineStr">
        <is>
          <t>Rural</t>
        </is>
      </c>
      <c r="M595" t="inlineStr">
        <is>
          <t>Y</t>
        </is>
      </c>
      <c r="N595">
        <f>IF(AND(K595=1,M595="Y"),"Lower Risk",IF(AND(K595=0,M595="N"),"High Risk","Medium Risk"))</f>
        <v/>
      </c>
    </row>
    <row r="596">
      <c r="A596" t="inlineStr">
        <is>
          <t>LP002938</t>
        </is>
      </c>
      <c r="B596" t="inlineStr">
        <is>
          <t>Male</t>
        </is>
      </c>
      <c r="C596" t="inlineStr">
        <is>
          <t>Yes</t>
        </is>
      </c>
      <c r="D596" t="n">
        <v>0</v>
      </c>
      <c r="E596" t="inlineStr">
        <is>
          <t>Graduate</t>
        </is>
      </c>
      <c r="F596" t="inlineStr">
        <is>
          <t>Yes</t>
        </is>
      </c>
      <c r="G596" t="n">
        <v>16120</v>
      </c>
      <c r="H596" t="n">
        <v>0</v>
      </c>
      <c r="I596" t="n">
        <v>260</v>
      </c>
      <c r="J596" t="n">
        <v>360</v>
      </c>
      <c r="K596" t="n">
        <v>1</v>
      </c>
      <c r="L596" t="inlineStr">
        <is>
          <t>Urban</t>
        </is>
      </c>
      <c r="M596" t="inlineStr">
        <is>
          <t>Y</t>
        </is>
      </c>
      <c r="N596">
        <f>IF(AND(K596=1,M596="Y"),"Lower Risk",IF(AND(K596=0,M596="N"),"High Risk","Medium Risk"))</f>
        <v/>
      </c>
    </row>
    <row r="597">
      <c r="A597" t="inlineStr">
        <is>
          <t>LP002940</t>
        </is>
      </c>
      <c r="B597" t="inlineStr">
        <is>
          <t>Male</t>
        </is>
      </c>
      <c r="C597" t="inlineStr">
        <is>
          <t>No</t>
        </is>
      </c>
      <c r="D597" t="n">
        <v>0</v>
      </c>
      <c r="E597" t="inlineStr">
        <is>
          <t>Not Graduate</t>
        </is>
      </c>
      <c r="F597" t="inlineStr">
        <is>
          <t>No</t>
        </is>
      </c>
      <c r="G597" t="n">
        <v>3833</v>
      </c>
      <c r="H597" t="n">
        <v>0</v>
      </c>
      <c r="I597" t="n">
        <v>110</v>
      </c>
      <c r="J597" t="n">
        <v>360</v>
      </c>
      <c r="K597" t="n">
        <v>1</v>
      </c>
      <c r="L597" t="inlineStr">
        <is>
          <t>Rural</t>
        </is>
      </c>
      <c r="M597" t="inlineStr">
        <is>
          <t>Y</t>
        </is>
      </c>
      <c r="N597">
        <f>IF(AND(K597=1,M597="Y"),"Lower Risk",IF(AND(K597=0,M597="N"),"High Risk","Medium Risk"))</f>
        <v/>
      </c>
    </row>
    <row r="598">
      <c r="A598" t="inlineStr">
        <is>
          <t>LP002941</t>
        </is>
      </c>
      <c r="B598" t="inlineStr">
        <is>
          <t>Male</t>
        </is>
      </c>
      <c r="C598" t="inlineStr">
        <is>
          <t>Yes</t>
        </is>
      </c>
      <c r="D598" t="n">
        <v>2</v>
      </c>
      <c r="E598" t="inlineStr">
        <is>
          <t>Not Graduate</t>
        </is>
      </c>
      <c r="F598" t="inlineStr">
        <is>
          <t>Yes</t>
        </is>
      </c>
      <c r="G598" t="n">
        <v>6383</v>
      </c>
      <c r="H598" t="n">
        <v>1000</v>
      </c>
      <c r="I598" t="n">
        <v>187</v>
      </c>
      <c r="J598" t="n">
        <v>360</v>
      </c>
      <c r="K598" t="n">
        <v>1</v>
      </c>
      <c r="L598" t="inlineStr">
        <is>
          <t>Rural</t>
        </is>
      </c>
      <c r="M598" t="inlineStr">
        <is>
          <t>N</t>
        </is>
      </c>
      <c r="N598">
        <f>IF(AND(K598=1,M598="Y"),"Lower Risk",IF(AND(K598=0,M598="N"),"High Risk","Medium Risk"))</f>
        <v/>
      </c>
    </row>
    <row r="599">
      <c r="A599" t="inlineStr">
        <is>
          <t>LP002943</t>
        </is>
      </c>
      <c r="B599" t="inlineStr">
        <is>
          <t>Male</t>
        </is>
      </c>
      <c r="C599" t="inlineStr">
        <is>
          <t>No</t>
        </is>
      </c>
      <c r="E599" t="inlineStr">
        <is>
          <t>Graduate</t>
        </is>
      </c>
      <c r="F599" t="inlineStr">
        <is>
          <t>No</t>
        </is>
      </c>
      <c r="G599" t="n">
        <v>2987</v>
      </c>
      <c r="H599" t="n">
        <v>0</v>
      </c>
      <c r="I599" t="n">
        <v>88</v>
      </c>
      <c r="J599" t="n">
        <v>360</v>
      </c>
      <c r="K599" t="n">
        <v>0</v>
      </c>
      <c r="L599" t="inlineStr">
        <is>
          <t>Semiurban</t>
        </is>
      </c>
      <c r="M599" t="inlineStr">
        <is>
          <t>N</t>
        </is>
      </c>
      <c r="N599">
        <f>IF(AND(K599=1,M599="Y"),"Lower Risk",IF(AND(K599=0,M599="N"),"High Risk","Medium Risk"))</f>
        <v/>
      </c>
    </row>
    <row r="600">
      <c r="A600" t="inlineStr">
        <is>
          <t>LP002945</t>
        </is>
      </c>
      <c r="B600" t="inlineStr">
        <is>
          <t>Male</t>
        </is>
      </c>
      <c r="C600" t="inlineStr">
        <is>
          <t>Yes</t>
        </is>
      </c>
      <c r="D600" t="n">
        <v>0</v>
      </c>
      <c r="E600" t="inlineStr">
        <is>
          <t>Graduate</t>
        </is>
      </c>
      <c r="F600" t="inlineStr">
        <is>
          <t>Yes</t>
        </is>
      </c>
      <c r="G600" t="n">
        <v>9963</v>
      </c>
      <c r="H600" t="n">
        <v>0</v>
      </c>
      <c r="I600" t="n">
        <v>180</v>
      </c>
      <c r="J600" t="n">
        <v>360</v>
      </c>
      <c r="K600" t="n">
        <v>1</v>
      </c>
      <c r="L600" t="inlineStr">
        <is>
          <t>Rural</t>
        </is>
      </c>
      <c r="M600" t="inlineStr">
        <is>
          <t>Y</t>
        </is>
      </c>
      <c r="N600">
        <f>IF(AND(K600=1,M600="Y"),"Lower Risk",IF(AND(K600=0,M600="N"),"High Risk","Medium Risk"))</f>
        <v/>
      </c>
    </row>
    <row r="601">
      <c r="A601" t="inlineStr">
        <is>
          <t>LP002948</t>
        </is>
      </c>
      <c r="B601" t="inlineStr">
        <is>
          <t>Male</t>
        </is>
      </c>
      <c r="C601" t="inlineStr">
        <is>
          <t>Yes</t>
        </is>
      </c>
      <c r="D601" t="n">
        <v>2</v>
      </c>
      <c r="E601" t="inlineStr">
        <is>
          <t>Graduate</t>
        </is>
      </c>
      <c r="F601" t="inlineStr">
        <is>
          <t>No</t>
        </is>
      </c>
      <c r="G601" t="n">
        <v>5780</v>
      </c>
      <c r="H601" t="n">
        <v>0</v>
      </c>
      <c r="I601" t="n">
        <v>192</v>
      </c>
      <c r="J601" t="n">
        <v>360</v>
      </c>
      <c r="K601" t="n">
        <v>1</v>
      </c>
      <c r="L601" t="inlineStr">
        <is>
          <t>Urban</t>
        </is>
      </c>
      <c r="M601" t="inlineStr">
        <is>
          <t>Y</t>
        </is>
      </c>
      <c r="N601">
        <f>IF(AND(K601=1,M601="Y"),"Lower Risk",IF(AND(K601=0,M601="N"),"High Risk","Medium Risk"))</f>
        <v/>
      </c>
    </row>
    <row r="602">
      <c r="A602" t="inlineStr">
        <is>
          <t>LP002949</t>
        </is>
      </c>
      <c r="B602" t="inlineStr">
        <is>
          <t>Female</t>
        </is>
      </c>
      <c r="C602" t="inlineStr">
        <is>
          <t>No</t>
        </is>
      </c>
      <c r="D602" t="inlineStr">
        <is>
          <t>3+</t>
        </is>
      </c>
      <c r="E602" t="inlineStr">
        <is>
          <t>Graduate</t>
        </is>
      </c>
      <c r="G602" t="n">
        <v>416</v>
      </c>
      <c r="H602" t="n">
        <v>41667</v>
      </c>
      <c r="I602" t="n">
        <v>350</v>
      </c>
      <c r="J602" t="n">
        <v>180</v>
      </c>
      <c r="L602" t="inlineStr">
        <is>
          <t>Urban</t>
        </is>
      </c>
      <c r="M602" t="inlineStr">
        <is>
          <t>N</t>
        </is>
      </c>
      <c r="N602">
        <f>IF(AND(K602=1,M602="Y"),"Lower Risk",IF(AND(K602=0,M602="N"),"High Risk","Medium Risk"))</f>
        <v/>
      </c>
    </row>
    <row r="603">
      <c r="A603" t="inlineStr">
        <is>
          <t>LP002950</t>
        </is>
      </c>
      <c r="B603" t="inlineStr">
        <is>
          <t>Male</t>
        </is>
      </c>
      <c r="C603" t="inlineStr">
        <is>
          <t>Yes</t>
        </is>
      </c>
      <c r="D603" t="n">
        <v>0</v>
      </c>
      <c r="E603" t="inlineStr">
        <is>
          <t>Not Graduate</t>
        </is>
      </c>
      <c r="G603" t="n">
        <v>2894</v>
      </c>
      <c r="H603" t="n">
        <v>2792</v>
      </c>
      <c r="I603" t="n">
        <v>155</v>
      </c>
      <c r="J603" t="n">
        <v>360</v>
      </c>
      <c r="K603" t="n">
        <v>1</v>
      </c>
      <c r="L603" t="inlineStr">
        <is>
          <t>Rural</t>
        </is>
      </c>
      <c r="M603" t="inlineStr">
        <is>
          <t>Y</t>
        </is>
      </c>
      <c r="N603">
        <f>IF(AND(K603=1,M603="Y"),"Lower Risk",IF(AND(K603=0,M603="N"),"High Risk","Medium Risk"))</f>
        <v/>
      </c>
    </row>
    <row r="604">
      <c r="A604" t="inlineStr">
        <is>
          <t>LP002953</t>
        </is>
      </c>
      <c r="B604" t="inlineStr">
        <is>
          <t>Male</t>
        </is>
      </c>
      <c r="C604" t="inlineStr">
        <is>
          <t>Yes</t>
        </is>
      </c>
      <c r="D604" t="inlineStr">
        <is>
          <t>3+</t>
        </is>
      </c>
      <c r="E604" t="inlineStr">
        <is>
          <t>Graduate</t>
        </is>
      </c>
      <c r="F604" t="inlineStr">
        <is>
          <t>No</t>
        </is>
      </c>
      <c r="G604" t="n">
        <v>5703</v>
      </c>
      <c r="H604" t="n">
        <v>0</v>
      </c>
      <c r="I604" t="n">
        <v>128</v>
      </c>
      <c r="J604" t="n">
        <v>360</v>
      </c>
      <c r="K604" t="n">
        <v>1</v>
      </c>
      <c r="L604" t="inlineStr">
        <is>
          <t>Urban</t>
        </is>
      </c>
      <c r="M604" t="inlineStr">
        <is>
          <t>Y</t>
        </is>
      </c>
      <c r="N604">
        <f>IF(AND(K604=1,M604="Y"),"Lower Risk",IF(AND(K604=0,M604="N"),"High Risk","Medium Risk"))</f>
        <v/>
      </c>
    </row>
    <row r="605">
      <c r="A605" t="inlineStr">
        <is>
          <t>LP002958</t>
        </is>
      </c>
      <c r="B605" t="inlineStr">
        <is>
          <t>Male</t>
        </is>
      </c>
      <c r="C605" t="inlineStr">
        <is>
          <t>No</t>
        </is>
      </c>
      <c r="D605" t="n">
        <v>0</v>
      </c>
      <c r="E605" t="inlineStr">
        <is>
          <t>Graduate</t>
        </is>
      </c>
      <c r="F605" t="inlineStr">
        <is>
          <t>No</t>
        </is>
      </c>
      <c r="G605" t="n">
        <v>3676</v>
      </c>
      <c r="H605" t="n">
        <v>4301</v>
      </c>
      <c r="I605" t="n">
        <v>172</v>
      </c>
      <c r="J605" t="n">
        <v>360</v>
      </c>
      <c r="K605" t="n">
        <v>1</v>
      </c>
      <c r="L605" t="inlineStr">
        <is>
          <t>Rural</t>
        </is>
      </c>
      <c r="M605" t="inlineStr">
        <is>
          <t>Y</t>
        </is>
      </c>
      <c r="N605">
        <f>IF(AND(K605=1,M605="Y"),"Lower Risk",IF(AND(K605=0,M605="N"),"High Risk","Medium Risk"))</f>
        <v/>
      </c>
    </row>
    <row r="606">
      <c r="A606" t="inlineStr">
        <is>
          <t>LP002959</t>
        </is>
      </c>
      <c r="B606" t="inlineStr">
        <is>
          <t>Female</t>
        </is>
      </c>
      <c r="C606" t="inlineStr">
        <is>
          <t>Yes</t>
        </is>
      </c>
      <c r="D606" t="n">
        <v>1</v>
      </c>
      <c r="E606" t="inlineStr">
        <is>
          <t>Graduate</t>
        </is>
      </c>
      <c r="F606" t="inlineStr">
        <is>
          <t>No</t>
        </is>
      </c>
      <c r="G606" t="n">
        <v>12000</v>
      </c>
      <c r="H606" t="n">
        <v>0</v>
      </c>
      <c r="I606" t="n">
        <v>496</v>
      </c>
      <c r="J606" t="n">
        <v>360</v>
      </c>
      <c r="K606" t="n">
        <v>1</v>
      </c>
      <c r="L606" t="inlineStr">
        <is>
          <t>Semiurban</t>
        </is>
      </c>
      <c r="M606" t="inlineStr">
        <is>
          <t>Y</t>
        </is>
      </c>
      <c r="N606">
        <f>IF(AND(K606=1,M606="Y"),"Lower Risk",IF(AND(K606=0,M606="N"),"High Risk","Medium Risk"))</f>
        <v/>
      </c>
    </row>
    <row r="607">
      <c r="A607" t="inlineStr">
        <is>
          <t>LP002960</t>
        </is>
      </c>
      <c r="B607" t="inlineStr">
        <is>
          <t>Male</t>
        </is>
      </c>
      <c r="C607" t="inlineStr">
        <is>
          <t>Yes</t>
        </is>
      </c>
      <c r="D607" t="n">
        <v>0</v>
      </c>
      <c r="E607" t="inlineStr">
        <is>
          <t>Not Graduate</t>
        </is>
      </c>
      <c r="F607" t="inlineStr">
        <is>
          <t>No</t>
        </is>
      </c>
      <c r="G607" t="n">
        <v>2400</v>
      </c>
      <c r="H607" t="n">
        <v>3800</v>
      </c>
      <c r="J607" t="n">
        <v>180</v>
      </c>
      <c r="K607" t="n">
        <v>1</v>
      </c>
      <c r="L607" t="inlineStr">
        <is>
          <t>Urban</t>
        </is>
      </c>
      <c r="M607" t="inlineStr">
        <is>
          <t>N</t>
        </is>
      </c>
      <c r="N607">
        <f>IF(AND(K607=1,M607="Y"),"Lower Risk",IF(AND(K607=0,M607="N"),"High Risk","Medium Risk"))</f>
        <v/>
      </c>
    </row>
    <row r="608">
      <c r="A608" t="inlineStr">
        <is>
          <t>LP002961</t>
        </is>
      </c>
      <c r="B608" t="inlineStr">
        <is>
          <t>Male</t>
        </is>
      </c>
      <c r="C608" t="inlineStr">
        <is>
          <t>Yes</t>
        </is>
      </c>
      <c r="D608" t="n">
        <v>1</v>
      </c>
      <c r="E608" t="inlineStr">
        <is>
          <t>Graduate</t>
        </is>
      </c>
      <c r="F608" t="inlineStr">
        <is>
          <t>No</t>
        </is>
      </c>
      <c r="G608" t="n">
        <v>3400</v>
      </c>
      <c r="H608" t="n">
        <v>2500</v>
      </c>
      <c r="I608" t="n">
        <v>173</v>
      </c>
      <c r="J608" t="n">
        <v>360</v>
      </c>
      <c r="K608" t="n">
        <v>1</v>
      </c>
      <c r="L608" t="inlineStr">
        <is>
          <t>Semiurban</t>
        </is>
      </c>
      <c r="M608" t="inlineStr">
        <is>
          <t>Y</t>
        </is>
      </c>
      <c r="N608">
        <f>IF(AND(K608=1,M608="Y"),"Lower Risk",IF(AND(K608=0,M608="N"),"High Risk","Medium Risk"))</f>
        <v/>
      </c>
    </row>
    <row r="609">
      <c r="A609" t="inlineStr">
        <is>
          <t>LP002964</t>
        </is>
      </c>
      <c r="B609" t="inlineStr">
        <is>
          <t>Male</t>
        </is>
      </c>
      <c r="C609" t="inlineStr">
        <is>
          <t>Yes</t>
        </is>
      </c>
      <c r="D609" t="n">
        <v>2</v>
      </c>
      <c r="E609" t="inlineStr">
        <is>
          <t>Not Graduate</t>
        </is>
      </c>
      <c r="F609" t="inlineStr">
        <is>
          <t>No</t>
        </is>
      </c>
      <c r="G609" t="n">
        <v>3987</v>
      </c>
      <c r="H609" t="n">
        <v>1411</v>
      </c>
      <c r="I609" t="n">
        <v>157</v>
      </c>
      <c r="J609" t="n">
        <v>360</v>
      </c>
      <c r="K609" t="n">
        <v>1</v>
      </c>
      <c r="L609" t="inlineStr">
        <is>
          <t>Rural</t>
        </is>
      </c>
      <c r="M609" t="inlineStr">
        <is>
          <t>Y</t>
        </is>
      </c>
      <c r="N609">
        <f>IF(AND(K609=1,M609="Y"),"Lower Risk",IF(AND(K609=0,M609="N"),"High Risk","Medium Risk"))</f>
        <v/>
      </c>
    </row>
    <row r="610">
      <c r="A610" t="inlineStr">
        <is>
          <t>LP002974</t>
        </is>
      </c>
      <c r="B610" t="inlineStr">
        <is>
          <t>Male</t>
        </is>
      </c>
      <c r="C610" t="inlineStr">
        <is>
          <t>Yes</t>
        </is>
      </c>
      <c r="D610" t="n">
        <v>0</v>
      </c>
      <c r="E610" t="inlineStr">
        <is>
          <t>Graduate</t>
        </is>
      </c>
      <c r="F610" t="inlineStr">
        <is>
          <t>No</t>
        </is>
      </c>
      <c r="G610" t="n">
        <v>3232</v>
      </c>
      <c r="H610" t="n">
        <v>1950</v>
      </c>
      <c r="I610" t="n">
        <v>108</v>
      </c>
      <c r="J610" t="n">
        <v>360</v>
      </c>
      <c r="K610" t="n">
        <v>1</v>
      </c>
      <c r="L610" t="inlineStr">
        <is>
          <t>Rural</t>
        </is>
      </c>
      <c r="M610" t="inlineStr">
        <is>
          <t>Y</t>
        </is>
      </c>
      <c r="N610">
        <f>IF(AND(K610=1,M610="Y"),"Lower Risk",IF(AND(K610=0,M610="N"),"High Risk","Medium Risk"))</f>
        <v/>
      </c>
    </row>
    <row r="611">
      <c r="A611" t="inlineStr">
        <is>
          <t>LP002978</t>
        </is>
      </c>
      <c r="B611" t="inlineStr">
        <is>
          <t>Female</t>
        </is>
      </c>
      <c r="C611" t="inlineStr">
        <is>
          <t>No</t>
        </is>
      </c>
      <c r="D611" t="n">
        <v>0</v>
      </c>
      <c r="E611" t="inlineStr">
        <is>
          <t>Graduate</t>
        </is>
      </c>
      <c r="F611" t="inlineStr">
        <is>
          <t>No</t>
        </is>
      </c>
      <c r="G611" t="n">
        <v>2900</v>
      </c>
      <c r="H611" t="n">
        <v>0</v>
      </c>
      <c r="I611" t="n">
        <v>71</v>
      </c>
      <c r="J611" t="n">
        <v>360</v>
      </c>
      <c r="K611" t="n">
        <v>1</v>
      </c>
      <c r="L611" t="inlineStr">
        <is>
          <t>Rural</t>
        </is>
      </c>
      <c r="M611" t="inlineStr">
        <is>
          <t>Y</t>
        </is>
      </c>
      <c r="N611">
        <f>IF(AND(K611=1,M611="Y"),"Lower Risk",IF(AND(K611=0,M611="N"),"High Risk","Medium Risk"))</f>
        <v/>
      </c>
    </row>
    <row r="612">
      <c r="A612" t="inlineStr">
        <is>
          <t>LP002979</t>
        </is>
      </c>
      <c r="B612" t="inlineStr">
        <is>
          <t>Male</t>
        </is>
      </c>
      <c r="C612" t="inlineStr">
        <is>
          <t>Yes</t>
        </is>
      </c>
      <c r="D612" t="inlineStr">
        <is>
          <t>3+</t>
        </is>
      </c>
      <c r="E612" t="inlineStr">
        <is>
          <t>Graduate</t>
        </is>
      </c>
      <c r="F612" t="inlineStr">
        <is>
          <t>No</t>
        </is>
      </c>
      <c r="G612" t="n">
        <v>4106</v>
      </c>
      <c r="H612" t="n">
        <v>0</v>
      </c>
      <c r="I612" t="n">
        <v>40</v>
      </c>
      <c r="J612" t="n">
        <v>180</v>
      </c>
      <c r="K612" t="n">
        <v>1</v>
      </c>
      <c r="L612" t="inlineStr">
        <is>
          <t>Rural</t>
        </is>
      </c>
      <c r="M612" t="inlineStr">
        <is>
          <t>Y</t>
        </is>
      </c>
      <c r="N612">
        <f>IF(AND(K612=1,M612="Y"),"Lower Risk",IF(AND(K612=0,M612="N"),"High Risk","Medium Risk"))</f>
        <v/>
      </c>
    </row>
    <row r="613">
      <c r="A613" t="inlineStr">
        <is>
          <t>LP002983</t>
        </is>
      </c>
      <c r="B613" t="inlineStr">
        <is>
          <t>Male</t>
        </is>
      </c>
      <c r="C613" t="inlineStr">
        <is>
          <t>Yes</t>
        </is>
      </c>
      <c r="D613" t="n">
        <v>1</v>
      </c>
      <c r="E613" t="inlineStr">
        <is>
          <t>Graduate</t>
        </is>
      </c>
      <c r="F613" t="inlineStr">
        <is>
          <t>No</t>
        </is>
      </c>
      <c r="G613" t="n">
        <v>8072</v>
      </c>
      <c r="H613" t="n">
        <v>240</v>
      </c>
      <c r="I613" t="n">
        <v>253</v>
      </c>
      <c r="J613" t="n">
        <v>360</v>
      </c>
      <c r="K613" t="n">
        <v>1</v>
      </c>
      <c r="L613" t="inlineStr">
        <is>
          <t>Urban</t>
        </is>
      </c>
      <c r="M613" t="inlineStr">
        <is>
          <t>Y</t>
        </is>
      </c>
      <c r="N613">
        <f>IF(AND(K613=1,M613="Y"),"Lower Risk",IF(AND(K613=0,M613="N"),"High Risk","Medium Risk"))</f>
        <v/>
      </c>
    </row>
    <row r="614">
      <c r="A614" t="inlineStr">
        <is>
          <t>LP002984</t>
        </is>
      </c>
      <c r="B614" t="inlineStr">
        <is>
          <t>Male</t>
        </is>
      </c>
      <c r="C614" t="inlineStr">
        <is>
          <t>Yes</t>
        </is>
      </c>
      <c r="D614" t="n">
        <v>2</v>
      </c>
      <c r="E614" t="inlineStr">
        <is>
          <t>Graduate</t>
        </is>
      </c>
      <c r="F614" t="inlineStr">
        <is>
          <t>No</t>
        </is>
      </c>
      <c r="G614" t="n">
        <v>7583</v>
      </c>
      <c r="H614" t="n">
        <v>0</v>
      </c>
      <c r="I614" t="n">
        <v>187</v>
      </c>
      <c r="J614" t="n">
        <v>360</v>
      </c>
      <c r="K614" t="n">
        <v>1</v>
      </c>
      <c r="L614" t="inlineStr">
        <is>
          <t>Urban</t>
        </is>
      </c>
      <c r="M614" t="inlineStr">
        <is>
          <t>Y</t>
        </is>
      </c>
      <c r="N614">
        <f>IF(AND(K614=1,M614="Y"),"Lower Risk",IF(AND(K614=0,M614="N"),"High Risk","Medium Risk"))</f>
        <v/>
      </c>
    </row>
    <row r="615">
      <c r="A615" t="inlineStr">
        <is>
          <t>LP002990</t>
        </is>
      </c>
      <c r="B615" t="inlineStr">
        <is>
          <t>Female</t>
        </is>
      </c>
      <c r="C615" t="inlineStr">
        <is>
          <t>No</t>
        </is>
      </c>
      <c r="D615" t="n">
        <v>0</v>
      </c>
      <c r="E615" t="inlineStr">
        <is>
          <t>Graduate</t>
        </is>
      </c>
      <c r="F615" t="inlineStr">
        <is>
          <t>Yes</t>
        </is>
      </c>
      <c r="G615" t="n">
        <v>4583</v>
      </c>
      <c r="H615" t="n">
        <v>0</v>
      </c>
      <c r="I615" t="n">
        <v>133</v>
      </c>
      <c r="J615" t="n">
        <v>360</v>
      </c>
      <c r="K615" t="n">
        <v>0</v>
      </c>
      <c r="L615" t="inlineStr">
        <is>
          <t>Semiurban</t>
        </is>
      </c>
      <c r="M615" t="inlineStr">
        <is>
          <t>N</t>
        </is>
      </c>
      <c r="N615">
        <f>IF(AND(K615=1,M615="Y"),"Lower Risk",IF(AND(K615=0,M615="N"),"High Risk","Medium Risk"))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53"/>
  <sheetViews>
    <sheetView workbookViewId="0">
      <selection activeCell="A1" sqref="A1"/>
    </sheetView>
  </sheetViews>
  <sheetFormatPr baseColWidth="8" defaultRowHeight="15"/>
  <cols>
    <col width="10.28515625" customWidth="1" min="1" max="18"/>
  </cols>
  <sheetData>
    <row r="1" ht="30" customHeight="1">
      <c r="A1" s="13" t="inlineStr">
        <is>
          <t>Loan Portfolio Executive Dashboard</t>
        </is>
      </c>
    </row>
    <row r="2" ht="30" customHeight="1"/>
    <row r="3" ht="20.25" customHeight="1">
      <c r="A3" s="20" t="inlineStr">
        <is>
          <t>Portfolio overview | 614 applications</t>
        </is>
      </c>
    </row>
    <row r="4" ht="20.25" customHeight="1">
      <c r="A4" s="12" t="n"/>
      <c r="B4" s="21" t="inlineStr">
        <is>
          <t>Total Applications</t>
        </is>
      </c>
      <c r="F4" s="12" t="n"/>
      <c r="G4" s="21" t="inlineStr">
        <is>
          <t>Approval Rate</t>
        </is>
      </c>
      <c r="K4" s="12" t="n"/>
      <c r="L4" s="21" t="inlineStr">
        <is>
          <t>Avg Applicant Income</t>
        </is>
      </c>
      <c r="P4" s="12" t="n"/>
      <c r="Q4" s="21" t="inlineStr">
        <is>
          <t>Avg Loan Amount</t>
        </is>
      </c>
    </row>
    <row r="5" ht="24" customHeight="1">
      <c r="A5" s="12" t="n"/>
      <c r="B5" s="15">
        <f>COUNTA(data_bank_loan!$A$2:$A$615)</f>
        <v/>
      </c>
      <c r="F5" s="12" t="n"/>
      <c r="G5" s="16">
        <f>COUNTIF(data_bank_loan!$M$2:$M$615,"Y")/COUNTA(data_bank_loan!$A$2:$A$615)</f>
        <v/>
      </c>
      <c r="K5" s="12" t="n"/>
      <c r="L5" s="15">
        <f>AVERAGE(data_bank_loan!$G$2:$G$615)</f>
        <v/>
      </c>
      <c r="P5" s="12" t="n"/>
      <c r="Q5" s="17">
        <f>AVERAGE(data_bank_loan!$I$2:$I$615)</f>
        <v/>
      </c>
    </row>
    <row r="6" ht="24" customHeight="1">
      <c r="A6" s="12" t="n"/>
      <c r="F6" s="12" t="n"/>
      <c r="K6" s="12" t="n"/>
      <c r="P6" s="12" t="n"/>
    </row>
    <row r="7" ht="24" customHeight="1">
      <c r="A7" s="12" t="n"/>
      <c r="F7" s="12" t="n"/>
      <c r="K7" s="12" t="n"/>
      <c r="P7" s="12" t="n"/>
    </row>
    <row r="8" ht="20.25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</row>
    <row r="9" ht="20.25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</row>
    <row r="10" ht="20.25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</row>
    <row r="11" ht="20.25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</row>
    <row r="12" ht="20.25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</row>
    <row r="13" ht="20.25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</row>
    <row r="14" ht="20.25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</row>
    <row r="15" ht="20.25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</row>
    <row r="16" ht="20.25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</row>
    <row r="17" ht="20.25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</row>
    <row r="18" ht="20.25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</row>
    <row r="19" ht="20.25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</row>
    <row r="20" ht="20.25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</row>
    <row r="21" ht="20.25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</row>
    <row r="22" ht="20.25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</row>
    <row r="23" ht="20.25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</row>
    <row r="24" ht="20.25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</row>
    <row r="25" ht="20.25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</row>
    <row r="26" ht="20.25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</row>
    <row r="27" ht="20.25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</row>
    <row r="28" ht="20.25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</row>
    <row r="29" ht="20.25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</row>
    <row r="30" ht="20.25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</row>
    <row r="31" ht="20.25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</row>
    <row r="32" ht="20.25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</row>
    <row r="33" ht="20.25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</row>
    <row r="34" ht="20.25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</row>
    <row r="35" ht="20.25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</row>
    <row r="36" ht="20.25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</row>
    <row r="37" ht="20.25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</row>
    <row r="38" ht="20.25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</row>
    <row r="39" ht="20.25" customHeight="1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</row>
    <row r="40" ht="20.25" customHeight="1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</row>
    <row r="41" ht="20.25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</row>
    <row r="42" ht="20.25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</row>
    <row r="43" ht="20.25" customHeight="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</row>
    <row r="44" ht="20.25" customHeight="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</row>
    <row r="45" ht="20.25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</row>
    <row r="46" ht="20.25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</row>
    <row r="47" ht="20.25" customHeight="1">
      <c r="A47" s="22" t="inlineStr">
        <is>
          <t>Executive observations</t>
        </is>
      </c>
    </row>
    <row r="48" ht="24" customHeight="1">
      <c r="A48" s="18" t="inlineStr">
        <is>
          <t>1. Credit history is the strongest observed separator: approval is 79.6% for Credit_History = 1 versus 7.9% for Credit_History = 0.</t>
        </is>
      </c>
    </row>
    <row r="49" ht="24" customHeight="1"/>
    <row r="50" ht="24" customHeight="1">
      <c r="A50" s="19" t="inlineStr">
        <is>
          <t>2. Semiurban applications have the highest approval rate at 76.8%, compared with 65.8% Urban and 61.5% Rural.</t>
        </is>
      </c>
    </row>
    <row r="51" ht="24" customHeight="1"/>
    <row r="52" ht="24" customHeight="1">
      <c r="A52" s="18" t="inlineStr">
        <is>
          <t>3. Applicant income is right-skewed (median 3,812 vs average 5,403), while TotalIncome and LoanAmount have a moderate positive association (r = 0.62 across 592 complete records); these are associations, not causal effects.</t>
        </is>
      </c>
    </row>
    <row r="53" ht="24" customHeight="1"/>
  </sheetData>
  <mergeCells count="14">
    <mergeCell ref="A52:R53"/>
    <mergeCell ref="A3:R3"/>
    <mergeCell ref="B4:E4"/>
    <mergeCell ref="G4:J4"/>
    <mergeCell ref="A47:R47"/>
    <mergeCell ref="A50:R51"/>
    <mergeCell ref="L4:O4"/>
    <mergeCell ref="G5:J7"/>
    <mergeCell ref="Q5:R7"/>
    <mergeCell ref="A48:R49"/>
    <mergeCell ref="A1:R2"/>
    <mergeCell ref="B5:E7"/>
    <mergeCell ref="Q4:R4"/>
    <mergeCell ref="L5:O7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topLeftCell="A26" workbookViewId="0">
      <selection activeCell="A26" sqref="A26:D31"/>
    </sheetView>
  </sheetViews>
  <sheetFormatPr baseColWidth="8" defaultRowHeight="15"/>
  <cols>
    <col width="13.7109375" bestFit="1" customWidth="1" min="1" max="1"/>
    <col width="15.5703125" bestFit="1" customWidth="1" min="2" max="2"/>
    <col width="13.42578125" bestFit="1" customWidth="1" min="3" max="3"/>
    <col width="7.5703125" bestFit="1" customWidth="1" min="4" max="4"/>
    <col width="13.7109375" bestFit="1" customWidth="1" min="6" max="6"/>
    <col width="9.85546875" bestFit="1" customWidth="1" min="7" max="7"/>
    <col width="17.42578125" bestFit="1" customWidth="1" min="8" max="8"/>
    <col width="14" bestFit="1" customWidth="1" min="9" max="9"/>
  </cols>
  <sheetData>
    <row r="1">
      <c r="A1" s="4" t="inlineStr">
        <is>
          <t>Loan Applicants by Property Area</t>
        </is>
      </c>
    </row>
    <row r="2"/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5" t="inlineStr">
        <is>
          <t>Property Area</t>
        </is>
      </c>
      <c r="B4" s="5" t="inlineStr">
        <is>
          <t>Applicant Count</t>
        </is>
      </c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" t="inlineStr">
        <is>
          <t>Semiurban</t>
        </is>
      </c>
      <c r="B5" s="6">
        <f>COUNTIF(data_bank_loan!$L$2:$L$615,A5)</f>
        <v/>
      </c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3" t="inlineStr">
        <is>
          <t>Urban</t>
        </is>
      </c>
      <c r="B6" s="6">
        <f>COUNTIF(data_bank_loan!$L$2:$L$615,A6)</f>
        <v/>
      </c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3" t="inlineStr">
        <is>
          <t>Rural</t>
        </is>
      </c>
      <c r="B7" s="6">
        <f>COUNTIF(data_bank_loan!$L$2:$L$615,A7)</f>
        <v/>
      </c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6" ht="21" customHeight="1">
      <c r="A26" s="7" t="n"/>
      <c r="F26" s="23" t="inlineStr">
        <is>
          <t>Approval Rate by Property Area</t>
        </is>
      </c>
    </row>
    <row r="28" ht="24" customHeight="1">
      <c r="A28" s="8" t="n"/>
      <c r="B28" s="8" t="n"/>
      <c r="C28" s="8" t="n"/>
      <c r="D28" s="8" t="n"/>
      <c r="F28" s="5" t="inlineStr">
        <is>
          <t>Property Area</t>
        </is>
      </c>
      <c r="G28" s="5" t="inlineStr">
        <is>
          <t>Approved</t>
        </is>
      </c>
      <c r="H28" s="5" t="inlineStr">
        <is>
          <t>Total Applications</t>
        </is>
      </c>
      <c r="I28" s="5" t="inlineStr">
        <is>
          <t>Approval Rate</t>
        </is>
      </c>
    </row>
    <row r="29" ht="24" customHeight="1">
      <c r="A29" s="10" t="n"/>
      <c r="B29" s="9" t="n"/>
      <c r="C29" s="9" t="n"/>
      <c r="D29" s="9" t="n"/>
      <c r="F29" t="inlineStr">
        <is>
          <t>Semiurban</t>
        </is>
      </c>
      <c r="G29" s="11">
        <f>COUNTIFS(data_bank_loan!$L$2:$L$615,F29,data_bank_loan!$M$2:$M$615,"Y")</f>
        <v/>
      </c>
      <c r="H29" s="11">
        <f>COUNTIF(data_bank_loan!$L$2:$L$615,F29)</f>
        <v/>
      </c>
      <c r="I29" s="9">
        <f>IFERROR(G29/H29,0)</f>
        <v/>
      </c>
    </row>
    <row r="30" ht="24" customHeight="1">
      <c r="A30" s="10" t="n"/>
      <c r="B30" s="9" t="n"/>
      <c r="C30" s="9" t="n"/>
      <c r="D30" s="9" t="n"/>
      <c r="F30" t="inlineStr">
        <is>
          <t>Urban</t>
        </is>
      </c>
      <c r="G30" s="11">
        <f>COUNTIFS(data_bank_loan!$L$2:$L$615,F30,data_bank_loan!$M$2:$M$615,"Y")</f>
        <v/>
      </c>
      <c r="H30" s="11">
        <f>COUNTIF(data_bank_loan!$L$2:$L$615,F30)</f>
        <v/>
      </c>
      <c r="I30" s="9">
        <f>IFERROR(G30/H30,0)</f>
        <v/>
      </c>
    </row>
    <row r="31" ht="24" customHeight="1">
      <c r="A31" s="10" t="n"/>
      <c r="B31" s="9" t="n"/>
      <c r="C31" s="9" t="n"/>
      <c r="D31" s="9" t="n"/>
      <c r="F31" t="inlineStr">
        <is>
          <t>Rural</t>
        </is>
      </c>
      <c r="G31" s="11">
        <f>COUNTIFS(data_bank_loan!$L$2:$L$615,F31,data_bank_loan!$M$2:$M$615,"Y")</f>
        <v/>
      </c>
      <c r="H31" s="11">
        <f>COUNTIF(data_bank_loan!$L$2:$L$615,F31)</f>
        <v/>
      </c>
      <c r="I31" s="9">
        <f>IFERROR(G31/H31,0)</f>
        <v/>
      </c>
    </row>
  </sheetData>
  <mergeCells count="3">
    <mergeCell ref="A26:D26"/>
    <mergeCell ref="F26:I26"/>
    <mergeCell ref="A1:J2"/>
  </mergeCells>
  <conditionalFormatting sqref="B29:D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 History</t>
        </is>
      </c>
      <c r="B1" s="1" t="inlineStr">
        <is>
          <t>Approved</t>
        </is>
      </c>
      <c r="C1" s="1" t="inlineStr">
        <is>
          <t>Approval Rate</t>
        </is>
      </c>
      <c r="E1" s="1" t="inlineStr">
        <is>
          <t>Property Area</t>
        </is>
      </c>
      <c r="F1" s="1" t="inlineStr">
        <is>
          <t>Approved</t>
        </is>
      </c>
      <c r="G1" s="1" t="inlineStr">
        <is>
          <t>Approval Rate</t>
        </is>
      </c>
      <c r="I1" t="inlineStr">
        <is>
          <t>Total Income</t>
        </is>
      </c>
      <c r="J1" t="inlineStr">
        <is>
          <t>Loan Amount</t>
        </is>
      </c>
      <c r="K1" t="n">
        <v>0</v>
      </c>
    </row>
    <row r="2">
      <c r="A2" t="inlineStr">
        <is>
          <t>Good (1)</t>
        </is>
      </c>
      <c r="B2">
        <f>COUNTIFS(data_bank_loan!$K$2:$K$615,1,data_bank_loan!$M$2:$M$615,"Y")</f>
        <v/>
      </c>
      <c r="C2" s="9">
        <f>B2/COUNTIF(data_bank_loan!$K$2:$K$615,1)</f>
        <v/>
      </c>
      <c r="E2" t="inlineStr">
        <is>
          <t>Semiurban</t>
        </is>
      </c>
      <c r="F2">
        <f>COUNTIFS(data_bank_loan!$L$2:$L$615,E2,data_bank_loan!$M$2:$M$615,"Y")</f>
        <v/>
      </c>
      <c r="G2" s="9">
        <f>F2/COUNTIF(data_bank_loan!$L$2:$L$615,E2)</f>
        <v/>
      </c>
      <c r="I2">
        <f>data_bank_loan!G2+data_bank_loan!H2</f>
        <v/>
      </c>
      <c r="J2">
        <f>IF(data_bank_loan!I2="",NA(),data_bank_loan!I2)</f>
        <v/>
      </c>
      <c r="K2" t="n">
        <v>1</v>
      </c>
    </row>
    <row r="3">
      <c r="A3" t="inlineStr">
        <is>
          <t>Missing</t>
        </is>
      </c>
      <c r="B3">
        <f>COUNTIFS(data_bank_loan!$K$2:$K$615,"",data_bank_loan!$M$2:$M$615,"Y")</f>
        <v/>
      </c>
      <c r="C3" s="9">
        <f>B3/COUNTBLANK(data_bank_loan!$K$2:$K$615)</f>
        <v/>
      </c>
      <c r="E3" t="inlineStr">
        <is>
          <t>Urban</t>
        </is>
      </c>
      <c r="F3">
        <f>COUNTIFS(data_bank_loan!$L$2:$L$615,E3,data_bank_loan!$M$2:$M$615,"Y")</f>
        <v/>
      </c>
      <c r="G3" s="9">
        <f>F3/COUNTIF(data_bank_loan!$L$2:$L$615,E3)</f>
        <v/>
      </c>
      <c r="I3">
        <f>data_bank_loan!G3+data_bank_loan!H3</f>
        <v/>
      </c>
      <c r="J3">
        <f>IF(data_bank_loan!I3="",NA(),data_bank_loan!I3)</f>
        <v/>
      </c>
    </row>
    <row r="4">
      <c r="A4" t="inlineStr">
        <is>
          <t>Poor (0)</t>
        </is>
      </c>
      <c r="B4">
        <f>COUNTIFS(data_bank_loan!$K$2:$K$615,0,data_bank_loan!$M$2:$M$615,"Y")</f>
        <v/>
      </c>
      <c r="C4" s="9">
        <f>B4/COUNTIF(data_bank_loan!$K$2:$K$615,0)</f>
        <v/>
      </c>
      <c r="E4" t="inlineStr">
        <is>
          <t>Rural</t>
        </is>
      </c>
      <c r="F4">
        <f>COUNTIFS(data_bank_loan!$L$2:$L$615,E4,data_bank_loan!$M$2:$M$615,"Y")</f>
        <v/>
      </c>
      <c r="G4" s="9">
        <f>F4/COUNTIF(data_bank_loan!$L$2:$L$615,E4)</f>
        <v/>
      </c>
      <c r="I4">
        <f>data_bank_loan!G4+data_bank_loan!H4</f>
        <v/>
      </c>
      <c r="J4">
        <f>IF(data_bank_loan!I4="",NA(),data_bank_loan!I4)</f>
        <v/>
      </c>
    </row>
    <row r="5">
      <c r="I5">
        <f>data_bank_loan!G5+data_bank_loan!H5</f>
        <v/>
      </c>
      <c r="J5">
        <f>IF(data_bank_loan!I5="",NA(),data_bank_loan!I5)</f>
        <v/>
      </c>
    </row>
    <row r="6">
      <c r="I6">
        <f>data_bank_loan!G6+data_bank_loan!H6</f>
        <v/>
      </c>
      <c r="J6">
        <f>IF(data_bank_loan!I6="",NA(),data_bank_loan!I6)</f>
        <v/>
      </c>
    </row>
    <row r="7">
      <c r="I7">
        <f>data_bank_loan!G7+data_bank_loan!H7</f>
        <v/>
      </c>
      <c r="J7">
        <f>IF(data_bank_loan!I7="",NA(),data_bank_loan!I7)</f>
        <v/>
      </c>
    </row>
    <row r="8">
      <c r="I8">
        <f>data_bank_loan!G8+data_bank_loan!H8</f>
        <v/>
      </c>
      <c r="J8">
        <f>IF(data_bank_loan!I8="",NA(),data_bank_loan!I8)</f>
        <v/>
      </c>
    </row>
    <row r="9">
      <c r="I9">
        <f>data_bank_loan!G9+data_bank_loan!H9</f>
        <v/>
      </c>
      <c r="J9">
        <f>IF(data_bank_loan!I9="",NA(),data_bank_loan!I9)</f>
        <v/>
      </c>
    </row>
    <row r="10">
      <c r="I10">
        <f>data_bank_loan!G10+data_bank_loan!H10</f>
        <v/>
      </c>
      <c r="J10">
        <f>IF(data_bank_loan!I10="",NA(),data_bank_loan!I10)</f>
        <v/>
      </c>
    </row>
    <row r="11">
      <c r="I11">
        <f>data_bank_loan!G11+data_bank_loan!H11</f>
        <v/>
      </c>
      <c r="J11">
        <f>IF(data_bank_loan!I11="",NA(),data_bank_loan!I11)</f>
        <v/>
      </c>
    </row>
    <row r="12">
      <c r="I12">
        <f>data_bank_loan!G12+data_bank_loan!H12</f>
        <v/>
      </c>
      <c r="J12">
        <f>IF(data_bank_loan!I12="",NA(),data_bank_loan!I12)</f>
        <v/>
      </c>
    </row>
    <row r="13">
      <c r="I13">
        <f>data_bank_loan!G13+data_bank_loan!H13</f>
        <v/>
      </c>
      <c r="J13">
        <f>IF(data_bank_loan!I13="",NA(),data_bank_loan!I13)</f>
        <v/>
      </c>
    </row>
    <row r="14">
      <c r="I14">
        <f>data_bank_loan!G14+data_bank_loan!H14</f>
        <v/>
      </c>
      <c r="J14">
        <f>IF(data_bank_loan!I14="",NA(),data_bank_loan!I14)</f>
        <v/>
      </c>
    </row>
    <row r="15">
      <c r="I15">
        <f>data_bank_loan!G15+data_bank_loan!H15</f>
        <v/>
      </c>
      <c r="J15">
        <f>IF(data_bank_loan!I15="",NA(),data_bank_loan!I15)</f>
        <v/>
      </c>
    </row>
    <row r="16">
      <c r="I16">
        <f>data_bank_loan!G16+data_bank_loan!H16</f>
        <v/>
      </c>
      <c r="J16">
        <f>IF(data_bank_loan!I16="",NA(),data_bank_loan!I16)</f>
        <v/>
      </c>
    </row>
    <row r="17">
      <c r="I17">
        <f>data_bank_loan!G17+data_bank_loan!H17</f>
        <v/>
      </c>
      <c r="J17">
        <f>IF(data_bank_loan!I17="",NA(),data_bank_loan!I17)</f>
        <v/>
      </c>
    </row>
    <row r="18">
      <c r="I18">
        <f>data_bank_loan!G18+data_bank_loan!H18</f>
        <v/>
      </c>
      <c r="J18">
        <f>IF(data_bank_loan!I18="",NA(),data_bank_loan!I18)</f>
        <v/>
      </c>
    </row>
    <row r="19">
      <c r="I19">
        <f>data_bank_loan!G19+data_bank_loan!H19</f>
        <v/>
      </c>
      <c r="J19">
        <f>IF(data_bank_loan!I19="",NA(),data_bank_loan!I19)</f>
        <v/>
      </c>
    </row>
    <row r="20">
      <c r="I20">
        <f>data_bank_loan!G20+data_bank_loan!H20</f>
        <v/>
      </c>
      <c r="J20">
        <f>IF(data_bank_loan!I20="",NA(),data_bank_loan!I20)</f>
        <v/>
      </c>
    </row>
    <row r="21">
      <c r="I21">
        <f>data_bank_loan!G21+data_bank_loan!H21</f>
        <v/>
      </c>
      <c r="J21">
        <f>IF(data_bank_loan!I21="",NA(),data_bank_loan!I21)</f>
        <v/>
      </c>
    </row>
    <row r="22">
      <c r="I22">
        <f>data_bank_loan!G22+data_bank_loan!H22</f>
        <v/>
      </c>
      <c r="J22">
        <f>IF(data_bank_loan!I22="",NA(),data_bank_loan!I22)</f>
        <v/>
      </c>
    </row>
    <row r="23">
      <c r="I23">
        <f>data_bank_loan!G23+data_bank_loan!H23</f>
        <v/>
      </c>
      <c r="J23">
        <f>IF(data_bank_loan!I23="",NA(),data_bank_loan!I23)</f>
        <v/>
      </c>
    </row>
    <row r="24">
      <c r="I24">
        <f>data_bank_loan!G24+data_bank_loan!H24</f>
        <v/>
      </c>
      <c r="J24">
        <f>IF(data_bank_loan!I24="",NA(),data_bank_loan!I24)</f>
        <v/>
      </c>
    </row>
    <row r="25">
      <c r="I25">
        <f>data_bank_loan!G25+data_bank_loan!H25</f>
        <v/>
      </c>
      <c r="J25">
        <f>IF(data_bank_loan!I25="",NA(),data_bank_loan!I25)</f>
        <v/>
      </c>
    </row>
    <row r="26">
      <c r="I26">
        <f>data_bank_loan!G26+data_bank_loan!H26</f>
        <v/>
      </c>
      <c r="J26">
        <f>IF(data_bank_loan!I26="",NA(),data_bank_loan!I26)</f>
        <v/>
      </c>
    </row>
    <row r="27">
      <c r="I27">
        <f>data_bank_loan!G27+data_bank_loan!H27</f>
        <v/>
      </c>
      <c r="J27">
        <f>IF(data_bank_loan!I27="",NA(),data_bank_loan!I27)</f>
        <v/>
      </c>
    </row>
    <row r="28">
      <c r="I28">
        <f>data_bank_loan!G28+data_bank_loan!H28</f>
        <v/>
      </c>
      <c r="J28">
        <f>IF(data_bank_loan!I28="",NA(),data_bank_loan!I28)</f>
        <v/>
      </c>
    </row>
    <row r="29">
      <c r="I29">
        <f>data_bank_loan!G29+data_bank_loan!H29</f>
        <v/>
      </c>
      <c r="J29">
        <f>IF(data_bank_loan!I29="",NA(),data_bank_loan!I29)</f>
        <v/>
      </c>
    </row>
    <row r="30">
      <c r="I30">
        <f>data_bank_loan!G30+data_bank_loan!H30</f>
        <v/>
      </c>
      <c r="J30">
        <f>IF(data_bank_loan!I30="",NA(),data_bank_loan!I30)</f>
        <v/>
      </c>
    </row>
    <row r="31">
      <c r="I31">
        <f>data_bank_loan!G31+data_bank_loan!H31</f>
        <v/>
      </c>
      <c r="J31">
        <f>IF(data_bank_loan!I31="",NA(),data_bank_loan!I31)</f>
        <v/>
      </c>
    </row>
    <row r="32">
      <c r="I32">
        <f>data_bank_loan!G32+data_bank_loan!H32</f>
        <v/>
      </c>
      <c r="J32">
        <f>IF(data_bank_loan!I32="",NA(),data_bank_loan!I32)</f>
        <v/>
      </c>
    </row>
    <row r="33">
      <c r="I33">
        <f>data_bank_loan!G33+data_bank_loan!H33</f>
        <v/>
      </c>
      <c r="J33">
        <f>IF(data_bank_loan!I33="",NA(),data_bank_loan!I33)</f>
        <v/>
      </c>
    </row>
    <row r="34">
      <c r="I34">
        <f>data_bank_loan!G34+data_bank_loan!H34</f>
        <v/>
      </c>
      <c r="J34">
        <f>IF(data_bank_loan!I34="",NA(),data_bank_loan!I34)</f>
        <v/>
      </c>
    </row>
    <row r="35">
      <c r="I35">
        <f>data_bank_loan!G35+data_bank_loan!H35</f>
        <v/>
      </c>
      <c r="J35">
        <f>IF(data_bank_loan!I35="",NA(),data_bank_loan!I35)</f>
        <v/>
      </c>
    </row>
    <row r="36">
      <c r="I36">
        <f>data_bank_loan!G36+data_bank_loan!H36</f>
        <v/>
      </c>
      <c r="J36">
        <f>IF(data_bank_loan!I36="",NA(),data_bank_loan!I36)</f>
        <v/>
      </c>
    </row>
    <row r="37">
      <c r="I37">
        <f>data_bank_loan!G37+data_bank_loan!H37</f>
        <v/>
      </c>
      <c r="J37">
        <f>IF(data_bank_loan!I37="",NA(),data_bank_loan!I37)</f>
        <v/>
      </c>
    </row>
    <row r="38">
      <c r="I38">
        <f>data_bank_loan!G38+data_bank_loan!H38</f>
        <v/>
      </c>
      <c r="J38">
        <f>IF(data_bank_loan!I38="",NA(),data_bank_loan!I38)</f>
        <v/>
      </c>
    </row>
    <row r="39">
      <c r="I39">
        <f>data_bank_loan!G39+data_bank_loan!H39</f>
        <v/>
      </c>
      <c r="J39">
        <f>IF(data_bank_loan!I39="",NA(),data_bank_loan!I39)</f>
        <v/>
      </c>
    </row>
    <row r="40">
      <c r="I40">
        <f>data_bank_loan!G40+data_bank_loan!H40</f>
        <v/>
      </c>
      <c r="J40">
        <f>IF(data_bank_loan!I40="",NA(),data_bank_loan!I40)</f>
        <v/>
      </c>
    </row>
    <row r="41">
      <c r="I41">
        <f>data_bank_loan!G41+data_bank_loan!H41</f>
        <v/>
      </c>
      <c r="J41">
        <f>IF(data_bank_loan!I41="",NA(),data_bank_loan!I41)</f>
        <v/>
      </c>
    </row>
    <row r="42">
      <c r="I42">
        <f>data_bank_loan!G42+data_bank_loan!H42</f>
        <v/>
      </c>
      <c r="J42">
        <f>IF(data_bank_loan!I42="",NA(),data_bank_loan!I42)</f>
        <v/>
      </c>
    </row>
    <row r="43">
      <c r="I43">
        <f>data_bank_loan!G43+data_bank_loan!H43</f>
        <v/>
      </c>
      <c r="J43">
        <f>IF(data_bank_loan!I43="",NA(),data_bank_loan!I43)</f>
        <v/>
      </c>
    </row>
    <row r="44">
      <c r="I44">
        <f>data_bank_loan!G44+data_bank_loan!H44</f>
        <v/>
      </c>
      <c r="J44">
        <f>IF(data_bank_loan!I44="",NA(),data_bank_loan!I44)</f>
        <v/>
      </c>
    </row>
    <row r="45">
      <c r="I45">
        <f>data_bank_loan!G45+data_bank_loan!H45</f>
        <v/>
      </c>
      <c r="J45">
        <f>IF(data_bank_loan!I45="",NA(),data_bank_loan!I45)</f>
        <v/>
      </c>
    </row>
    <row r="46">
      <c r="I46">
        <f>data_bank_loan!G46+data_bank_loan!H46</f>
        <v/>
      </c>
      <c r="J46">
        <f>IF(data_bank_loan!I46="",NA(),data_bank_loan!I46)</f>
        <v/>
      </c>
    </row>
    <row r="47">
      <c r="I47">
        <f>data_bank_loan!G47+data_bank_loan!H47</f>
        <v/>
      </c>
      <c r="J47">
        <f>IF(data_bank_loan!I47="",NA(),data_bank_loan!I47)</f>
        <v/>
      </c>
    </row>
    <row r="48">
      <c r="I48">
        <f>data_bank_loan!G48+data_bank_loan!H48</f>
        <v/>
      </c>
      <c r="J48">
        <f>IF(data_bank_loan!I48="",NA(),data_bank_loan!I48)</f>
        <v/>
      </c>
    </row>
    <row r="49">
      <c r="I49">
        <f>data_bank_loan!G49+data_bank_loan!H49</f>
        <v/>
      </c>
      <c r="J49">
        <f>IF(data_bank_loan!I49="",NA(),data_bank_loan!I49)</f>
        <v/>
      </c>
    </row>
    <row r="50">
      <c r="I50">
        <f>data_bank_loan!G50+data_bank_loan!H50</f>
        <v/>
      </c>
      <c r="J50">
        <f>IF(data_bank_loan!I50="",NA(),data_bank_loan!I50)</f>
        <v/>
      </c>
    </row>
    <row r="51">
      <c r="I51">
        <f>data_bank_loan!G51+data_bank_loan!H51</f>
        <v/>
      </c>
      <c r="J51">
        <f>IF(data_bank_loan!I51="",NA(),data_bank_loan!I51)</f>
        <v/>
      </c>
    </row>
    <row r="52">
      <c r="I52">
        <f>data_bank_loan!G52+data_bank_loan!H52</f>
        <v/>
      </c>
      <c r="J52">
        <f>IF(data_bank_loan!I52="",NA(),data_bank_loan!I52)</f>
        <v/>
      </c>
    </row>
    <row r="53">
      <c r="I53">
        <f>data_bank_loan!G53+data_bank_loan!H53</f>
        <v/>
      </c>
      <c r="J53">
        <f>IF(data_bank_loan!I53="",NA(),data_bank_loan!I53)</f>
        <v/>
      </c>
    </row>
    <row r="54">
      <c r="I54">
        <f>data_bank_loan!G54+data_bank_loan!H54</f>
        <v/>
      </c>
      <c r="J54">
        <f>IF(data_bank_loan!I54="",NA(),data_bank_loan!I54)</f>
        <v/>
      </c>
    </row>
    <row r="55">
      <c r="I55">
        <f>data_bank_loan!G55+data_bank_loan!H55</f>
        <v/>
      </c>
      <c r="J55">
        <f>IF(data_bank_loan!I55="",NA(),data_bank_loan!I55)</f>
        <v/>
      </c>
    </row>
    <row r="56">
      <c r="I56">
        <f>data_bank_loan!G56+data_bank_loan!H56</f>
        <v/>
      </c>
      <c r="J56">
        <f>IF(data_bank_loan!I56="",NA(),data_bank_loan!I56)</f>
        <v/>
      </c>
    </row>
    <row r="57">
      <c r="I57">
        <f>data_bank_loan!G57+data_bank_loan!H57</f>
        <v/>
      </c>
      <c r="J57">
        <f>IF(data_bank_loan!I57="",NA(),data_bank_loan!I57)</f>
        <v/>
      </c>
    </row>
    <row r="58">
      <c r="I58">
        <f>data_bank_loan!G58+data_bank_loan!H58</f>
        <v/>
      </c>
      <c r="J58">
        <f>IF(data_bank_loan!I58="",NA(),data_bank_loan!I58)</f>
        <v/>
      </c>
    </row>
    <row r="59">
      <c r="I59">
        <f>data_bank_loan!G59+data_bank_loan!H59</f>
        <v/>
      </c>
      <c r="J59">
        <f>IF(data_bank_loan!I59="",NA(),data_bank_loan!I59)</f>
        <v/>
      </c>
    </row>
    <row r="60">
      <c r="I60">
        <f>data_bank_loan!G60+data_bank_loan!H60</f>
        <v/>
      </c>
      <c r="J60">
        <f>IF(data_bank_loan!I60="",NA(),data_bank_loan!I60)</f>
        <v/>
      </c>
    </row>
    <row r="61">
      <c r="I61">
        <f>data_bank_loan!G61+data_bank_loan!H61</f>
        <v/>
      </c>
      <c r="J61">
        <f>IF(data_bank_loan!I61="",NA(),data_bank_loan!I61)</f>
        <v/>
      </c>
    </row>
    <row r="62">
      <c r="I62">
        <f>data_bank_loan!G62+data_bank_loan!H62</f>
        <v/>
      </c>
      <c r="J62">
        <f>IF(data_bank_loan!I62="",NA(),data_bank_loan!I62)</f>
        <v/>
      </c>
    </row>
    <row r="63">
      <c r="I63">
        <f>data_bank_loan!G63+data_bank_loan!H63</f>
        <v/>
      </c>
      <c r="J63">
        <f>IF(data_bank_loan!I63="",NA(),data_bank_loan!I63)</f>
        <v/>
      </c>
    </row>
    <row r="64">
      <c r="I64">
        <f>data_bank_loan!G64+data_bank_loan!H64</f>
        <v/>
      </c>
      <c r="J64">
        <f>IF(data_bank_loan!I64="",NA(),data_bank_loan!I64)</f>
        <v/>
      </c>
    </row>
    <row r="65">
      <c r="I65">
        <f>data_bank_loan!G65+data_bank_loan!H65</f>
        <v/>
      </c>
      <c r="J65">
        <f>IF(data_bank_loan!I65="",NA(),data_bank_loan!I65)</f>
        <v/>
      </c>
    </row>
    <row r="66">
      <c r="I66">
        <f>data_bank_loan!G66+data_bank_loan!H66</f>
        <v/>
      </c>
      <c r="J66">
        <f>IF(data_bank_loan!I66="",NA(),data_bank_loan!I66)</f>
        <v/>
      </c>
    </row>
    <row r="67">
      <c r="I67">
        <f>data_bank_loan!G67+data_bank_loan!H67</f>
        <v/>
      </c>
      <c r="J67">
        <f>IF(data_bank_loan!I67="",NA(),data_bank_loan!I67)</f>
        <v/>
      </c>
    </row>
    <row r="68">
      <c r="I68">
        <f>data_bank_loan!G68+data_bank_loan!H68</f>
        <v/>
      </c>
      <c r="J68">
        <f>IF(data_bank_loan!I68="",NA(),data_bank_loan!I68)</f>
        <v/>
      </c>
    </row>
    <row r="69">
      <c r="I69">
        <f>data_bank_loan!G69+data_bank_loan!H69</f>
        <v/>
      </c>
      <c r="J69">
        <f>IF(data_bank_loan!I69="",NA(),data_bank_loan!I69)</f>
        <v/>
      </c>
    </row>
    <row r="70">
      <c r="I70">
        <f>data_bank_loan!G70+data_bank_loan!H70</f>
        <v/>
      </c>
      <c r="J70">
        <f>IF(data_bank_loan!I70="",NA(),data_bank_loan!I70)</f>
        <v/>
      </c>
    </row>
    <row r="71">
      <c r="I71">
        <f>data_bank_loan!G71+data_bank_loan!H71</f>
        <v/>
      </c>
      <c r="J71">
        <f>IF(data_bank_loan!I71="",NA(),data_bank_loan!I71)</f>
        <v/>
      </c>
    </row>
    <row r="72">
      <c r="I72">
        <f>data_bank_loan!G72+data_bank_loan!H72</f>
        <v/>
      </c>
      <c r="J72">
        <f>IF(data_bank_loan!I72="",NA(),data_bank_loan!I72)</f>
        <v/>
      </c>
    </row>
    <row r="73">
      <c r="I73">
        <f>data_bank_loan!G73+data_bank_loan!H73</f>
        <v/>
      </c>
      <c r="J73">
        <f>IF(data_bank_loan!I73="",NA(),data_bank_loan!I73)</f>
        <v/>
      </c>
    </row>
    <row r="74">
      <c r="I74">
        <f>data_bank_loan!G74+data_bank_loan!H74</f>
        <v/>
      </c>
      <c r="J74">
        <f>IF(data_bank_loan!I74="",NA(),data_bank_loan!I74)</f>
        <v/>
      </c>
    </row>
    <row r="75">
      <c r="I75">
        <f>data_bank_loan!G75+data_bank_loan!H75</f>
        <v/>
      </c>
      <c r="J75">
        <f>IF(data_bank_loan!I75="",NA(),data_bank_loan!I75)</f>
        <v/>
      </c>
    </row>
    <row r="76">
      <c r="I76">
        <f>data_bank_loan!G76+data_bank_loan!H76</f>
        <v/>
      </c>
      <c r="J76">
        <f>IF(data_bank_loan!I76="",NA(),data_bank_loan!I76)</f>
        <v/>
      </c>
    </row>
    <row r="77">
      <c r="I77">
        <f>data_bank_loan!G77+data_bank_loan!H77</f>
        <v/>
      </c>
      <c r="J77">
        <f>IF(data_bank_loan!I77="",NA(),data_bank_loan!I77)</f>
        <v/>
      </c>
    </row>
    <row r="78">
      <c r="I78">
        <f>data_bank_loan!G78+data_bank_loan!H78</f>
        <v/>
      </c>
      <c r="J78">
        <f>IF(data_bank_loan!I78="",NA(),data_bank_loan!I78)</f>
        <v/>
      </c>
    </row>
    <row r="79">
      <c r="I79">
        <f>data_bank_loan!G79+data_bank_loan!H79</f>
        <v/>
      </c>
      <c r="J79">
        <f>IF(data_bank_loan!I79="",NA(),data_bank_loan!I79)</f>
        <v/>
      </c>
    </row>
    <row r="80">
      <c r="I80">
        <f>data_bank_loan!G80+data_bank_loan!H80</f>
        <v/>
      </c>
      <c r="J80">
        <f>IF(data_bank_loan!I80="",NA(),data_bank_loan!I80)</f>
        <v/>
      </c>
    </row>
    <row r="81">
      <c r="I81">
        <f>data_bank_loan!G81+data_bank_loan!H81</f>
        <v/>
      </c>
      <c r="J81">
        <f>IF(data_bank_loan!I81="",NA(),data_bank_loan!I81)</f>
        <v/>
      </c>
    </row>
    <row r="82">
      <c r="I82">
        <f>data_bank_loan!G82+data_bank_loan!H82</f>
        <v/>
      </c>
      <c r="J82">
        <f>IF(data_bank_loan!I82="",NA(),data_bank_loan!I82)</f>
        <v/>
      </c>
    </row>
    <row r="83">
      <c r="I83">
        <f>data_bank_loan!G83+data_bank_loan!H83</f>
        <v/>
      </c>
      <c r="J83">
        <f>IF(data_bank_loan!I83="",NA(),data_bank_loan!I83)</f>
        <v/>
      </c>
    </row>
    <row r="84">
      <c r="I84">
        <f>data_bank_loan!G84+data_bank_loan!H84</f>
        <v/>
      </c>
      <c r="J84">
        <f>IF(data_bank_loan!I84="",NA(),data_bank_loan!I84)</f>
        <v/>
      </c>
    </row>
    <row r="85">
      <c r="I85">
        <f>data_bank_loan!G85+data_bank_loan!H85</f>
        <v/>
      </c>
      <c r="J85">
        <f>IF(data_bank_loan!I85="",NA(),data_bank_loan!I85)</f>
        <v/>
      </c>
    </row>
    <row r="86">
      <c r="I86">
        <f>data_bank_loan!G86+data_bank_loan!H86</f>
        <v/>
      </c>
      <c r="J86">
        <f>IF(data_bank_loan!I86="",NA(),data_bank_loan!I86)</f>
        <v/>
      </c>
    </row>
    <row r="87">
      <c r="I87">
        <f>data_bank_loan!G87+data_bank_loan!H87</f>
        <v/>
      </c>
      <c r="J87">
        <f>IF(data_bank_loan!I87="",NA(),data_bank_loan!I87)</f>
        <v/>
      </c>
    </row>
    <row r="88">
      <c r="I88">
        <f>data_bank_loan!G88+data_bank_loan!H88</f>
        <v/>
      </c>
      <c r="J88">
        <f>IF(data_bank_loan!I88="",NA(),data_bank_loan!I88)</f>
        <v/>
      </c>
    </row>
    <row r="89">
      <c r="I89">
        <f>data_bank_loan!G89+data_bank_loan!H89</f>
        <v/>
      </c>
      <c r="J89">
        <f>IF(data_bank_loan!I89="",NA(),data_bank_loan!I89)</f>
        <v/>
      </c>
    </row>
    <row r="90">
      <c r="I90">
        <f>data_bank_loan!G90+data_bank_loan!H90</f>
        <v/>
      </c>
      <c r="J90">
        <f>IF(data_bank_loan!I90="",NA(),data_bank_loan!I90)</f>
        <v/>
      </c>
    </row>
    <row r="91">
      <c r="I91">
        <f>data_bank_loan!G91+data_bank_loan!H91</f>
        <v/>
      </c>
      <c r="J91">
        <f>IF(data_bank_loan!I91="",NA(),data_bank_loan!I91)</f>
        <v/>
      </c>
    </row>
    <row r="92">
      <c r="I92">
        <f>data_bank_loan!G92+data_bank_loan!H92</f>
        <v/>
      </c>
      <c r="J92">
        <f>IF(data_bank_loan!I92="",NA(),data_bank_loan!I92)</f>
        <v/>
      </c>
    </row>
    <row r="93">
      <c r="I93">
        <f>data_bank_loan!G93+data_bank_loan!H93</f>
        <v/>
      </c>
      <c r="J93">
        <f>IF(data_bank_loan!I93="",NA(),data_bank_loan!I93)</f>
        <v/>
      </c>
    </row>
    <row r="94">
      <c r="I94">
        <f>data_bank_loan!G94+data_bank_loan!H94</f>
        <v/>
      </c>
      <c r="J94">
        <f>IF(data_bank_loan!I94="",NA(),data_bank_loan!I94)</f>
        <v/>
      </c>
    </row>
    <row r="95">
      <c r="I95">
        <f>data_bank_loan!G95+data_bank_loan!H95</f>
        <v/>
      </c>
      <c r="J95">
        <f>IF(data_bank_loan!I95="",NA(),data_bank_loan!I95)</f>
        <v/>
      </c>
    </row>
    <row r="96">
      <c r="I96">
        <f>data_bank_loan!G96+data_bank_loan!H96</f>
        <v/>
      </c>
      <c r="J96">
        <f>IF(data_bank_loan!I96="",NA(),data_bank_loan!I96)</f>
        <v/>
      </c>
    </row>
    <row r="97">
      <c r="I97">
        <f>data_bank_loan!G97+data_bank_loan!H97</f>
        <v/>
      </c>
      <c r="J97">
        <f>IF(data_bank_loan!I97="",NA(),data_bank_loan!I97)</f>
        <v/>
      </c>
    </row>
    <row r="98">
      <c r="I98">
        <f>data_bank_loan!G98+data_bank_loan!H98</f>
        <v/>
      </c>
      <c r="J98">
        <f>IF(data_bank_loan!I98="",NA(),data_bank_loan!I98)</f>
        <v/>
      </c>
    </row>
    <row r="99">
      <c r="I99">
        <f>data_bank_loan!G99+data_bank_loan!H99</f>
        <v/>
      </c>
      <c r="J99">
        <f>IF(data_bank_loan!I99="",NA(),data_bank_loan!I99)</f>
        <v/>
      </c>
    </row>
    <row r="100">
      <c r="I100">
        <f>data_bank_loan!G100+data_bank_loan!H100</f>
        <v/>
      </c>
      <c r="J100">
        <f>IF(data_bank_loan!I100="",NA(),data_bank_loan!I100)</f>
        <v/>
      </c>
    </row>
    <row r="101">
      <c r="I101">
        <f>data_bank_loan!G101+data_bank_loan!H101</f>
        <v/>
      </c>
      <c r="J101">
        <f>IF(data_bank_loan!I101="",NA(),data_bank_loan!I101)</f>
        <v/>
      </c>
    </row>
    <row r="102">
      <c r="I102">
        <f>data_bank_loan!G102+data_bank_loan!H102</f>
        <v/>
      </c>
      <c r="J102">
        <f>IF(data_bank_loan!I102="",NA(),data_bank_loan!I102)</f>
        <v/>
      </c>
    </row>
    <row r="103">
      <c r="I103">
        <f>data_bank_loan!G103+data_bank_loan!H103</f>
        <v/>
      </c>
      <c r="J103">
        <f>IF(data_bank_loan!I103="",NA(),data_bank_loan!I103)</f>
        <v/>
      </c>
    </row>
    <row r="104">
      <c r="I104">
        <f>data_bank_loan!G104+data_bank_loan!H104</f>
        <v/>
      </c>
      <c r="J104">
        <f>IF(data_bank_loan!I104="",NA(),data_bank_loan!I104)</f>
        <v/>
      </c>
    </row>
    <row r="105">
      <c r="I105">
        <f>data_bank_loan!G105+data_bank_loan!H105</f>
        <v/>
      </c>
      <c r="J105">
        <f>IF(data_bank_loan!I105="",NA(),data_bank_loan!I105)</f>
        <v/>
      </c>
    </row>
    <row r="106">
      <c r="I106">
        <f>data_bank_loan!G106+data_bank_loan!H106</f>
        <v/>
      </c>
      <c r="J106">
        <f>IF(data_bank_loan!I106="",NA(),data_bank_loan!I106)</f>
        <v/>
      </c>
    </row>
    <row r="107">
      <c r="I107">
        <f>data_bank_loan!G107+data_bank_loan!H107</f>
        <v/>
      </c>
      <c r="J107">
        <f>IF(data_bank_loan!I107="",NA(),data_bank_loan!I107)</f>
        <v/>
      </c>
    </row>
    <row r="108">
      <c r="I108">
        <f>data_bank_loan!G108+data_bank_loan!H108</f>
        <v/>
      </c>
      <c r="J108">
        <f>IF(data_bank_loan!I108="",NA(),data_bank_loan!I108)</f>
        <v/>
      </c>
    </row>
    <row r="109">
      <c r="I109">
        <f>data_bank_loan!G109+data_bank_loan!H109</f>
        <v/>
      </c>
      <c r="J109">
        <f>IF(data_bank_loan!I109="",NA(),data_bank_loan!I109)</f>
        <v/>
      </c>
    </row>
    <row r="110">
      <c r="I110">
        <f>data_bank_loan!G110+data_bank_loan!H110</f>
        <v/>
      </c>
      <c r="J110">
        <f>IF(data_bank_loan!I110="",NA(),data_bank_loan!I110)</f>
        <v/>
      </c>
    </row>
    <row r="111">
      <c r="I111">
        <f>data_bank_loan!G111+data_bank_loan!H111</f>
        <v/>
      </c>
      <c r="J111">
        <f>IF(data_bank_loan!I111="",NA(),data_bank_loan!I111)</f>
        <v/>
      </c>
    </row>
    <row r="112">
      <c r="I112">
        <f>data_bank_loan!G112+data_bank_loan!H112</f>
        <v/>
      </c>
      <c r="J112">
        <f>IF(data_bank_loan!I112="",NA(),data_bank_loan!I112)</f>
        <v/>
      </c>
    </row>
    <row r="113">
      <c r="I113">
        <f>data_bank_loan!G113+data_bank_loan!H113</f>
        <v/>
      </c>
      <c r="J113">
        <f>IF(data_bank_loan!I113="",NA(),data_bank_loan!I113)</f>
        <v/>
      </c>
    </row>
    <row r="114">
      <c r="I114">
        <f>data_bank_loan!G114+data_bank_loan!H114</f>
        <v/>
      </c>
      <c r="J114">
        <f>IF(data_bank_loan!I114="",NA(),data_bank_loan!I114)</f>
        <v/>
      </c>
    </row>
    <row r="115">
      <c r="I115">
        <f>data_bank_loan!G115+data_bank_loan!H115</f>
        <v/>
      </c>
      <c r="J115">
        <f>IF(data_bank_loan!I115="",NA(),data_bank_loan!I115)</f>
        <v/>
      </c>
    </row>
    <row r="116">
      <c r="I116">
        <f>data_bank_loan!G116+data_bank_loan!H116</f>
        <v/>
      </c>
      <c r="J116">
        <f>IF(data_bank_loan!I116="",NA(),data_bank_loan!I116)</f>
        <v/>
      </c>
    </row>
    <row r="117">
      <c r="I117">
        <f>data_bank_loan!G117+data_bank_loan!H117</f>
        <v/>
      </c>
      <c r="J117">
        <f>IF(data_bank_loan!I117="",NA(),data_bank_loan!I117)</f>
        <v/>
      </c>
    </row>
    <row r="118">
      <c r="I118">
        <f>data_bank_loan!G118+data_bank_loan!H118</f>
        <v/>
      </c>
      <c r="J118">
        <f>IF(data_bank_loan!I118="",NA(),data_bank_loan!I118)</f>
        <v/>
      </c>
    </row>
    <row r="119">
      <c r="I119">
        <f>data_bank_loan!G119+data_bank_loan!H119</f>
        <v/>
      </c>
      <c r="J119">
        <f>IF(data_bank_loan!I119="",NA(),data_bank_loan!I119)</f>
        <v/>
      </c>
    </row>
    <row r="120">
      <c r="I120">
        <f>data_bank_loan!G120+data_bank_loan!H120</f>
        <v/>
      </c>
      <c r="J120">
        <f>IF(data_bank_loan!I120="",NA(),data_bank_loan!I120)</f>
        <v/>
      </c>
    </row>
    <row r="121">
      <c r="I121">
        <f>data_bank_loan!G121+data_bank_loan!H121</f>
        <v/>
      </c>
      <c r="J121">
        <f>IF(data_bank_loan!I121="",NA(),data_bank_loan!I121)</f>
        <v/>
      </c>
    </row>
    <row r="122">
      <c r="I122">
        <f>data_bank_loan!G122+data_bank_loan!H122</f>
        <v/>
      </c>
      <c r="J122">
        <f>IF(data_bank_loan!I122="",NA(),data_bank_loan!I122)</f>
        <v/>
      </c>
    </row>
    <row r="123">
      <c r="I123">
        <f>data_bank_loan!G123+data_bank_loan!H123</f>
        <v/>
      </c>
      <c r="J123">
        <f>IF(data_bank_loan!I123="",NA(),data_bank_loan!I123)</f>
        <v/>
      </c>
    </row>
    <row r="124">
      <c r="I124">
        <f>data_bank_loan!G124+data_bank_loan!H124</f>
        <v/>
      </c>
      <c r="J124">
        <f>IF(data_bank_loan!I124="",NA(),data_bank_loan!I124)</f>
        <v/>
      </c>
    </row>
    <row r="125">
      <c r="I125">
        <f>data_bank_loan!G125+data_bank_loan!H125</f>
        <v/>
      </c>
      <c r="J125">
        <f>IF(data_bank_loan!I125="",NA(),data_bank_loan!I125)</f>
        <v/>
      </c>
    </row>
    <row r="126">
      <c r="I126">
        <f>data_bank_loan!G126+data_bank_loan!H126</f>
        <v/>
      </c>
      <c r="J126">
        <f>IF(data_bank_loan!I126="",NA(),data_bank_loan!I126)</f>
        <v/>
      </c>
    </row>
    <row r="127">
      <c r="I127">
        <f>data_bank_loan!G127+data_bank_loan!H127</f>
        <v/>
      </c>
      <c r="J127">
        <f>IF(data_bank_loan!I127="",NA(),data_bank_loan!I127)</f>
        <v/>
      </c>
    </row>
    <row r="128">
      <c r="I128">
        <f>data_bank_loan!G128+data_bank_loan!H128</f>
        <v/>
      </c>
      <c r="J128">
        <f>IF(data_bank_loan!I128="",NA(),data_bank_loan!I128)</f>
        <v/>
      </c>
    </row>
    <row r="129">
      <c r="I129">
        <f>data_bank_loan!G129+data_bank_loan!H129</f>
        <v/>
      </c>
      <c r="J129">
        <f>IF(data_bank_loan!I129="",NA(),data_bank_loan!I129)</f>
        <v/>
      </c>
    </row>
    <row r="130">
      <c r="I130">
        <f>data_bank_loan!G130+data_bank_loan!H130</f>
        <v/>
      </c>
      <c r="J130">
        <f>IF(data_bank_loan!I130="",NA(),data_bank_loan!I130)</f>
        <v/>
      </c>
    </row>
    <row r="131">
      <c r="I131">
        <f>data_bank_loan!G131+data_bank_loan!H131</f>
        <v/>
      </c>
      <c r="J131">
        <f>IF(data_bank_loan!I131="",NA(),data_bank_loan!I131)</f>
        <v/>
      </c>
    </row>
    <row r="132">
      <c r="I132">
        <f>data_bank_loan!G132+data_bank_loan!H132</f>
        <v/>
      </c>
      <c r="J132">
        <f>IF(data_bank_loan!I132="",NA(),data_bank_loan!I132)</f>
        <v/>
      </c>
    </row>
    <row r="133">
      <c r="I133">
        <f>data_bank_loan!G133+data_bank_loan!H133</f>
        <v/>
      </c>
      <c r="J133">
        <f>IF(data_bank_loan!I133="",NA(),data_bank_loan!I133)</f>
        <v/>
      </c>
    </row>
    <row r="134">
      <c r="I134">
        <f>data_bank_loan!G134+data_bank_loan!H134</f>
        <v/>
      </c>
      <c r="J134">
        <f>IF(data_bank_loan!I134="",NA(),data_bank_loan!I134)</f>
        <v/>
      </c>
    </row>
    <row r="135">
      <c r="I135">
        <f>data_bank_loan!G135+data_bank_loan!H135</f>
        <v/>
      </c>
      <c r="J135">
        <f>IF(data_bank_loan!I135="",NA(),data_bank_loan!I135)</f>
        <v/>
      </c>
    </row>
    <row r="136">
      <c r="I136">
        <f>data_bank_loan!G136+data_bank_loan!H136</f>
        <v/>
      </c>
      <c r="J136">
        <f>IF(data_bank_loan!I136="",NA(),data_bank_loan!I136)</f>
        <v/>
      </c>
    </row>
    <row r="137">
      <c r="I137">
        <f>data_bank_loan!G137+data_bank_loan!H137</f>
        <v/>
      </c>
      <c r="J137">
        <f>IF(data_bank_loan!I137="",NA(),data_bank_loan!I137)</f>
        <v/>
      </c>
    </row>
    <row r="138">
      <c r="I138">
        <f>data_bank_loan!G138+data_bank_loan!H138</f>
        <v/>
      </c>
      <c r="J138">
        <f>IF(data_bank_loan!I138="",NA(),data_bank_loan!I138)</f>
        <v/>
      </c>
    </row>
    <row r="139">
      <c r="I139">
        <f>data_bank_loan!G139+data_bank_loan!H139</f>
        <v/>
      </c>
      <c r="J139">
        <f>IF(data_bank_loan!I139="",NA(),data_bank_loan!I139)</f>
        <v/>
      </c>
    </row>
    <row r="140">
      <c r="I140">
        <f>data_bank_loan!G140+data_bank_loan!H140</f>
        <v/>
      </c>
      <c r="J140">
        <f>IF(data_bank_loan!I140="",NA(),data_bank_loan!I140)</f>
        <v/>
      </c>
    </row>
    <row r="141">
      <c r="I141">
        <f>data_bank_loan!G141+data_bank_loan!H141</f>
        <v/>
      </c>
      <c r="J141">
        <f>IF(data_bank_loan!I141="",NA(),data_bank_loan!I141)</f>
        <v/>
      </c>
    </row>
    <row r="142">
      <c r="I142">
        <f>data_bank_loan!G142+data_bank_loan!H142</f>
        <v/>
      </c>
      <c r="J142">
        <f>IF(data_bank_loan!I142="",NA(),data_bank_loan!I142)</f>
        <v/>
      </c>
    </row>
    <row r="143">
      <c r="I143">
        <f>data_bank_loan!G143+data_bank_loan!H143</f>
        <v/>
      </c>
      <c r="J143">
        <f>IF(data_bank_loan!I143="",NA(),data_bank_loan!I143)</f>
        <v/>
      </c>
    </row>
    <row r="144">
      <c r="I144">
        <f>data_bank_loan!G144+data_bank_loan!H144</f>
        <v/>
      </c>
      <c r="J144">
        <f>IF(data_bank_loan!I144="",NA(),data_bank_loan!I144)</f>
        <v/>
      </c>
    </row>
    <row r="145">
      <c r="I145">
        <f>data_bank_loan!G145+data_bank_loan!H145</f>
        <v/>
      </c>
      <c r="J145">
        <f>IF(data_bank_loan!I145="",NA(),data_bank_loan!I145)</f>
        <v/>
      </c>
    </row>
    <row r="146">
      <c r="I146">
        <f>data_bank_loan!G146+data_bank_loan!H146</f>
        <v/>
      </c>
      <c r="J146">
        <f>IF(data_bank_loan!I146="",NA(),data_bank_loan!I146)</f>
        <v/>
      </c>
    </row>
    <row r="147">
      <c r="I147">
        <f>data_bank_loan!G147+data_bank_loan!H147</f>
        <v/>
      </c>
      <c r="J147">
        <f>IF(data_bank_loan!I147="",NA(),data_bank_loan!I147)</f>
        <v/>
      </c>
    </row>
    <row r="148">
      <c r="I148">
        <f>data_bank_loan!G148+data_bank_loan!H148</f>
        <v/>
      </c>
      <c r="J148">
        <f>IF(data_bank_loan!I148="",NA(),data_bank_loan!I148)</f>
        <v/>
      </c>
    </row>
    <row r="149">
      <c r="I149">
        <f>data_bank_loan!G149+data_bank_loan!H149</f>
        <v/>
      </c>
      <c r="J149">
        <f>IF(data_bank_loan!I149="",NA(),data_bank_loan!I149)</f>
        <v/>
      </c>
    </row>
    <row r="150">
      <c r="I150">
        <f>data_bank_loan!G150+data_bank_loan!H150</f>
        <v/>
      </c>
      <c r="J150">
        <f>IF(data_bank_loan!I150="",NA(),data_bank_loan!I150)</f>
        <v/>
      </c>
    </row>
    <row r="151">
      <c r="I151">
        <f>data_bank_loan!G151+data_bank_loan!H151</f>
        <v/>
      </c>
      <c r="J151">
        <f>IF(data_bank_loan!I151="",NA(),data_bank_loan!I151)</f>
        <v/>
      </c>
    </row>
    <row r="152">
      <c r="I152">
        <f>data_bank_loan!G152+data_bank_loan!H152</f>
        <v/>
      </c>
      <c r="J152">
        <f>IF(data_bank_loan!I152="",NA(),data_bank_loan!I152)</f>
        <v/>
      </c>
    </row>
    <row r="153">
      <c r="I153">
        <f>data_bank_loan!G153+data_bank_loan!H153</f>
        <v/>
      </c>
      <c r="J153">
        <f>IF(data_bank_loan!I153="",NA(),data_bank_loan!I153)</f>
        <v/>
      </c>
    </row>
    <row r="154">
      <c r="I154">
        <f>data_bank_loan!G154+data_bank_loan!H154</f>
        <v/>
      </c>
      <c r="J154">
        <f>IF(data_bank_loan!I154="",NA(),data_bank_loan!I154)</f>
        <v/>
      </c>
    </row>
    <row r="155">
      <c r="I155">
        <f>data_bank_loan!G155+data_bank_loan!H155</f>
        <v/>
      </c>
      <c r="J155">
        <f>IF(data_bank_loan!I155="",NA(),data_bank_loan!I155)</f>
        <v/>
      </c>
    </row>
    <row r="156">
      <c r="I156">
        <f>data_bank_loan!G156+data_bank_loan!H156</f>
        <v/>
      </c>
      <c r="J156">
        <f>IF(data_bank_loan!I156="",NA(),data_bank_loan!I156)</f>
        <v/>
      </c>
    </row>
    <row r="157">
      <c r="I157">
        <f>data_bank_loan!G157+data_bank_loan!H157</f>
        <v/>
      </c>
      <c r="J157">
        <f>IF(data_bank_loan!I157="",NA(),data_bank_loan!I157)</f>
        <v/>
      </c>
    </row>
    <row r="158">
      <c r="I158">
        <f>data_bank_loan!G158+data_bank_loan!H158</f>
        <v/>
      </c>
      <c r="J158">
        <f>IF(data_bank_loan!I158="",NA(),data_bank_loan!I158)</f>
        <v/>
      </c>
    </row>
    <row r="159">
      <c r="I159">
        <f>data_bank_loan!G159+data_bank_loan!H159</f>
        <v/>
      </c>
      <c r="J159">
        <f>IF(data_bank_loan!I159="",NA(),data_bank_loan!I159)</f>
        <v/>
      </c>
    </row>
    <row r="160">
      <c r="I160">
        <f>data_bank_loan!G160+data_bank_loan!H160</f>
        <v/>
      </c>
      <c r="J160">
        <f>IF(data_bank_loan!I160="",NA(),data_bank_loan!I160)</f>
        <v/>
      </c>
    </row>
    <row r="161">
      <c r="I161">
        <f>data_bank_loan!G161+data_bank_loan!H161</f>
        <v/>
      </c>
      <c r="J161">
        <f>IF(data_bank_loan!I161="",NA(),data_bank_loan!I161)</f>
        <v/>
      </c>
    </row>
    <row r="162">
      <c r="I162">
        <f>data_bank_loan!G162+data_bank_loan!H162</f>
        <v/>
      </c>
      <c r="J162">
        <f>IF(data_bank_loan!I162="",NA(),data_bank_loan!I162)</f>
        <v/>
      </c>
    </row>
    <row r="163">
      <c r="I163">
        <f>data_bank_loan!G163+data_bank_loan!H163</f>
        <v/>
      </c>
      <c r="J163">
        <f>IF(data_bank_loan!I163="",NA(),data_bank_loan!I163)</f>
        <v/>
      </c>
    </row>
    <row r="164">
      <c r="I164">
        <f>data_bank_loan!G164+data_bank_loan!H164</f>
        <v/>
      </c>
      <c r="J164">
        <f>IF(data_bank_loan!I164="",NA(),data_bank_loan!I164)</f>
        <v/>
      </c>
    </row>
    <row r="165">
      <c r="I165">
        <f>data_bank_loan!G165+data_bank_loan!H165</f>
        <v/>
      </c>
      <c r="J165">
        <f>IF(data_bank_loan!I165="",NA(),data_bank_loan!I165)</f>
        <v/>
      </c>
    </row>
    <row r="166">
      <c r="I166">
        <f>data_bank_loan!G166+data_bank_loan!H166</f>
        <v/>
      </c>
      <c r="J166">
        <f>IF(data_bank_loan!I166="",NA(),data_bank_loan!I166)</f>
        <v/>
      </c>
    </row>
    <row r="167">
      <c r="I167">
        <f>data_bank_loan!G167+data_bank_loan!H167</f>
        <v/>
      </c>
      <c r="J167">
        <f>IF(data_bank_loan!I167="",NA(),data_bank_loan!I167)</f>
        <v/>
      </c>
    </row>
    <row r="168">
      <c r="I168">
        <f>data_bank_loan!G168+data_bank_loan!H168</f>
        <v/>
      </c>
      <c r="J168">
        <f>IF(data_bank_loan!I168="",NA(),data_bank_loan!I168)</f>
        <v/>
      </c>
    </row>
    <row r="169">
      <c r="I169">
        <f>data_bank_loan!G169+data_bank_loan!H169</f>
        <v/>
      </c>
      <c r="J169">
        <f>IF(data_bank_loan!I169="",NA(),data_bank_loan!I169)</f>
        <v/>
      </c>
    </row>
    <row r="170">
      <c r="I170">
        <f>data_bank_loan!G170+data_bank_loan!H170</f>
        <v/>
      </c>
      <c r="J170">
        <f>IF(data_bank_loan!I170="",NA(),data_bank_loan!I170)</f>
        <v/>
      </c>
    </row>
    <row r="171">
      <c r="I171">
        <f>data_bank_loan!G171+data_bank_loan!H171</f>
        <v/>
      </c>
      <c r="J171">
        <f>IF(data_bank_loan!I171="",NA(),data_bank_loan!I171)</f>
        <v/>
      </c>
    </row>
    <row r="172">
      <c r="I172">
        <f>data_bank_loan!G172+data_bank_loan!H172</f>
        <v/>
      </c>
      <c r="J172">
        <f>IF(data_bank_loan!I172="",NA(),data_bank_loan!I172)</f>
        <v/>
      </c>
    </row>
    <row r="173">
      <c r="I173">
        <f>data_bank_loan!G173+data_bank_loan!H173</f>
        <v/>
      </c>
      <c r="J173">
        <f>IF(data_bank_loan!I173="",NA(),data_bank_loan!I173)</f>
        <v/>
      </c>
    </row>
    <row r="174">
      <c r="I174">
        <f>data_bank_loan!G174+data_bank_loan!H174</f>
        <v/>
      </c>
      <c r="J174">
        <f>IF(data_bank_loan!I174="",NA(),data_bank_loan!I174)</f>
        <v/>
      </c>
    </row>
    <row r="175">
      <c r="I175">
        <f>data_bank_loan!G175+data_bank_loan!H175</f>
        <v/>
      </c>
      <c r="J175">
        <f>IF(data_bank_loan!I175="",NA(),data_bank_loan!I175)</f>
        <v/>
      </c>
    </row>
    <row r="176">
      <c r="I176">
        <f>data_bank_loan!G176+data_bank_loan!H176</f>
        <v/>
      </c>
      <c r="J176">
        <f>IF(data_bank_loan!I176="",NA(),data_bank_loan!I176)</f>
        <v/>
      </c>
    </row>
    <row r="177">
      <c r="I177">
        <f>data_bank_loan!G177+data_bank_loan!H177</f>
        <v/>
      </c>
      <c r="J177">
        <f>IF(data_bank_loan!I177="",NA(),data_bank_loan!I177)</f>
        <v/>
      </c>
    </row>
    <row r="178">
      <c r="I178">
        <f>data_bank_loan!G178+data_bank_loan!H178</f>
        <v/>
      </c>
      <c r="J178">
        <f>IF(data_bank_loan!I178="",NA(),data_bank_loan!I178)</f>
        <v/>
      </c>
    </row>
    <row r="179">
      <c r="I179">
        <f>data_bank_loan!G179+data_bank_loan!H179</f>
        <v/>
      </c>
      <c r="J179">
        <f>IF(data_bank_loan!I179="",NA(),data_bank_loan!I179)</f>
        <v/>
      </c>
    </row>
    <row r="180">
      <c r="I180">
        <f>data_bank_loan!G180+data_bank_loan!H180</f>
        <v/>
      </c>
      <c r="J180">
        <f>IF(data_bank_loan!I180="",NA(),data_bank_loan!I180)</f>
        <v/>
      </c>
    </row>
    <row r="181">
      <c r="I181">
        <f>data_bank_loan!G181+data_bank_loan!H181</f>
        <v/>
      </c>
      <c r="J181">
        <f>IF(data_bank_loan!I181="",NA(),data_bank_loan!I181)</f>
        <v/>
      </c>
    </row>
    <row r="182">
      <c r="I182">
        <f>data_bank_loan!G182+data_bank_loan!H182</f>
        <v/>
      </c>
      <c r="J182">
        <f>IF(data_bank_loan!I182="",NA(),data_bank_loan!I182)</f>
        <v/>
      </c>
    </row>
    <row r="183">
      <c r="I183">
        <f>data_bank_loan!G183+data_bank_loan!H183</f>
        <v/>
      </c>
      <c r="J183">
        <f>IF(data_bank_loan!I183="",NA(),data_bank_loan!I183)</f>
        <v/>
      </c>
    </row>
    <row r="184">
      <c r="I184">
        <f>data_bank_loan!G184+data_bank_loan!H184</f>
        <v/>
      </c>
      <c r="J184">
        <f>IF(data_bank_loan!I184="",NA(),data_bank_loan!I184)</f>
        <v/>
      </c>
    </row>
    <row r="185">
      <c r="I185">
        <f>data_bank_loan!G185+data_bank_loan!H185</f>
        <v/>
      </c>
      <c r="J185">
        <f>IF(data_bank_loan!I185="",NA(),data_bank_loan!I185)</f>
        <v/>
      </c>
    </row>
    <row r="186">
      <c r="I186">
        <f>data_bank_loan!G186+data_bank_loan!H186</f>
        <v/>
      </c>
      <c r="J186">
        <f>IF(data_bank_loan!I186="",NA(),data_bank_loan!I186)</f>
        <v/>
      </c>
    </row>
    <row r="187">
      <c r="I187">
        <f>data_bank_loan!G187+data_bank_loan!H187</f>
        <v/>
      </c>
      <c r="J187">
        <f>IF(data_bank_loan!I187="",NA(),data_bank_loan!I187)</f>
        <v/>
      </c>
    </row>
    <row r="188">
      <c r="I188">
        <f>data_bank_loan!G188+data_bank_loan!H188</f>
        <v/>
      </c>
      <c r="J188">
        <f>IF(data_bank_loan!I188="",NA(),data_bank_loan!I188)</f>
        <v/>
      </c>
    </row>
    <row r="189">
      <c r="I189">
        <f>data_bank_loan!G189+data_bank_loan!H189</f>
        <v/>
      </c>
      <c r="J189">
        <f>IF(data_bank_loan!I189="",NA(),data_bank_loan!I189)</f>
        <v/>
      </c>
    </row>
    <row r="190">
      <c r="I190">
        <f>data_bank_loan!G190+data_bank_loan!H190</f>
        <v/>
      </c>
      <c r="J190">
        <f>IF(data_bank_loan!I190="",NA(),data_bank_loan!I190)</f>
        <v/>
      </c>
    </row>
    <row r="191">
      <c r="I191">
        <f>data_bank_loan!G191+data_bank_loan!H191</f>
        <v/>
      </c>
      <c r="J191">
        <f>IF(data_bank_loan!I191="",NA(),data_bank_loan!I191)</f>
        <v/>
      </c>
    </row>
    <row r="192">
      <c r="I192">
        <f>data_bank_loan!G192+data_bank_loan!H192</f>
        <v/>
      </c>
      <c r="J192">
        <f>IF(data_bank_loan!I192="",NA(),data_bank_loan!I192)</f>
        <v/>
      </c>
    </row>
    <row r="193">
      <c r="I193">
        <f>data_bank_loan!G193+data_bank_loan!H193</f>
        <v/>
      </c>
      <c r="J193">
        <f>IF(data_bank_loan!I193="",NA(),data_bank_loan!I193)</f>
        <v/>
      </c>
    </row>
    <row r="194">
      <c r="I194">
        <f>data_bank_loan!G194+data_bank_loan!H194</f>
        <v/>
      </c>
      <c r="J194">
        <f>IF(data_bank_loan!I194="",NA(),data_bank_loan!I194)</f>
        <v/>
      </c>
    </row>
    <row r="195">
      <c r="I195">
        <f>data_bank_loan!G195+data_bank_loan!H195</f>
        <v/>
      </c>
      <c r="J195">
        <f>IF(data_bank_loan!I195="",NA(),data_bank_loan!I195)</f>
        <v/>
      </c>
    </row>
    <row r="196">
      <c r="I196">
        <f>data_bank_loan!G196+data_bank_loan!H196</f>
        <v/>
      </c>
      <c r="J196">
        <f>IF(data_bank_loan!I196="",NA(),data_bank_loan!I196)</f>
        <v/>
      </c>
    </row>
    <row r="197">
      <c r="I197">
        <f>data_bank_loan!G197+data_bank_loan!H197</f>
        <v/>
      </c>
      <c r="J197">
        <f>IF(data_bank_loan!I197="",NA(),data_bank_loan!I197)</f>
        <v/>
      </c>
    </row>
    <row r="198">
      <c r="I198">
        <f>data_bank_loan!G198+data_bank_loan!H198</f>
        <v/>
      </c>
      <c r="J198">
        <f>IF(data_bank_loan!I198="",NA(),data_bank_loan!I198)</f>
        <v/>
      </c>
    </row>
    <row r="199">
      <c r="I199">
        <f>data_bank_loan!G199+data_bank_loan!H199</f>
        <v/>
      </c>
      <c r="J199">
        <f>IF(data_bank_loan!I199="",NA(),data_bank_loan!I199)</f>
        <v/>
      </c>
    </row>
    <row r="200">
      <c r="I200">
        <f>data_bank_loan!G200+data_bank_loan!H200</f>
        <v/>
      </c>
      <c r="J200">
        <f>IF(data_bank_loan!I200="",NA(),data_bank_loan!I200)</f>
        <v/>
      </c>
    </row>
    <row r="201">
      <c r="I201">
        <f>data_bank_loan!G201+data_bank_loan!H201</f>
        <v/>
      </c>
      <c r="J201">
        <f>IF(data_bank_loan!I201="",NA(),data_bank_loan!I201)</f>
        <v/>
      </c>
    </row>
    <row r="202">
      <c r="I202">
        <f>data_bank_loan!G202+data_bank_loan!H202</f>
        <v/>
      </c>
      <c r="J202">
        <f>IF(data_bank_loan!I202="",NA(),data_bank_loan!I202)</f>
        <v/>
      </c>
    </row>
    <row r="203">
      <c r="I203">
        <f>data_bank_loan!G203+data_bank_loan!H203</f>
        <v/>
      </c>
      <c r="J203">
        <f>IF(data_bank_loan!I203="",NA(),data_bank_loan!I203)</f>
        <v/>
      </c>
    </row>
    <row r="204">
      <c r="I204">
        <f>data_bank_loan!G204+data_bank_loan!H204</f>
        <v/>
      </c>
      <c r="J204">
        <f>IF(data_bank_loan!I204="",NA(),data_bank_loan!I204)</f>
        <v/>
      </c>
    </row>
    <row r="205">
      <c r="I205">
        <f>data_bank_loan!G205+data_bank_loan!H205</f>
        <v/>
      </c>
      <c r="J205">
        <f>IF(data_bank_loan!I205="",NA(),data_bank_loan!I205)</f>
        <v/>
      </c>
    </row>
    <row r="206">
      <c r="I206">
        <f>data_bank_loan!G206+data_bank_loan!H206</f>
        <v/>
      </c>
      <c r="J206">
        <f>IF(data_bank_loan!I206="",NA(),data_bank_loan!I206)</f>
        <v/>
      </c>
    </row>
    <row r="207">
      <c r="I207">
        <f>data_bank_loan!G207+data_bank_loan!H207</f>
        <v/>
      </c>
      <c r="J207">
        <f>IF(data_bank_loan!I207="",NA(),data_bank_loan!I207)</f>
        <v/>
      </c>
    </row>
    <row r="208">
      <c r="I208">
        <f>data_bank_loan!G208+data_bank_loan!H208</f>
        <v/>
      </c>
      <c r="J208">
        <f>IF(data_bank_loan!I208="",NA(),data_bank_loan!I208)</f>
        <v/>
      </c>
    </row>
    <row r="209">
      <c r="I209">
        <f>data_bank_loan!G209+data_bank_loan!H209</f>
        <v/>
      </c>
      <c r="J209">
        <f>IF(data_bank_loan!I209="",NA(),data_bank_loan!I209)</f>
        <v/>
      </c>
    </row>
    <row r="210">
      <c r="I210">
        <f>data_bank_loan!G210+data_bank_loan!H210</f>
        <v/>
      </c>
      <c r="J210">
        <f>IF(data_bank_loan!I210="",NA(),data_bank_loan!I210)</f>
        <v/>
      </c>
    </row>
    <row r="211">
      <c r="I211">
        <f>data_bank_loan!G211+data_bank_loan!H211</f>
        <v/>
      </c>
      <c r="J211">
        <f>IF(data_bank_loan!I211="",NA(),data_bank_loan!I211)</f>
        <v/>
      </c>
    </row>
    <row r="212">
      <c r="I212">
        <f>data_bank_loan!G212+data_bank_loan!H212</f>
        <v/>
      </c>
      <c r="J212">
        <f>IF(data_bank_loan!I212="",NA(),data_bank_loan!I212)</f>
        <v/>
      </c>
    </row>
    <row r="213">
      <c r="I213">
        <f>data_bank_loan!G213+data_bank_loan!H213</f>
        <v/>
      </c>
      <c r="J213">
        <f>IF(data_bank_loan!I213="",NA(),data_bank_loan!I213)</f>
        <v/>
      </c>
    </row>
    <row r="214">
      <c r="I214">
        <f>data_bank_loan!G214+data_bank_loan!H214</f>
        <v/>
      </c>
      <c r="J214">
        <f>IF(data_bank_loan!I214="",NA(),data_bank_loan!I214)</f>
        <v/>
      </c>
    </row>
    <row r="215">
      <c r="I215">
        <f>data_bank_loan!G215+data_bank_loan!H215</f>
        <v/>
      </c>
      <c r="J215">
        <f>IF(data_bank_loan!I215="",NA(),data_bank_loan!I215)</f>
        <v/>
      </c>
    </row>
    <row r="216">
      <c r="I216">
        <f>data_bank_loan!G216+data_bank_loan!H216</f>
        <v/>
      </c>
      <c r="J216">
        <f>IF(data_bank_loan!I216="",NA(),data_bank_loan!I216)</f>
        <v/>
      </c>
    </row>
    <row r="217">
      <c r="I217">
        <f>data_bank_loan!G217+data_bank_loan!H217</f>
        <v/>
      </c>
      <c r="J217">
        <f>IF(data_bank_loan!I217="",NA(),data_bank_loan!I217)</f>
        <v/>
      </c>
    </row>
    <row r="218">
      <c r="I218">
        <f>data_bank_loan!G218+data_bank_loan!H218</f>
        <v/>
      </c>
      <c r="J218">
        <f>IF(data_bank_loan!I218="",NA(),data_bank_loan!I218)</f>
        <v/>
      </c>
    </row>
    <row r="219">
      <c r="I219">
        <f>data_bank_loan!G219+data_bank_loan!H219</f>
        <v/>
      </c>
      <c r="J219">
        <f>IF(data_bank_loan!I219="",NA(),data_bank_loan!I219)</f>
        <v/>
      </c>
    </row>
    <row r="220">
      <c r="I220">
        <f>data_bank_loan!G220+data_bank_loan!H220</f>
        <v/>
      </c>
      <c r="J220">
        <f>IF(data_bank_loan!I220="",NA(),data_bank_loan!I220)</f>
        <v/>
      </c>
    </row>
    <row r="221">
      <c r="I221">
        <f>data_bank_loan!G221+data_bank_loan!H221</f>
        <v/>
      </c>
      <c r="J221">
        <f>IF(data_bank_loan!I221="",NA(),data_bank_loan!I221)</f>
        <v/>
      </c>
    </row>
    <row r="222">
      <c r="I222">
        <f>data_bank_loan!G222+data_bank_loan!H222</f>
        <v/>
      </c>
      <c r="J222">
        <f>IF(data_bank_loan!I222="",NA(),data_bank_loan!I222)</f>
        <v/>
      </c>
    </row>
    <row r="223">
      <c r="I223">
        <f>data_bank_loan!G223+data_bank_loan!H223</f>
        <v/>
      </c>
      <c r="J223">
        <f>IF(data_bank_loan!I223="",NA(),data_bank_loan!I223)</f>
        <v/>
      </c>
    </row>
    <row r="224">
      <c r="I224">
        <f>data_bank_loan!G224+data_bank_loan!H224</f>
        <v/>
      </c>
      <c r="J224">
        <f>IF(data_bank_loan!I224="",NA(),data_bank_loan!I224)</f>
        <v/>
      </c>
    </row>
    <row r="225">
      <c r="I225">
        <f>data_bank_loan!G225+data_bank_loan!H225</f>
        <v/>
      </c>
      <c r="J225">
        <f>IF(data_bank_loan!I225="",NA(),data_bank_loan!I225)</f>
        <v/>
      </c>
    </row>
    <row r="226">
      <c r="I226">
        <f>data_bank_loan!G226+data_bank_loan!H226</f>
        <v/>
      </c>
      <c r="J226">
        <f>IF(data_bank_loan!I226="",NA(),data_bank_loan!I226)</f>
        <v/>
      </c>
    </row>
    <row r="227">
      <c r="I227">
        <f>data_bank_loan!G227+data_bank_loan!H227</f>
        <v/>
      </c>
      <c r="J227">
        <f>IF(data_bank_loan!I227="",NA(),data_bank_loan!I227)</f>
        <v/>
      </c>
    </row>
    <row r="228">
      <c r="I228">
        <f>data_bank_loan!G228+data_bank_loan!H228</f>
        <v/>
      </c>
      <c r="J228">
        <f>IF(data_bank_loan!I228="",NA(),data_bank_loan!I228)</f>
        <v/>
      </c>
    </row>
    <row r="229">
      <c r="I229">
        <f>data_bank_loan!G229+data_bank_loan!H229</f>
        <v/>
      </c>
      <c r="J229">
        <f>IF(data_bank_loan!I229="",NA(),data_bank_loan!I229)</f>
        <v/>
      </c>
    </row>
    <row r="230">
      <c r="I230">
        <f>data_bank_loan!G230+data_bank_loan!H230</f>
        <v/>
      </c>
      <c r="J230">
        <f>IF(data_bank_loan!I230="",NA(),data_bank_loan!I230)</f>
        <v/>
      </c>
    </row>
    <row r="231">
      <c r="I231">
        <f>data_bank_loan!G231+data_bank_loan!H231</f>
        <v/>
      </c>
      <c r="J231">
        <f>IF(data_bank_loan!I231="",NA(),data_bank_loan!I231)</f>
        <v/>
      </c>
    </row>
    <row r="232">
      <c r="I232">
        <f>data_bank_loan!G232+data_bank_loan!H232</f>
        <v/>
      </c>
      <c r="J232">
        <f>IF(data_bank_loan!I232="",NA(),data_bank_loan!I232)</f>
        <v/>
      </c>
    </row>
    <row r="233">
      <c r="I233">
        <f>data_bank_loan!G233+data_bank_loan!H233</f>
        <v/>
      </c>
      <c r="J233">
        <f>IF(data_bank_loan!I233="",NA(),data_bank_loan!I233)</f>
        <v/>
      </c>
    </row>
    <row r="234">
      <c r="I234">
        <f>data_bank_loan!G234+data_bank_loan!H234</f>
        <v/>
      </c>
      <c r="J234">
        <f>IF(data_bank_loan!I234="",NA(),data_bank_loan!I234)</f>
        <v/>
      </c>
    </row>
    <row r="235">
      <c r="I235">
        <f>data_bank_loan!G235+data_bank_loan!H235</f>
        <v/>
      </c>
      <c r="J235">
        <f>IF(data_bank_loan!I235="",NA(),data_bank_loan!I235)</f>
        <v/>
      </c>
    </row>
    <row r="236">
      <c r="I236">
        <f>data_bank_loan!G236+data_bank_loan!H236</f>
        <v/>
      </c>
      <c r="J236">
        <f>IF(data_bank_loan!I236="",NA(),data_bank_loan!I236)</f>
        <v/>
      </c>
    </row>
    <row r="237">
      <c r="I237">
        <f>data_bank_loan!G237+data_bank_loan!H237</f>
        <v/>
      </c>
      <c r="J237">
        <f>IF(data_bank_loan!I237="",NA(),data_bank_loan!I237)</f>
        <v/>
      </c>
    </row>
    <row r="238">
      <c r="I238">
        <f>data_bank_loan!G238+data_bank_loan!H238</f>
        <v/>
      </c>
      <c r="J238">
        <f>IF(data_bank_loan!I238="",NA(),data_bank_loan!I238)</f>
        <v/>
      </c>
    </row>
    <row r="239">
      <c r="I239">
        <f>data_bank_loan!G239+data_bank_loan!H239</f>
        <v/>
      </c>
      <c r="J239">
        <f>IF(data_bank_loan!I239="",NA(),data_bank_loan!I239)</f>
        <v/>
      </c>
    </row>
    <row r="240">
      <c r="I240">
        <f>data_bank_loan!G240+data_bank_loan!H240</f>
        <v/>
      </c>
      <c r="J240">
        <f>IF(data_bank_loan!I240="",NA(),data_bank_loan!I240)</f>
        <v/>
      </c>
    </row>
    <row r="241">
      <c r="I241">
        <f>data_bank_loan!G241+data_bank_loan!H241</f>
        <v/>
      </c>
      <c r="J241">
        <f>IF(data_bank_loan!I241="",NA(),data_bank_loan!I241)</f>
        <v/>
      </c>
    </row>
    <row r="242">
      <c r="I242">
        <f>data_bank_loan!G242+data_bank_loan!H242</f>
        <v/>
      </c>
      <c r="J242">
        <f>IF(data_bank_loan!I242="",NA(),data_bank_loan!I242)</f>
        <v/>
      </c>
    </row>
    <row r="243">
      <c r="I243">
        <f>data_bank_loan!G243+data_bank_loan!H243</f>
        <v/>
      </c>
      <c r="J243">
        <f>IF(data_bank_loan!I243="",NA(),data_bank_loan!I243)</f>
        <v/>
      </c>
    </row>
    <row r="244">
      <c r="I244">
        <f>data_bank_loan!G244+data_bank_loan!H244</f>
        <v/>
      </c>
      <c r="J244">
        <f>IF(data_bank_loan!I244="",NA(),data_bank_loan!I244)</f>
        <v/>
      </c>
    </row>
    <row r="245">
      <c r="I245">
        <f>data_bank_loan!G245+data_bank_loan!H245</f>
        <v/>
      </c>
      <c r="J245">
        <f>IF(data_bank_loan!I245="",NA(),data_bank_loan!I245)</f>
        <v/>
      </c>
    </row>
    <row r="246">
      <c r="I246">
        <f>data_bank_loan!G246+data_bank_loan!H246</f>
        <v/>
      </c>
      <c r="J246">
        <f>IF(data_bank_loan!I246="",NA(),data_bank_loan!I246)</f>
        <v/>
      </c>
    </row>
    <row r="247">
      <c r="I247">
        <f>data_bank_loan!G247+data_bank_loan!H247</f>
        <v/>
      </c>
      <c r="J247">
        <f>IF(data_bank_loan!I247="",NA(),data_bank_loan!I247)</f>
        <v/>
      </c>
    </row>
    <row r="248">
      <c r="I248">
        <f>data_bank_loan!G248+data_bank_loan!H248</f>
        <v/>
      </c>
      <c r="J248">
        <f>IF(data_bank_loan!I248="",NA(),data_bank_loan!I248)</f>
        <v/>
      </c>
    </row>
    <row r="249">
      <c r="I249">
        <f>data_bank_loan!G249+data_bank_loan!H249</f>
        <v/>
      </c>
      <c r="J249">
        <f>IF(data_bank_loan!I249="",NA(),data_bank_loan!I249)</f>
        <v/>
      </c>
    </row>
    <row r="250">
      <c r="I250">
        <f>data_bank_loan!G250+data_bank_loan!H250</f>
        <v/>
      </c>
      <c r="J250">
        <f>IF(data_bank_loan!I250="",NA(),data_bank_loan!I250)</f>
        <v/>
      </c>
    </row>
    <row r="251">
      <c r="I251">
        <f>data_bank_loan!G251+data_bank_loan!H251</f>
        <v/>
      </c>
      <c r="J251">
        <f>IF(data_bank_loan!I251="",NA(),data_bank_loan!I251)</f>
        <v/>
      </c>
    </row>
    <row r="252">
      <c r="I252">
        <f>data_bank_loan!G252+data_bank_loan!H252</f>
        <v/>
      </c>
      <c r="J252">
        <f>IF(data_bank_loan!I252="",NA(),data_bank_loan!I252)</f>
        <v/>
      </c>
    </row>
    <row r="253">
      <c r="I253">
        <f>data_bank_loan!G253+data_bank_loan!H253</f>
        <v/>
      </c>
      <c r="J253">
        <f>IF(data_bank_loan!I253="",NA(),data_bank_loan!I253)</f>
        <v/>
      </c>
    </row>
    <row r="254">
      <c r="I254">
        <f>data_bank_loan!G254+data_bank_loan!H254</f>
        <v/>
      </c>
      <c r="J254">
        <f>IF(data_bank_loan!I254="",NA(),data_bank_loan!I254)</f>
        <v/>
      </c>
    </row>
    <row r="255">
      <c r="I255">
        <f>data_bank_loan!G255+data_bank_loan!H255</f>
        <v/>
      </c>
      <c r="J255">
        <f>IF(data_bank_loan!I255="",NA(),data_bank_loan!I255)</f>
        <v/>
      </c>
    </row>
    <row r="256">
      <c r="I256">
        <f>data_bank_loan!G256+data_bank_loan!H256</f>
        <v/>
      </c>
      <c r="J256">
        <f>IF(data_bank_loan!I256="",NA(),data_bank_loan!I256)</f>
        <v/>
      </c>
    </row>
    <row r="257">
      <c r="I257">
        <f>data_bank_loan!G257+data_bank_loan!H257</f>
        <v/>
      </c>
      <c r="J257">
        <f>IF(data_bank_loan!I257="",NA(),data_bank_loan!I257)</f>
        <v/>
      </c>
    </row>
    <row r="258">
      <c r="I258">
        <f>data_bank_loan!G258+data_bank_loan!H258</f>
        <v/>
      </c>
      <c r="J258">
        <f>IF(data_bank_loan!I258="",NA(),data_bank_loan!I258)</f>
        <v/>
      </c>
    </row>
    <row r="259">
      <c r="I259">
        <f>data_bank_loan!G259+data_bank_loan!H259</f>
        <v/>
      </c>
      <c r="J259">
        <f>IF(data_bank_loan!I259="",NA(),data_bank_loan!I259)</f>
        <v/>
      </c>
    </row>
    <row r="260">
      <c r="I260">
        <f>data_bank_loan!G260+data_bank_loan!H260</f>
        <v/>
      </c>
      <c r="J260">
        <f>IF(data_bank_loan!I260="",NA(),data_bank_loan!I260)</f>
        <v/>
      </c>
    </row>
    <row r="261">
      <c r="I261">
        <f>data_bank_loan!G261+data_bank_loan!H261</f>
        <v/>
      </c>
      <c r="J261">
        <f>IF(data_bank_loan!I261="",NA(),data_bank_loan!I261)</f>
        <v/>
      </c>
    </row>
    <row r="262">
      <c r="I262">
        <f>data_bank_loan!G262+data_bank_loan!H262</f>
        <v/>
      </c>
      <c r="J262">
        <f>IF(data_bank_loan!I262="",NA(),data_bank_loan!I262)</f>
        <v/>
      </c>
    </row>
    <row r="263">
      <c r="I263">
        <f>data_bank_loan!G263+data_bank_loan!H263</f>
        <v/>
      </c>
      <c r="J263">
        <f>IF(data_bank_loan!I263="",NA(),data_bank_loan!I263)</f>
        <v/>
      </c>
    </row>
    <row r="264">
      <c r="I264">
        <f>data_bank_loan!G264+data_bank_loan!H264</f>
        <v/>
      </c>
      <c r="J264">
        <f>IF(data_bank_loan!I264="",NA(),data_bank_loan!I264)</f>
        <v/>
      </c>
    </row>
    <row r="265">
      <c r="I265">
        <f>data_bank_loan!G265+data_bank_loan!H265</f>
        <v/>
      </c>
      <c r="J265">
        <f>IF(data_bank_loan!I265="",NA(),data_bank_loan!I265)</f>
        <v/>
      </c>
    </row>
    <row r="266">
      <c r="I266">
        <f>data_bank_loan!G266+data_bank_loan!H266</f>
        <v/>
      </c>
      <c r="J266">
        <f>IF(data_bank_loan!I266="",NA(),data_bank_loan!I266)</f>
        <v/>
      </c>
    </row>
    <row r="267">
      <c r="I267">
        <f>data_bank_loan!G267+data_bank_loan!H267</f>
        <v/>
      </c>
      <c r="J267">
        <f>IF(data_bank_loan!I267="",NA(),data_bank_loan!I267)</f>
        <v/>
      </c>
    </row>
    <row r="268">
      <c r="I268">
        <f>data_bank_loan!G268+data_bank_loan!H268</f>
        <v/>
      </c>
      <c r="J268">
        <f>IF(data_bank_loan!I268="",NA(),data_bank_loan!I268)</f>
        <v/>
      </c>
    </row>
    <row r="269">
      <c r="I269">
        <f>data_bank_loan!G269+data_bank_loan!H269</f>
        <v/>
      </c>
      <c r="J269">
        <f>IF(data_bank_loan!I269="",NA(),data_bank_loan!I269)</f>
        <v/>
      </c>
    </row>
    <row r="270">
      <c r="I270">
        <f>data_bank_loan!G270+data_bank_loan!H270</f>
        <v/>
      </c>
      <c r="J270">
        <f>IF(data_bank_loan!I270="",NA(),data_bank_loan!I270)</f>
        <v/>
      </c>
    </row>
    <row r="271">
      <c r="I271">
        <f>data_bank_loan!G271+data_bank_loan!H271</f>
        <v/>
      </c>
      <c r="J271">
        <f>IF(data_bank_loan!I271="",NA(),data_bank_loan!I271)</f>
        <v/>
      </c>
    </row>
    <row r="272">
      <c r="I272">
        <f>data_bank_loan!G272+data_bank_loan!H272</f>
        <v/>
      </c>
      <c r="J272">
        <f>IF(data_bank_loan!I272="",NA(),data_bank_loan!I272)</f>
        <v/>
      </c>
    </row>
    <row r="273">
      <c r="I273">
        <f>data_bank_loan!G273+data_bank_loan!H273</f>
        <v/>
      </c>
      <c r="J273">
        <f>IF(data_bank_loan!I273="",NA(),data_bank_loan!I273)</f>
        <v/>
      </c>
    </row>
    <row r="274">
      <c r="I274">
        <f>data_bank_loan!G274+data_bank_loan!H274</f>
        <v/>
      </c>
      <c r="J274">
        <f>IF(data_bank_loan!I274="",NA(),data_bank_loan!I274)</f>
        <v/>
      </c>
    </row>
    <row r="275">
      <c r="I275">
        <f>data_bank_loan!G275+data_bank_loan!H275</f>
        <v/>
      </c>
      <c r="J275">
        <f>IF(data_bank_loan!I275="",NA(),data_bank_loan!I275)</f>
        <v/>
      </c>
    </row>
    <row r="276">
      <c r="I276">
        <f>data_bank_loan!G276+data_bank_loan!H276</f>
        <v/>
      </c>
      <c r="J276">
        <f>IF(data_bank_loan!I276="",NA(),data_bank_loan!I276)</f>
        <v/>
      </c>
    </row>
    <row r="277">
      <c r="I277">
        <f>data_bank_loan!G277+data_bank_loan!H277</f>
        <v/>
      </c>
      <c r="J277">
        <f>IF(data_bank_loan!I277="",NA(),data_bank_loan!I277)</f>
        <v/>
      </c>
    </row>
    <row r="278">
      <c r="I278">
        <f>data_bank_loan!G278+data_bank_loan!H278</f>
        <v/>
      </c>
      <c r="J278">
        <f>IF(data_bank_loan!I278="",NA(),data_bank_loan!I278)</f>
        <v/>
      </c>
    </row>
    <row r="279">
      <c r="I279">
        <f>data_bank_loan!G279+data_bank_loan!H279</f>
        <v/>
      </c>
      <c r="J279">
        <f>IF(data_bank_loan!I279="",NA(),data_bank_loan!I279)</f>
        <v/>
      </c>
    </row>
    <row r="280">
      <c r="I280">
        <f>data_bank_loan!G280+data_bank_loan!H280</f>
        <v/>
      </c>
      <c r="J280">
        <f>IF(data_bank_loan!I280="",NA(),data_bank_loan!I280)</f>
        <v/>
      </c>
    </row>
    <row r="281">
      <c r="I281">
        <f>data_bank_loan!G281+data_bank_loan!H281</f>
        <v/>
      </c>
      <c r="J281">
        <f>IF(data_bank_loan!I281="",NA(),data_bank_loan!I281)</f>
        <v/>
      </c>
    </row>
    <row r="282">
      <c r="I282">
        <f>data_bank_loan!G282+data_bank_loan!H282</f>
        <v/>
      </c>
      <c r="J282">
        <f>IF(data_bank_loan!I282="",NA(),data_bank_loan!I282)</f>
        <v/>
      </c>
    </row>
    <row r="283">
      <c r="I283">
        <f>data_bank_loan!G283+data_bank_loan!H283</f>
        <v/>
      </c>
      <c r="J283">
        <f>IF(data_bank_loan!I283="",NA(),data_bank_loan!I283)</f>
        <v/>
      </c>
    </row>
    <row r="284">
      <c r="I284">
        <f>data_bank_loan!G284+data_bank_loan!H284</f>
        <v/>
      </c>
      <c r="J284">
        <f>IF(data_bank_loan!I284="",NA(),data_bank_loan!I284)</f>
        <v/>
      </c>
    </row>
    <row r="285">
      <c r="I285">
        <f>data_bank_loan!G285+data_bank_loan!H285</f>
        <v/>
      </c>
      <c r="J285">
        <f>IF(data_bank_loan!I285="",NA(),data_bank_loan!I285)</f>
        <v/>
      </c>
    </row>
    <row r="286">
      <c r="I286">
        <f>data_bank_loan!G286+data_bank_loan!H286</f>
        <v/>
      </c>
      <c r="J286">
        <f>IF(data_bank_loan!I286="",NA(),data_bank_loan!I286)</f>
        <v/>
      </c>
    </row>
    <row r="287">
      <c r="I287">
        <f>data_bank_loan!G287+data_bank_loan!H287</f>
        <v/>
      </c>
      <c r="J287">
        <f>IF(data_bank_loan!I287="",NA(),data_bank_loan!I287)</f>
        <v/>
      </c>
    </row>
    <row r="288">
      <c r="I288">
        <f>data_bank_loan!G288+data_bank_loan!H288</f>
        <v/>
      </c>
      <c r="J288">
        <f>IF(data_bank_loan!I288="",NA(),data_bank_loan!I288)</f>
        <v/>
      </c>
    </row>
    <row r="289">
      <c r="I289">
        <f>data_bank_loan!G289+data_bank_loan!H289</f>
        <v/>
      </c>
      <c r="J289">
        <f>IF(data_bank_loan!I289="",NA(),data_bank_loan!I289)</f>
        <v/>
      </c>
    </row>
    <row r="290">
      <c r="I290">
        <f>data_bank_loan!G290+data_bank_loan!H290</f>
        <v/>
      </c>
      <c r="J290">
        <f>IF(data_bank_loan!I290="",NA(),data_bank_loan!I290)</f>
        <v/>
      </c>
    </row>
    <row r="291">
      <c r="I291">
        <f>data_bank_loan!G291+data_bank_loan!H291</f>
        <v/>
      </c>
      <c r="J291">
        <f>IF(data_bank_loan!I291="",NA(),data_bank_loan!I291)</f>
        <v/>
      </c>
    </row>
    <row r="292">
      <c r="I292">
        <f>data_bank_loan!G292+data_bank_loan!H292</f>
        <v/>
      </c>
      <c r="J292">
        <f>IF(data_bank_loan!I292="",NA(),data_bank_loan!I292)</f>
        <v/>
      </c>
    </row>
    <row r="293">
      <c r="I293">
        <f>data_bank_loan!G293+data_bank_loan!H293</f>
        <v/>
      </c>
      <c r="J293">
        <f>IF(data_bank_loan!I293="",NA(),data_bank_loan!I293)</f>
        <v/>
      </c>
    </row>
    <row r="294">
      <c r="I294">
        <f>data_bank_loan!G294+data_bank_loan!H294</f>
        <v/>
      </c>
      <c r="J294">
        <f>IF(data_bank_loan!I294="",NA(),data_bank_loan!I294)</f>
        <v/>
      </c>
    </row>
    <row r="295">
      <c r="I295">
        <f>data_bank_loan!G295+data_bank_loan!H295</f>
        <v/>
      </c>
      <c r="J295">
        <f>IF(data_bank_loan!I295="",NA(),data_bank_loan!I295)</f>
        <v/>
      </c>
    </row>
    <row r="296">
      <c r="I296">
        <f>data_bank_loan!G296+data_bank_loan!H296</f>
        <v/>
      </c>
      <c r="J296">
        <f>IF(data_bank_loan!I296="",NA(),data_bank_loan!I296)</f>
        <v/>
      </c>
    </row>
    <row r="297">
      <c r="I297">
        <f>data_bank_loan!G297+data_bank_loan!H297</f>
        <v/>
      </c>
      <c r="J297">
        <f>IF(data_bank_loan!I297="",NA(),data_bank_loan!I297)</f>
        <v/>
      </c>
    </row>
    <row r="298">
      <c r="I298">
        <f>data_bank_loan!G298+data_bank_loan!H298</f>
        <v/>
      </c>
      <c r="J298">
        <f>IF(data_bank_loan!I298="",NA(),data_bank_loan!I298)</f>
        <v/>
      </c>
    </row>
    <row r="299">
      <c r="I299">
        <f>data_bank_loan!G299+data_bank_loan!H299</f>
        <v/>
      </c>
      <c r="J299">
        <f>IF(data_bank_loan!I299="",NA(),data_bank_loan!I299)</f>
        <v/>
      </c>
    </row>
    <row r="300">
      <c r="I300">
        <f>data_bank_loan!G300+data_bank_loan!H300</f>
        <v/>
      </c>
      <c r="J300">
        <f>IF(data_bank_loan!I300="",NA(),data_bank_loan!I300)</f>
        <v/>
      </c>
    </row>
    <row r="301">
      <c r="I301">
        <f>data_bank_loan!G301+data_bank_loan!H301</f>
        <v/>
      </c>
      <c r="J301">
        <f>IF(data_bank_loan!I301="",NA(),data_bank_loan!I301)</f>
        <v/>
      </c>
    </row>
    <row r="302">
      <c r="I302">
        <f>data_bank_loan!G302+data_bank_loan!H302</f>
        <v/>
      </c>
      <c r="J302">
        <f>IF(data_bank_loan!I302="",NA(),data_bank_loan!I302)</f>
        <v/>
      </c>
    </row>
    <row r="303">
      <c r="I303">
        <f>data_bank_loan!G303+data_bank_loan!H303</f>
        <v/>
      </c>
      <c r="J303">
        <f>IF(data_bank_loan!I303="",NA(),data_bank_loan!I303)</f>
        <v/>
      </c>
    </row>
    <row r="304">
      <c r="I304">
        <f>data_bank_loan!G304+data_bank_loan!H304</f>
        <v/>
      </c>
      <c r="J304">
        <f>IF(data_bank_loan!I304="",NA(),data_bank_loan!I304)</f>
        <v/>
      </c>
    </row>
    <row r="305">
      <c r="I305">
        <f>data_bank_loan!G305+data_bank_loan!H305</f>
        <v/>
      </c>
      <c r="J305">
        <f>IF(data_bank_loan!I305="",NA(),data_bank_loan!I305)</f>
        <v/>
      </c>
    </row>
    <row r="306">
      <c r="I306">
        <f>data_bank_loan!G306+data_bank_loan!H306</f>
        <v/>
      </c>
      <c r="J306">
        <f>IF(data_bank_loan!I306="",NA(),data_bank_loan!I306)</f>
        <v/>
      </c>
    </row>
    <row r="307">
      <c r="I307">
        <f>data_bank_loan!G307+data_bank_loan!H307</f>
        <v/>
      </c>
      <c r="J307">
        <f>IF(data_bank_loan!I307="",NA(),data_bank_loan!I307)</f>
        <v/>
      </c>
    </row>
    <row r="308">
      <c r="I308">
        <f>data_bank_loan!G308+data_bank_loan!H308</f>
        <v/>
      </c>
      <c r="J308">
        <f>IF(data_bank_loan!I308="",NA(),data_bank_loan!I308)</f>
        <v/>
      </c>
    </row>
    <row r="309">
      <c r="I309">
        <f>data_bank_loan!G309+data_bank_loan!H309</f>
        <v/>
      </c>
      <c r="J309">
        <f>IF(data_bank_loan!I309="",NA(),data_bank_loan!I309)</f>
        <v/>
      </c>
    </row>
    <row r="310">
      <c r="I310">
        <f>data_bank_loan!G310+data_bank_loan!H310</f>
        <v/>
      </c>
      <c r="J310">
        <f>IF(data_bank_loan!I310="",NA(),data_bank_loan!I310)</f>
        <v/>
      </c>
    </row>
    <row r="311">
      <c r="I311">
        <f>data_bank_loan!G311+data_bank_loan!H311</f>
        <v/>
      </c>
      <c r="J311">
        <f>IF(data_bank_loan!I311="",NA(),data_bank_loan!I311)</f>
        <v/>
      </c>
    </row>
    <row r="312">
      <c r="I312">
        <f>data_bank_loan!G312+data_bank_loan!H312</f>
        <v/>
      </c>
      <c r="J312">
        <f>IF(data_bank_loan!I312="",NA(),data_bank_loan!I312)</f>
        <v/>
      </c>
    </row>
    <row r="313">
      <c r="I313">
        <f>data_bank_loan!G313+data_bank_loan!H313</f>
        <v/>
      </c>
      <c r="J313">
        <f>IF(data_bank_loan!I313="",NA(),data_bank_loan!I313)</f>
        <v/>
      </c>
    </row>
    <row r="314">
      <c r="I314">
        <f>data_bank_loan!G314+data_bank_loan!H314</f>
        <v/>
      </c>
      <c r="J314">
        <f>IF(data_bank_loan!I314="",NA(),data_bank_loan!I314)</f>
        <v/>
      </c>
    </row>
    <row r="315">
      <c r="I315">
        <f>data_bank_loan!G315+data_bank_loan!H315</f>
        <v/>
      </c>
      <c r="J315">
        <f>IF(data_bank_loan!I315="",NA(),data_bank_loan!I315)</f>
        <v/>
      </c>
    </row>
    <row r="316">
      <c r="I316">
        <f>data_bank_loan!G316+data_bank_loan!H316</f>
        <v/>
      </c>
      <c r="J316">
        <f>IF(data_bank_loan!I316="",NA(),data_bank_loan!I316)</f>
        <v/>
      </c>
    </row>
    <row r="317">
      <c r="I317">
        <f>data_bank_loan!G317+data_bank_loan!H317</f>
        <v/>
      </c>
      <c r="J317">
        <f>IF(data_bank_loan!I317="",NA(),data_bank_loan!I317)</f>
        <v/>
      </c>
    </row>
    <row r="318">
      <c r="I318">
        <f>data_bank_loan!G318+data_bank_loan!H318</f>
        <v/>
      </c>
      <c r="J318">
        <f>IF(data_bank_loan!I318="",NA(),data_bank_loan!I318)</f>
        <v/>
      </c>
    </row>
    <row r="319">
      <c r="I319">
        <f>data_bank_loan!G319+data_bank_loan!H319</f>
        <v/>
      </c>
      <c r="J319">
        <f>IF(data_bank_loan!I319="",NA(),data_bank_loan!I319)</f>
        <v/>
      </c>
    </row>
    <row r="320">
      <c r="I320">
        <f>data_bank_loan!G320+data_bank_loan!H320</f>
        <v/>
      </c>
      <c r="J320">
        <f>IF(data_bank_loan!I320="",NA(),data_bank_loan!I320)</f>
        <v/>
      </c>
    </row>
    <row r="321">
      <c r="I321">
        <f>data_bank_loan!G321+data_bank_loan!H321</f>
        <v/>
      </c>
      <c r="J321">
        <f>IF(data_bank_loan!I321="",NA(),data_bank_loan!I321)</f>
        <v/>
      </c>
    </row>
    <row r="322">
      <c r="I322">
        <f>data_bank_loan!G322+data_bank_loan!H322</f>
        <v/>
      </c>
      <c r="J322">
        <f>IF(data_bank_loan!I322="",NA(),data_bank_loan!I322)</f>
        <v/>
      </c>
    </row>
    <row r="323">
      <c r="I323">
        <f>data_bank_loan!G323+data_bank_loan!H323</f>
        <v/>
      </c>
      <c r="J323">
        <f>IF(data_bank_loan!I323="",NA(),data_bank_loan!I323)</f>
        <v/>
      </c>
    </row>
    <row r="324">
      <c r="I324">
        <f>data_bank_loan!G324+data_bank_loan!H324</f>
        <v/>
      </c>
      <c r="J324">
        <f>IF(data_bank_loan!I324="",NA(),data_bank_loan!I324)</f>
        <v/>
      </c>
    </row>
    <row r="325">
      <c r="I325">
        <f>data_bank_loan!G325+data_bank_loan!H325</f>
        <v/>
      </c>
      <c r="J325">
        <f>IF(data_bank_loan!I325="",NA(),data_bank_loan!I325)</f>
        <v/>
      </c>
    </row>
    <row r="326">
      <c r="I326">
        <f>data_bank_loan!G326+data_bank_loan!H326</f>
        <v/>
      </c>
      <c r="J326">
        <f>IF(data_bank_loan!I326="",NA(),data_bank_loan!I326)</f>
        <v/>
      </c>
    </row>
    <row r="327">
      <c r="I327">
        <f>data_bank_loan!G327+data_bank_loan!H327</f>
        <v/>
      </c>
      <c r="J327">
        <f>IF(data_bank_loan!I327="",NA(),data_bank_loan!I327)</f>
        <v/>
      </c>
    </row>
    <row r="328">
      <c r="I328">
        <f>data_bank_loan!G328+data_bank_loan!H328</f>
        <v/>
      </c>
      <c r="J328">
        <f>IF(data_bank_loan!I328="",NA(),data_bank_loan!I328)</f>
        <v/>
      </c>
    </row>
    <row r="329">
      <c r="I329">
        <f>data_bank_loan!G329+data_bank_loan!H329</f>
        <v/>
      </c>
      <c r="J329">
        <f>IF(data_bank_loan!I329="",NA(),data_bank_loan!I329)</f>
        <v/>
      </c>
    </row>
    <row r="330">
      <c r="I330">
        <f>data_bank_loan!G330+data_bank_loan!H330</f>
        <v/>
      </c>
      <c r="J330">
        <f>IF(data_bank_loan!I330="",NA(),data_bank_loan!I330)</f>
        <v/>
      </c>
    </row>
    <row r="331">
      <c r="I331">
        <f>data_bank_loan!G331+data_bank_loan!H331</f>
        <v/>
      </c>
      <c r="J331">
        <f>IF(data_bank_loan!I331="",NA(),data_bank_loan!I331)</f>
        <v/>
      </c>
    </row>
    <row r="332">
      <c r="I332">
        <f>data_bank_loan!G332+data_bank_loan!H332</f>
        <v/>
      </c>
      <c r="J332">
        <f>IF(data_bank_loan!I332="",NA(),data_bank_loan!I332)</f>
        <v/>
      </c>
    </row>
    <row r="333">
      <c r="I333">
        <f>data_bank_loan!G333+data_bank_loan!H333</f>
        <v/>
      </c>
      <c r="J333">
        <f>IF(data_bank_loan!I333="",NA(),data_bank_loan!I333)</f>
        <v/>
      </c>
    </row>
    <row r="334">
      <c r="I334">
        <f>data_bank_loan!G334+data_bank_loan!H334</f>
        <v/>
      </c>
      <c r="J334">
        <f>IF(data_bank_loan!I334="",NA(),data_bank_loan!I334)</f>
        <v/>
      </c>
    </row>
    <row r="335">
      <c r="I335">
        <f>data_bank_loan!G335+data_bank_loan!H335</f>
        <v/>
      </c>
      <c r="J335">
        <f>IF(data_bank_loan!I335="",NA(),data_bank_loan!I335)</f>
        <v/>
      </c>
    </row>
    <row r="336">
      <c r="I336">
        <f>data_bank_loan!G336+data_bank_loan!H336</f>
        <v/>
      </c>
      <c r="J336">
        <f>IF(data_bank_loan!I336="",NA(),data_bank_loan!I336)</f>
        <v/>
      </c>
    </row>
    <row r="337">
      <c r="I337">
        <f>data_bank_loan!G337+data_bank_loan!H337</f>
        <v/>
      </c>
      <c r="J337">
        <f>IF(data_bank_loan!I337="",NA(),data_bank_loan!I337)</f>
        <v/>
      </c>
    </row>
    <row r="338">
      <c r="I338">
        <f>data_bank_loan!G338+data_bank_loan!H338</f>
        <v/>
      </c>
      <c r="J338">
        <f>IF(data_bank_loan!I338="",NA(),data_bank_loan!I338)</f>
        <v/>
      </c>
    </row>
    <row r="339">
      <c r="I339">
        <f>data_bank_loan!G339+data_bank_loan!H339</f>
        <v/>
      </c>
      <c r="J339">
        <f>IF(data_bank_loan!I339="",NA(),data_bank_loan!I339)</f>
        <v/>
      </c>
    </row>
    <row r="340">
      <c r="I340">
        <f>data_bank_loan!G340+data_bank_loan!H340</f>
        <v/>
      </c>
      <c r="J340">
        <f>IF(data_bank_loan!I340="",NA(),data_bank_loan!I340)</f>
        <v/>
      </c>
    </row>
    <row r="341">
      <c r="I341">
        <f>data_bank_loan!G341+data_bank_loan!H341</f>
        <v/>
      </c>
      <c r="J341">
        <f>IF(data_bank_loan!I341="",NA(),data_bank_loan!I341)</f>
        <v/>
      </c>
    </row>
    <row r="342">
      <c r="I342">
        <f>data_bank_loan!G342+data_bank_loan!H342</f>
        <v/>
      </c>
      <c r="J342">
        <f>IF(data_bank_loan!I342="",NA(),data_bank_loan!I342)</f>
        <v/>
      </c>
    </row>
    <row r="343">
      <c r="I343">
        <f>data_bank_loan!G343+data_bank_loan!H343</f>
        <v/>
      </c>
      <c r="J343">
        <f>IF(data_bank_loan!I343="",NA(),data_bank_loan!I343)</f>
        <v/>
      </c>
    </row>
    <row r="344">
      <c r="I344">
        <f>data_bank_loan!G344+data_bank_loan!H344</f>
        <v/>
      </c>
      <c r="J344">
        <f>IF(data_bank_loan!I344="",NA(),data_bank_loan!I344)</f>
        <v/>
      </c>
    </row>
    <row r="345">
      <c r="I345">
        <f>data_bank_loan!G345+data_bank_loan!H345</f>
        <v/>
      </c>
      <c r="J345">
        <f>IF(data_bank_loan!I345="",NA(),data_bank_loan!I345)</f>
        <v/>
      </c>
    </row>
    <row r="346">
      <c r="I346">
        <f>data_bank_loan!G346+data_bank_loan!H346</f>
        <v/>
      </c>
      <c r="J346">
        <f>IF(data_bank_loan!I346="",NA(),data_bank_loan!I346)</f>
        <v/>
      </c>
    </row>
    <row r="347">
      <c r="I347">
        <f>data_bank_loan!G347+data_bank_loan!H347</f>
        <v/>
      </c>
      <c r="J347">
        <f>IF(data_bank_loan!I347="",NA(),data_bank_loan!I347)</f>
        <v/>
      </c>
    </row>
    <row r="348">
      <c r="I348">
        <f>data_bank_loan!G348+data_bank_loan!H348</f>
        <v/>
      </c>
      <c r="J348">
        <f>IF(data_bank_loan!I348="",NA(),data_bank_loan!I348)</f>
        <v/>
      </c>
    </row>
    <row r="349">
      <c r="I349">
        <f>data_bank_loan!G349+data_bank_loan!H349</f>
        <v/>
      </c>
      <c r="J349">
        <f>IF(data_bank_loan!I349="",NA(),data_bank_loan!I349)</f>
        <v/>
      </c>
    </row>
    <row r="350">
      <c r="I350">
        <f>data_bank_loan!G350+data_bank_loan!H350</f>
        <v/>
      </c>
      <c r="J350">
        <f>IF(data_bank_loan!I350="",NA(),data_bank_loan!I350)</f>
        <v/>
      </c>
    </row>
    <row r="351">
      <c r="I351">
        <f>data_bank_loan!G351+data_bank_loan!H351</f>
        <v/>
      </c>
      <c r="J351">
        <f>IF(data_bank_loan!I351="",NA(),data_bank_loan!I351)</f>
        <v/>
      </c>
    </row>
    <row r="352">
      <c r="I352">
        <f>data_bank_loan!G352+data_bank_loan!H352</f>
        <v/>
      </c>
      <c r="J352">
        <f>IF(data_bank_loan!I352="",NA(),data_bank_loan!I352)</f>
        <v/>
      </c>
    </row>
    <row r="353">
      <c r="I353">
        <f>data_bank_loan!G353+data_bank_loan!H353</f>
        <v/>
      </c>
      <c r="J353">
        <f>IF(data_bank_loan!I353="",NA(),data_bank_loan!I353)</f>
        <v/>
      </c>
    </row>
    <row r="354">
      <c r="I354">
        <f>data_bank_loan!G354+data_bank_loan!H354</f>
        <v/>
      </c>
      <c r="J354">
        <f>IF(data_bank_loan!I354="",NA(),data_bank_loan!I354)</f>
        <v/>
      </c>
    </row>
    <row r="355">
      <c r="I355">
        <f>data_bank_loan!G355+data_bank_loan!H355</f>
        <v/>
      </c>
      <c r="J355">
        <f>IF(data_bank_loan!I355="",NA(),data_bank_loan!I355)</f>
        <v/>
      </c>
    </row>
    <row r="356">
      <c r="I356">
        <f>data_bank_loan!G356+data_bank_loan!H356</f>
        <v/>
      </c>
      <c r="J356">
        <f>IF(data_bank_loan!I356="",NA(),data_bank_loan!I356)</f>
        <v/>
      </c>
    </row>
    <row r="357">
      <c r="I357">
        <f>data_bank_loan!G357+data_bank_loan!H357</f>
        <v/>
      </c>
      <c r="J357">
        <f>IF(data_bank_loan!I357="",NA(),data_bank_loan!I357)</f>
        <v/>
      </c>
    </row>
    <row r="358">
      <c r="I358">
        <f>data_bank_loan!G358+data_bank_loan!H358</f>
        <v/>
      </c>
      <c r="J358">
        <f>IF(data_bank_loan!I358="",NA(),data_bank_loan!I358)</f>
        <v/>
      </c>
    </row>
    <row r="359">
      <c r="I359">
        <f>data_bank_loan!G359+data_bank_loan!H359</f>
        <v/>
      </c>
      <c r="J359">
        <f>IF(data_bank_loan!I359="",NA(),data_bank_loan!I359)</f>
        <v/>
      </c>
    </row>
    <row r="360">
      <c r="I360">
        <f>data_bank_loan!G360+data_bank_loan!H360</f>
        <v/>
      </c>
      <c r="J360">
        <f>IF(data_bank_loan!I360="",NA(),data_bank_loan!I360)</f>
        <v/>
      </c>
    </row>
    <row r="361">
      <c r="I361">
        <f>data_bank_loan!G361+data_bank_loan!H361</f>
        <v/>
      </c>
      <c r="J361">
        <f>IF(data_bank_loan!I361="",NA(),data_bank_loan!I361)</f>
        <v/>
      </c>
    </row>
    <row r="362">
      <c r="I362">
        <f>data_bank_loan!G362+data_bank_loan!H362</f>
        <v/>
      </c>
      <c r="J362">
        <f>IF(data_bank_loan!I362="",NA(),data_bank_loan!I362)</f>
        <v/>
      </c>
    </row>
    <row r="363">
      <c r="I363">
        <f>data_bank_loan!G363+data_bank_loan!H363</f>
        <v/>
      </c>
      <c r="J363">
        <f>IF(data_bank_loan!I363="",NA(),data_bank_loan!I363)</f>
        <v/>
      </c>
    </row>
    <row r="364">
      <c r="I364">
        <f>data_bank_loan!G364+data_bank_loan!H364</f>
        <v/>
      </c>
      <c r="J364">
        <f>IF(data_bank_loan!I364="",NA(),data_bank_loan!I364)</f>
        <v/>
      </c>
    </row>
    <row r="365">
      <c r="I365">
        <f>data_bank_loan!G365+data_bank_loan!H365</f>
        <v/>
      </c>
      <c r="J365">
        <f>IF(data_bank_loan!I365="",NA(),data_bank_loan!I365)</f>
        <v/>
      </c>
    </row>
    <row r="366">
      <c r="I366">
        <f>data_bank_loan!G366+data_bank_loan!H366</f>
        <v/>
      </c>
      <c r="J366">
        <f>IF(data_bank_loan!I366="",NA(),data_bank_loan!I366)</f>
        <v/>
      </c>
    </row>
    <row r="367">
      <c r="I367">
        <f>data_bank_loan!G367+data_bank_loan!H367</f>
        <v/>
      </c>
      <c r="J367">
        <f>IF(data_bank_loan!I367="",NA(),data_bank_loan!I367)</f>
        <v/>
      </c>
    </row>
    <row r="368">
      <c r="I368">
        <f>data_bank_loan!G368+data_bank_loan!H368</f>
        <v/>
      </c>
      <c r="J368">
        <f>IF(data_bank_loan!I368="",NA(),data_bank_loan!I368)</f>
        <v/>
      </c>
    </row>
    <row r="369">
      <c r="I369">
        <f>data_bank_loan!G369+data_bank_loan!H369</f>
        <v/>
      </c>
      <c r="J369">
        <f>IF(data_bank_loan!I369="",NA(),data_bank_loan!I369)</f>
        <v/>
      </c>
    </row>
    <row r="370">
      <c r="I370">
        <f>data_bank_loan!G370+data_bank_loan!H370</f>
        <v/>
      </c>
      <c r="J370">
        <f>IF(data_bank_loan!I370="",NA(),data_bank_loan!I370)</f>
        <v/>
      </c>
    </row>
    <row r="371">
      <c r="I371">
        <f>data_bank_loan!G371+data_bank_loan!H371</f>
        <v/>
      </c>
      <c r="J371">
        <f>IF(data_bank_loan!I371="",NA(),data_bank_loan!I371)</f>
        <v/>
      </c>
    </row>
    <row r="372">
      <c r="I372">
        <f>data_bank_loan!G372+data_bank_loan!H372</f>
        <v/>
      </c>
      <c r="J372">
        <f>IF(data_bank_loan!I372="",NA(),data_bank_loan!I372)</f>
        <v/>
      </c>
    </row>
    <row r="373">
      <c r="I373">
        <f>data_bank_loan!G373+data_bank_loan!H373</f>
        <v/>
      </c>
      <c r="J373">
        <f>IF(data_bank_loan!I373="",NA(),data_bank_loan!I373)</f>
        <v/>
      </c>
    </row>
    <row r="374">
      <c r="I374">
        <f>data_bank_loan!G374+data_bank_loan!H374</f>
        <v/>
      </c>
      <c r="J374">
        <f>IF(data_bank_loan!I374="",NA(),data_bank_loan!I374)</f>
        <v/>
      </c>
    </row>
    <row r="375">
      <c r="I375">
        <f>data_bank_loan!G375+data_bank_loan!H375</f>
        <v/>
      </c>
      <c r="J375">
        <f>IF(data_bank_loan!I375="",NA(),data_bank_loan!I375)</f>
        <v/>
      </c>
    </row>
    <row r="376">
      <c r="I376">
        <f>data_bank_loan!G376+data_bank_loan!H376</f>
        <v/>
      </c>
      <c r="J376">
        <f>IF(data_bank_loan!I376="",NA(),data_bank_loan!I376)</f>
        <v/>
      </c>
    </row>
    <row r="377">
      <c r="I377">
        <f>data_bank_loan!G377+data_bank_loan!H377</f>
        <v/>
      </c>
      <c r="J377">
        <f>IF(data_bank_loan!I377="",NA(),data_bank_loan!I377)</f>
        <v/>
      </c>
    </row>
    <row r="378">
      <c r="I378">
        <f>data_bank_loan!G378+data_bank_loan!H378</f>
        <v/>
      </c>
      <c r="J378">
        <f>IF(data_bank_loan!I378="",NA(),data_bank_loan!I378)</f>
        <v/>
      </c>
    </row>
    <row r="379">
      <c r="I379">
        <f>data_bank_loan!G379+data_bank_loan!H379</f>
        <v/>
      </c>
      <c r="J379">
        <f>IF(data_bank_loan!I379="",NA(),data_bank_loan!I379)</f>
        <v/>
      </c>
    </row>
    <row r="380">
      <c r="I380">
        <f>data_bank_loan!G380+data_bank_loan!H380</f>
        <v/>
      </c>
      <c r="J380">
        <f>IF(data_bank_loan!I380="",NA(),data_bank_loan!I380)</f>
        <v/>
      </c>
    </row>
    <row r="381">
      <c r="I381">
        <f>data_bank_loan!G381+data_bank_loan!H381</f>
        <v/>
      </c>
      <c r="J381">
        <f>IF(data_bank_loan!I381="",NA(),data_bank_loan!I381)</f>
        <v/>
      </c>
    </row>
    <row r="382">
      <c r="I382">
        <f>data_bank_loan!G382+data_bank_loan!H382</f>
        <v/>
      </c>
      <c r="J382">
        <f>IF(data_bank_loan!I382="",NA(),data_bank_loan!I382)</f>
        <v/>
      </c>
    </row>
    <row r="383">
      <c r="I383">
        <f>data_bank_loan!G383+data_bank_loan!H383</f>
        <v/>
      </c>
      <c r="J383">
        <f>IF(data_bank_loan!I383="",NA(),data_bank_loan!I383)</f>
        <v/>
      </c>
    </row>
    <row r="384">
      <c r="I384">
        <f>data_bank_loan!G384+data_bank_loan!H384</f>
        <v/>
      </c>
      <c r="J384">
        <f>IF(data_bank_loan!I384="",NA(),data_bank_loan!I384)</f>
        <v/>
      </c>
    </row>
    <row r="385">
      <c r="I385">
        <f>data_bank_loan!G385+data_bank_loan!H385</f>
        <v/>
      </c>
      <c r="J385">
        <f>IF(data_bank_loan!I385="",NA(),data_bank_loan!I385)</f>
        <v/>
      </c>
    </row>
    <row r="386">
      <c r="I386">
        <f>data_bank_loan!G386+data_bank_loan!H386</f>
        <v/>
      </c>
      <c r="J386">
        <f>IF(data_bank_loan!I386="",NA(),data_bank_loan!I386)</f>
        <v/>
      </c>
    </row>
    <row r="387">
      <c r="I387">
        <f>data_bank_loan!G387+data_bank_loan!H387</f>
        <v/>
      </c>
      <c r="J387">
        <f>IF(data_bank_loan!I387="",NA(),data_bank_loan!I387)</f>
        <v/>
      </c>
    </row>
    <row r="388">
      <c r="I388">
        <f>data_bank_loan!G388+data_bank_loan!H388</f>
        <v/>
      </c>
      <c r="J388">
        <f>IF(data_bank_loan!I388="",NA(),data_bank_loan!I388)</f>
        <v/>
      </c>
    </row>
    <row r="389">
      <c r="I389">
        <f>data_bank_loan!G389+data_bank_loan!H389</f>
        <v/>
      </c>
      <c r="J389">
        <f>IF(data_bank_loan!I389="",NA(),data_bank_loan!I389)</f>
        <v/>
      </c>
    </row>
    <row r="390">
      <c r="I390">
        <f>data_bank_loan!G390+data_bank_loan!H390</f>
        <v/>
      </c>
      <c r="J390">
        <f>IF(data_bank_loan!I390="",NA(),data_bank_loan!I390)</f>
        <v/>
      </c>
    </row>
    <row r="391">
      <c r="I391">
        <f>data_bank_loan!G391+data_bank_loan!H391</f>
        <v/>
      </c>
      <c r="J391">
        <f>IF(data_bank_loan!I391="",NA(),data_bank_loan!I391)</f>
        <v/>
      </c>
    </row>
    <row r="392">
      <c r="I392">
        <f>data_bank_loan!G392+data_bank_loan!H392</f>
        <v/>
      </c>
      <c r="J392">
        <f>IF(data_bank_loan!I392="",NA(),data_bank_loan!I392)</f>
        <v/>
      </c>
    </row>
    <row r="393">
      <c r="I393">
        <f>data_bank_loan!G393+data_bank_loan!H393</f>
        <v/>
      </c>
      <c r="J393">
        <f>IF(data_bank_loan!I393="",NA(),data_bank_loan!I393)</f>
        <v/>
      </c>
    </row>
    <row r="394">
      <c r="I394">
        <f>data_bank_loan!G394+data_bank_loan!H394</f>
        <v/>
      </c>
      <c r="J394">
        <f>IF(data_bank_loan!I394="",NA(),data_bank_loan!I394)</f>
        <v/>
      </c>
    </row>
    <row r="395">
      <c r="I395">
        <f>data_bank_loan!G395+data_bank_loan!H395</f>
        <v/>
      </c>
      <c r="J395">
        <f>IF(data_bank_loan!I395="",NA(),data_bank_loan!I395)</f>
        <v/>
      </c>
    </row>
    <row r="396">
      <c r="I396">
        <f>data_bank_loan!G396+data_bank_loan!H396</f>
        <v/>
      </c>
      <c r="J396">
        <f>IF(data_bank_loan!I396="",NA(),data_bank_loan!I396)</f>
        <v/>
      </c>
    </row>
    <row r="397">
      <c r="I397">
        <f>data_bank_loan!G397+data_bank_loan!H397</f>
        <v/>
      </c>
      <c r="J397">
        <f>IF(data_bank_loan!I397="",NA(),data_bank_loan!I397)</f>
        <v/>
      </c>
    </row>
    <row r="398">
      <c r="I398">
        <f>data_bank_loan!G398+data_bank_loan!H398</f>
        <v/>
      </c>
      <c r="J398">
        <f>IF(data_bank_loan!I398="",NA(),data_bank_loan!I398)</f>
        <v/>
      </c>
    </row>
    <row r="399">
      <c r="I399">
        <f>data_bank_loan!G399+data_bank_loan!H399</f>
        <v/>
      </c>
      <c r="J399">
        <f>IF(data_bank_loan!I399="",NA(),data_bank_loan!I399)</f>
        <v/>
      </c>
    </row>
    <row r="400">
      <c r="I400">
        <f>data_bank_loan!G400+data_bank_loan!H400</f>
        <v/>
      </c>
      <c r="J400">
        <f>IF(data_bank_loan!I400="",NA(),data_bank_loan!I400)</f>
        <v/>
      </c>
    </row>
    <row r="401">
      <c r="I401">
        <f>data_bank_loan!G401+data_bank_loan!H401</f>
        <v/>
      </c>
      <c r="J401">
        <f>IF(data_bank_loan!I401="",NA(),data_bank_loan!I401)</f>
        <v/>
      </c>
    </row>
    <row r="402">
      <c r="I402">
        <f>data_bank_loan!G402+data_bank_loan!H402</f>
        <v/>
      </c>
      <c r="J402">
        <f>IF(data_bank_loan!I402="",NA(),data_bank_loan!I402)</f>
        <v/>
      </c>
    </row>
    <row r="403">
      <c r="I403">
        <f>data_bank_loan!G403+data_bank_loan!H403</f>
        <v/>
      </c>
      <c r="J403">
        <f>IF(data_bank_loan!I403="",NA(),data_bank_loan!I403)</f>
        <v/>
      </c>
    </row>
    <row r="404">
      <c r="I404">
        <f>data_bank_loan!G404+data_bank_loan!H404</f>
        <v/>
      </c>
      <c r="J404">
        <f>IF(data_bank_loan!I404="",NA(),data_bank_loan!I404)</f>
        <v/>
      </c>
    </row>
    <row r="405">
      <c r="I405">
        <f>data_bank_loan!G405+data_bank_loan!H405</f>
        <v/>
      </c>
      <c r="J405">
        <f>IF(data_bank_loan!I405="",NA(),data_bank_loan!I405)</f>
        <v/>
      </c>
    </row>
    <row r="406">
      <c r="I406">
        <f>data_bank_loan!G406+data_bank_loan!H406</f>
        <v/>
      </c>
      <c r="J406">
        <f>IF(data_bank_loan!I406="",NA(),data_bank_loan!I406)</f>
        <v/>
      </c>
    </row>
    <row r="407">
      <c r="I407">
        <f>data_bank_loan!G407+data_bank_loan!H407</f>
        <v/>
      </c>
      <c r="J407">
        <f>IF(data_bank_loan!I407="",NA(),data_bank_loan!I407)</f>
        <v/>
      </c>
    </row>
    <row r="408">
      <c r="I408">
        <f>data_bank_loan!G408+data_bank_loan!H408</f>
        <v/>
      </c>
      <c r="J408">
        <f>IF(data_bank_loan!I408="",NA(),data_bank_loan!I408)</f>
        <v/>
      </c>
    </row>
    <row r="409">
      <c r="I409">
        <f>data_bank_loan!G409+data_bank_loan!H409</f>
        <v/>
      </c>
      <c r="J409">
        <f>IF(data_bank_loan!I409="",NA(),data_bank_loan!I409)</f>
        <v/>
      </c>
    </row>
    <row r="410">
      <c r="I410">
        <f>data_bank_loan!G410+data_bank_loan!H410</f>
        <v/>
      </c>
      <c r="J410">
        <f>IF(data_bank_loan!I410="",NA(),data_bank_loan!I410)</f>
        <v/>
      </c>
    </row>
    <row r="411">
      <c r="I411">
        <f>data_bank_loan!G411+data_bank_loan!H411</f>
        <v/>
      </c>
      <c r="J411">
        <f>IF(data_bank_loan!I411="",NA(),data_bank_loan!I411)</f>
        <v/>
      </c>
    </row>
    <row r="412">
      <c r="I412">
        <f>data_bank_loan!G412+data_bank_loan!H412</f>
        <v/>
      </c>
      <c r="J412">
        <f>IF(data_bank_loan!I412="",NA(),data_bank_loan!I412)</f>
        <v/>
      </c>
    </row>
    <row r="413">
      <c r="I413">
        <f>data_bank_loan!G413+data_bank_loan!H413</f>
        <v/>
      </c>
      <c r="J413">
        <f>IF(data_bank_loan!I413="",NA(),data_bank_loan!I413)</f>
        <v/>
      </c>
    </row>
    <row r="414">
      <c r="I414">
        <f>data_bank_loan!G414+data_bank_loan!H414</f>
        <v/>
      </c>
      <c r="J414">
        <f>IF(data_bank_loan!I414="",NA(),data_bank_loan!I414)</f>
        <v/>
      </c>
    </row>
    <row r="415">
      <c r="I415">
        <f>data_bank_loan!G415+data_bank_loan!H415</f>
        <v/>
      </c>
      <c r="J415">
        <f>IF(data_bank_loan!I415="",NA(),data_bank_loan!I415)</f>
        <v/>
      </c>
    </row>
    <row r="416">
      <c r="I416">
        <f>data_bank_loan!G416+data_bank_loan!H416</f>
        <v/>
      </c>
      <c r="J416">
        <f>IF(data_bank_loan!I416="",NA(),data_bank_loan!I416)</f>
        <v/>
      </c>
    </row>
    <row r="417">
      <c r="I417">
        <f>data_bank_loan!G417+data_bank_loan!H417</f>
        <v/>
      </c>
      <c r="J417">
        <f>IF(data_bank_loan!I417="",NA(),data_bank_loan!I417)</f>
        <v/>
      </c>
    </row>
    <row r="418">
      <c r="I418">
        <f>data_bank_loan!G418+data_bank_loan!H418</f>
        <v/>
      </c>
      <c r="J418">
        <f>IF(data_bank_loan!I418="",NA(),data_bank_loan!I418)</f>
        <v/>
      </c>
    </row>
    <row r="419">
      <c r="I419">
        <f>data_bank_loan!G419+data_bank_loan!H419</f>
        <v/>
      </c>
      <c r="J419">
        <f>IF(data_bank_loan!I419="",NA(),data_bank_loan!I419)</f>
        <v/>
      </c>
    </row>
    <row r="420">
      <c r="I420">
        <f>data_bank_loan!G420+data_bank_loan!H420</f>
        <v/>
      </c>
      <c r="J420">
        <f>IF(data_bank_loan!I420="",NA(),data_bank_loan!I420)</f>
        <v/>
      </c>
    </row>
    <row r="421">
      <c r="I421">
        <f>data_bank_loan!G421+data_bank_loan!H421</f>
        <v/>
      </c>
      <c r="J421">
        <f>IF(data_bank_loan!I421="",NA(),data_bank_loan!I421)</f>
        <v/>
      </c>
    </row>
    <row r="422">
      <c r="I422">
        <f>data_bank_loan!G422+data_bank_loan!H422</f>
        <v/>
      </c>
      <c r="J422">
        <f>IF(data_bank_loan!I422="",NA(),data_bank_loan!I422)</f>
        <v/>
      </c>
    </row>
    <row r="423">
      <c r="I423">
        <f>data_bank_loan!G423+data_bank_loan!H423</f>
        <v/>
      </c>
      <c r="J423">
        <f>IF(data_bank_loan!I423="",NA(),data_bank_loan!I423)</f>
        <v/>
      </c>
    </row>
    <row r="424">
      <c r="I424">
        <f>data_bank_loan!G424+data_bank_loan!H424</f>
        <v/>
      </c>
      <c r="J424">
        <f>IF(data_bank_loan!I424="",NA(),data_bank_loan!I424)</f>
        <v/>
      </c>
    </row>
    <row r="425">
      <c r="I425">
        <f>data_bank_loan!G425+data_bank_loan!H425</f>
        <v/>
      </c>
      <c r="J425">
        <f>IF(data_bank_loan!I425="",NA(),data_bank_loan!I425)</f>
        <v/>
      </c>
    </row>
    <row r="426">
      <c r="I426">
        <f>data_bank_loan!G426+data_bank_loan!H426</f>
        <v/>
      </c>
      <c r="J426">
        <f>IF(data_bank_loan!I426="",NA(),data_bank_loan!I426)</f>
        <v/>
      </c>
    </row>
    <row r="427">
      <c r="I427">
        <f>data_bank_loan!G427+data_bank_loan!H427</f>
        <v/>
      </c>
      <c r="J427">
        <f>IF(data_bank_loan!I427="",NA(),data_bank_loan!I427)</f>
        <v/>
      </c>
    </row>
    <row r="428">
      <c r="I428">
        <f>data_bank_loan!G428+data_bank_loan!H428</f>
        <v/>
      </c>
      <c r="J428">
        <f>IF(data_bank_loan!I428="",NA(),data_bank_loan!I428)</f>
        <v/>
      </c>
    </row>
    <row r="429">
      <c r="I429">
        <f>data_bank_loan!G429+data_bank_loan!H429</f>
        <v/>
      </c>
      <c r="J429">
        <f>IF(data_bank_loan!I429="",NA(),data_bank_loan!I429)</f>
        <v/>
      </c>
    </row>
    <row r="430">
      <c r="I430">
        <f>data_bank_loan!G430+data_bank_loan!H430</f>
        <v/>
      </c>
      <c r="J430">
        <f>IF(data_bank_loan!I430="",NA(),data_bank_loan!I430)</f>
        <v/>
      </c>
    </row>
    <row r="431">
      <c r="I431">
        <f>data_bank_loan!G431+data_bank_loan!H431</f>
        <v/>
      </c>
      <c r="J431">
        <f>IF(data_bank_loan!I431="",NA(),data_bank_loan!I431)</f>
        <v/>
      </c>
    </row>
    <row r="432">
      <c r="I432">
        <f>data_bank_loan!G432+data_bank_loan!H432</f>
        <v/>
      </c>
      <c r="J432">
        <f>IF(data_bank_loan!I432="",NA(),data_bank_loan!I432)</f>
        <v/>
      </c>
    </row>
    <row r="433">
      <c r="I433">
        <f>data_bank_loan!G433+data_bank_loan!H433</f>
        <v/>
      </c>
      <c r="J433">
        <f>IF(data_bank_loan!I433="",NA(),data_bank_loan!I433)</f>
        <v/>
      </c>
    </row>
    <row r="434">
      <c r="I434">
        <f>data_bank_loan!G434+data_bank_loan!H434</f>
        <v/>
      </c>
      <c r="J434">
        <f>IF(data_bank_loan!I434="",NA(),data_bank_loan!I434)</f>
        <v/>
      </c>
    </row>
    <row r="435">
      <c r="I435">
        <f>data_bank_loan!G435+data_bank_loan!H435</f>
        <v/>
      </c>
      <c r="J435">
        <f>IF(data_bank_loan!I435="",NA(),data_bank_loan!I435)</f>
        <v/>
      </c>
    </row>
    <row r="436">
      <c r="I436">
        <f>data_bank_loan!G436+data_bank_loan!H436</f>
        <v/>
      </c>
      <c r="J436">
        <f>IF(data_bank_loan!I436="",NA(),data_bank_loan!I436)</f>
        <v/>
      </c>
    </row>
    <row r="437">
      <c r="I437">
        <f>data_bank_loan!G437+data_bank_loan!H437</f>
        <v/>
      </c>
      <c r="J437">
        <f>IF(data_bank_loan!I437="",NA(),data_bank_loan!I437)</f>
        <v/>
      </c>
    </row>
    <row r="438">
      <c r="I438">
        <f>data_bank_loan!G438+data_bank_loan!H438</f>
        <v/>
      </c>
      <c r="J438">
        <f>IF(data_bank_loan!I438="",NA(),data_bank_loan!I438)</f>
        <v/>
      </c>
    </row>
    <row r="439">
      <c r="I439">
        <f>data_bank_loan!G439+data_bank_loan!H439</f>
        <v/>
      </c>
      <c r="J439">
        <f>IF(data_bank_loan!I439="",NA(),data_bank_loan!I439)</f>
        <v/>
      </c>
    </row>
    <row r="440">
      <c r="I440">
        <f>data_bank_loan!G440+data_bank_loan!H440</f>
        <v/>
      </c>
      <c r="J440">
        <f>IF(data_bank_loan!I440="",NA(),data_bank_loan!I440)</f>
        <v/>
      </c>
    </row>
    <row r="441">
      <c r="I441">
        <f>data_bank_loan!G441+data_bank_loan!H441</f>
        <v/>
      </c>
      <c r="J441">
        <f>IF(data_bank_loan!I441="",NA(),data_bank_loan!I441)</f>
        <v/>
      </c>
    </row>
    <row r="442">
      <c r="I442">
        <f>data_bank_loan!G442+data_bank_loan!H442</f>
        <v/>
      </c>
      <c r="J442">
        <f>IF(data_bank_loan!I442="",NA(),data_bank_loan!I442)</f>
        <v/>
      </c>
    </row>
    <row r="443">
      <c r="I443">
        <f>data_bank_loan!G443+data_bank_loan!H443</f>
        <v/>
      </c>
      <c r="J443">
        <f>IF(data_bank_loan!I443="",NA(),data_bank_loan!I443)</f>
        <v/>
      </c>
    </row>
    <row r="444">
      <c r="I444">
        <f>data_bank_loan!G444+data_bank_loan!H444</f>
        <v/>
      </c>
      <c r="J444">
        <f>IF(data_bank_loan!I444="",NA(),data_bank_loan!I444)</f>
        <v/>
      </c>
    </row>
    <row r="445">
      <c r="I445">
        <f>data_bank_loan!G445+data_bank_loan!H445</f>
        <v/>
      </c>
      <c r="J445">
        <f>IF(data_bank_loan!I445="",NA(),data_bank_loan!I445)</f>
        <v/>
      </c>
    </row>
    <row r="446">
      <c r="I446">
        <f>data_bank_loan!G446+data_bank_loan!H446</f>
        <v/>
      </c>
      <c r="J446">
        <f>IF(data_bank_loan!I446="",NA(),data_bank_loan!I446)</f>
        <v/>
      </c>
    </row>
    <row r="447">
      <c r="I447">
        <f>data_bank_loan!G447+data_bank_loan!H447</f>
        <v/>
      </c>
      <c r="J447">
        <f>IF(data_bank_loan!I447="",NA(),data_bank_loan!I447)</f>
        <v/>
      </c>
    </row>
    <row r="448">
      <c r="I448">
        <f>data_bank_loan!G448+data_bank_loan!H448</f>
        <v/>
      </c>
      <c r="J448">
        <f>IF(data_bank_loan!I448="",NA(),data_bank_loan!I448)</f>
        <v/>
      </c>
    </row>
    <row r="449">
      <c r="I449">
        <f>data_bank_loan!G449+data_bank_loan!H449</f>
        <v/>
      </c>
      <c r="J449">
        <f>IF(data_bank_loan!I449="",NA(),data_bank_loan!I449)</f>
        <v/>
      </c>
    </row>
    <row r="450">
      <c r="I450">
        <f>data_bank_loan!G450+data_bank_loan!H450</f>
        <v/>
      </c>
      <c r="J450">
        <f>IF(data_bank_loan!I450="",NA(),data_bank_loan!I450)</f>
        <v/>
      </c>
    </row>
    <row r="451">
      <c r="I451">
        <f>data_bank_loan!G451+data_bank_loan!H451</f>
        <v/>
      </c>
      <c r="J451">
        <f>IF(data_bank_loan!I451="",NA(),data_bank_loan!I451)</f>
        <v/>
      </c>
    </row>
    <row r="452">
      <c r="I452">
        <f>data_bank_loan!G452+data_bank_loan!H452</f>
        <v/>
      </c>
      <c r="J452">
        <f>IF(data_bank_loan!I452="",NA(),data_bank_loan!I452)</f>
        <v/>
      </c>
    </row>
    <row r="453">
      <c r="I453">
        <f>data_bank_loan!G453+data_bank_loan!H453</f>
        <v/>
      </c>
      <c r="J453">
        <f>IF(data_bank_loan!I453="",NA(),data_bank_loan!I453)</f>
        <v/>
      </c>
    </row>
    <row r="454">
      <c r="I454">
        <f>data_bank_loan!G454+data_bank_loan!H454</f>
        <v/>
      </c>
      <c r="J454">
        <f>IF(data_bank_loan!I454="",NA(),data_bank_loan!I454)</f>
        <v/>
      </c>
    </row>
    <row r="455">
      <c r="I455">
        <f>data_bank_loan!G455+data_bank_loan!H455</f>
        <v/>
      </c>
      <c r="J455">
        <f>IF(data_bank_loan!I455="",NA(),data_bank_loan!I455)</f>
        <v/>
      </c>
    </row>
    <row r="456">
      <c r="I456">
        <f>data_bank_loan!G456+data_bank_loan!H456</f>
        <v/>
      </c>
      <c r="J456">
        <f>IF(data_bank_loan!I456="",NA(),data_bank_loan!I456)</f>
        <v/>
      </c>
    </row>
    <row r="457">
      <c r="I457">
        <f>data_bank_loan!G457+data_bank_loan!H457</f>
        <v/>
      </c>
      <c r="J457">
        <f>IF(data_bank_loan!I457="",NA(),data_bank_loan!I457)</f>
        <v/>
      </c>
    </row>
    <row r="458">
      <c r="I458">
        <f>data_bank_loan!G458+data_bank_loan!H458</f>
        <v/>
      </c>
      <c r="J458">
        <f>IF(data_bank_loan!I458="",NA(),data_bank_loan!I458)</f>
        <v/>
      </c>
    </row>
    <row r="459">
      <c r="I459">
        <f>data_bank_loan!G459+data_bank_loan!H459</f>
        <v/>
      </c>
      <c r="J459">
        <f>IF(data_bank_loan!I459="",NA(),data_bank_loan!I459)</f>
        <v/>
      </c>
    </row>
    <row r="460">
      <c r="I460">
        <f>data_bank_loan!G460+data_bank_loan!H460</f>
        <v/>
      </c>
      <c r="J460">
        <f>IF(data_bank_loan!I460="",NA(),data_bank_loan!I460)</f>
        <v/>
      </c>
    </row>
    <row r="461">
      <c r="I461">
        <f>data_bank_loan!G461+data_bank_loan!H461</f>
        <v/>
      </c>
      <c r="J461">
        <f>IF(data_bank_loan!I461="",NA(),data_bank_loan!I461)</f>
        <v/>
      </c>
    </row>
    <row r="462">
      <c r="I462">
        <f>data_bank_loan!G462+data_bank_loan!H462</f>
        <v/>
      </c>
      <c r="J462">
        <f>IF(data_bank_loan!I462="",NA(),data_bank_loan!I462)</f>
        <v/>
      </c>
    </row>
    <row r="463">
      <c r="I463">
        <f>data_bank_loan!G463+data_bank_loan!H463</f>
        <v/>
      </c>
      <c r="J463">
        <f>IF(data_bank_loan!I463="",NA(),data_bank_loan!I463)</f>
        <v/>
      </c>
    </row>
    <row r="464">
      <c r="I464">
        <f>data_bank_loan!G464+data_bank_loan!H464</f>
        <v/>
      </c>
      <c r="J464">
        <f>IF(data_bank_loan!I464="",NA(),data_bank_loan!I464)</f>
        <v/>
      </c>
    </row>
    <row r="465">
      <c r="I465">
        <f>data_bank_loan!G465+data_bank_loan!H465</f>
        <v/>
      </c>
      <c r="J465">
        <f>IF(data_bank_loan!I465="",NA(),data_bank_loan!I465)</f>
        <v/>
      </c>
    </row>
    <row r="466">
      <c r="I466">
        <f>data_bank_loan!G466+data_bank_loan!H466</f>
        <v/>
      </c>
      <c r="J466">
        <f>IF(data_bank_loan!I466="",NA(),data_bank_loan!I466)</f>
        <v/>
      </c>
    </row>
    <row r="467">
      <c r="I467">
        <f>data_bank_loan!G467+data_bank_loan!H467</f>
        <v/>
      </c>
      <c r="J467">
        <f>IF(data_bank_loan!I467="",NA(),data_bank_loan!I467)</f>
        <v/>
      </c>
    </row>
    <row r="468">
      <c r="I468">
        <f>data_bank_loan!G468+data_bank_loan!H468</f>
        <v/>
      </c>
      <c r="J468">
        <f>IF(data_bank_loan!I468="",NA(),data_bank_loan!I468)</f>
        <v/>
      </c>
    </row>
    <row r="469">
      <c r="I469">
        <f>data_bank_loan!G469+data_bank_loan!H469</f>
        <v/>
      </c>
      <c r="J469">
        <f>IF(data_bank_loan!I469="",NA(),data_bank_loan!I469)</f>
        <v/>
      </c>
    </row>
    <row r="470">
      <c r="I470">
        <f>data_bank_loan!G470+data_bank_loan!H470</f>
        <v/>
      </c>
      <c r="J470">
        <f>IF(data_bank_loan!I470="",NA(),data_bank_loan!I470)</f>
        <v/>
      </c>
    </row>
    <row r="471">
      <c r="I471">
        <f>data_bank_loan!G471+data_bank_loan!H471</f>
        <v/>
      </c>
      <c r="J471">
        <f>IF(data_bank_loan!I471="",NA(),data_bank_loan!I471)</f>
        <v/>
      </c>
    </row>
    <row r="472">
      <c r="I472">
        <f>data_bank_loan!G472+data_bank_loan!H472</f>
        <v/>
      </c>
      <c r="J472">
        <f>IF(data_bank_loan!I472="",NA(),data_bank_loan!I472)</f>
        <v/>
      </c>
    </row>
    <row r="473">
      <c r="I473">
        <f>data_bank_loan!G473+data_bank_loan!H473</f>
        <v/>
      </c>
      <c r="J473">
        <f>IF(data_bank_loan!I473="",NA(),data_bank_loan!I473)</f>
        <v/>
      </c>
    </row>
    <row r="474">
      <c r="I474">
        <f>data_bank_loan!G474+data_bank_loan!H474</f>
        <v/>
      </c>
      <c r="J474">
        <f>IF(data_bank_loan!I474="",NA(),data_bank_loan!I474)</f>
        <v/>
      </c>
    </row>
    <row r="475">
      <c r="I475">
        <f>data_bank_loan!G475+data_bank_loan!H475</f>
        <v/>
      </c>
      <c r="J475">
        <f>IF(data_bank_loan!I475="",NA(),data_bank_loan!I475)</f>
        <v/>
      </c>
    </row>
    <row r="476">
      <c r="I476">
        <f>data_bank_loan!G476+data_bank_loan!H476</f>
        <v/>
      </c>
      <c r="J476">
        <f>IF(data_bank_loan!I476="",NA(),data_bank_loan!I476)</f>
        <v/>
      </c>
    </row>
    <row r="477">
      <c r="I477">
        <f>data_bank_loan!G477+data_bank_loan!H477</f>
        <v/>
      </c>
      <c r="J477">
        <f>IF(data_bank_loan!I477="",NA(),data_bank_loan!I477)</f>
        <v/>
      </c>
    </row>
    <row r="478">
      <c r="I478">
        <f>data_bank_loan!G478+data_bank_loan!H478</f>
        <v/>
      </c>
      <c r="J478">
        <f>IF(data_bank_loan!I478="",NA(),data_bank_loan!I478)</f>
        <v/>
      </c>
    </row>
    <row r="479">
      <c r="I479">
        <f>data_bank_loan!G479+data_bank_loan!H479</f>
        <v/>
      </c>
      <c r="J479">
        <f>IF(data_bank_loan!I479="",NA(),data_bank_loan!I479)</f>
        <v/>
      </c>
    </row>
    <row r="480">
      <c r="I480">
        <f>data_bank_loan!G480+data_bank_loan!H480</f>
        <v/>
      </c>
      <c r="J480">
        <f>IF(data_bank_loan!I480="",NA(),data_bank_loan!I480)</f>
        <v/>
      </c>
    </row>
    <row r="481">
      <c r="I481">
        <f>data_bank_loan!G481+data_bank_loan!H481</f>
        <v/>
      </c>
      <c r="J481">
        <f>IF(data_bank_loan!I481="",NA(),data_bank_loan!I481)</f>
        <v/>
      </c>
    </row>
    <row r="482">
      <c r="I482">
        <f>data_bank_loan!G482+data_bank_loan!H482</f>
        <v/>
      </c>
      <c r="J482">
        <f>IF(data_bank_loan!I482="",NA(),data_bank_loan!I482)</f>
        <v/>
      </c>
    </row>
    <row r="483">
      <c r="I483">
        <f>data_bank_loan!G483+data_bank_loan!H483</f>
        <v/>
      </c>
      <c r="J483">
        <f>IF(data_bank_loan!I483="",NA(),data_bank_loan!I483)</f>
        <v/>
      </c>
    </row>
    <row r="484">
      <c r="I484">
        <f>data_bank_loan!G484+data_bank_loan!H484</f>
        <v/>
      </c>
      <c r="J484">
        <f>IF(data_bank_loan!I484="",NA(),data_bank_loan!I484)</f>
        <v/>
      </c>
    </row>
    <row r="485">
      <c r="I485">
        <f>data_bank_loan!G485+data_bank_loan!H485</f>
        <v/>
      </c>
      <c r="J485">
        <f>IF(data_bank_loan!I485="",NA(),data_bank_loan!I485)</f>
        <v/>
      </c>
    </row>
    <row r="486">
      <c r="I486">
        <f>data_bank_loan!G486+data_bank_loan!H486</f>
        <v/>
      </c>
      <c r="J486">
        <f>IF(data_bank_loan!I486="",NA(),data_bank_loan!I486)</f>
        <v/>
      </c>
    </row>
    <row r="487">
      <c r="I487">
        <f>data_bank_loan!G487+data_bank_loan!H487</f>
        <v/>
      </c>
      <c r="J487">
        <f>IF(data_bank_loan!I487="",NA(),data_bank_loan!I487)</f>
        <v/>
      </c>
    </row>
    <row r="488">
      <c r="I488">
        <f>data_bank_loan!G488+data_bank_loan!H488</f>
        <v/>
      </c>
      <c r="J488">
        <f>IF(data_bank_loan!I488="",NA(),data_bank_loan!I488)</f>
        <v/>
      </c>
    </row>
    <row r="489">
      <c r="I489">
        <f>data_bank_loan!G489+data_bank_loan!H489</f>
        <v/>
      </c>
      <c r="J489">
        <f>IF(data_bank_loan!I489="",NA(),data_bank_loan!I489)</f>
        <v/>
      </c>
    </row>
    <row r="490">
      <c r="I490">
        <f>data_bank_loan!G490+data_bank_loan!H490</f>
        <v/>
      </c>
      <c r="J490">
        <f>IF(data_bank_loan!I490="",NA(),data_bank_loan!I490)</f>
        <v/>
      </c>
    </row>
    <row r="491">
      <c r="I491">
        <f>data_bank_loan!G491+data_bank_loan!H491</f>
        <v/>
      </c>
      <c r="J491">
        <f>IF(data_bank_loan!I491="",NA(),data_bank_loan!I491)</f>
        <v/>
      </c>
    </row>
    <row r="492">
      <c r="I492">
        <f>data_bank_loan!G492+data_bank_loan!H492</f>
        <v/>
      </c>
      <c r="J492">
        <f>IF(data_bank_loan!I492="",NA(),data_bank_loan!I492)</f>
        <v/>
      </c>
    </row>
    <row r="493">
      <c r="I493">
        <f>data_bank_loan!G493+data_bank_loan!H493</f>
        <v/>
      </c>
      <c r="J493">
        <f>IF(data_bank_loan!I493="",NA(),data_bank_loan!I493)</f>
        <v/>
      </c>
    </row>
    <row r="494">
      <c r="I494">
        <f>data_bank_loan!G494+data_bank_loan!H494</f>
        <v/>
      </c>
      <c r="J494">
        <f>IF(data_bank_loan!I494="",NA(),data_bank_loan!I494)</f>
        <v/>
      </c>
    </row>
    <row r="495">
      <c r="I495">
        <f>data_bank_loan!G495+data_bank_loan!H495</f>
        <v/>
      </c>
      <c r="J495">
        <f>IF(data_bank_loan!I495="",NA(),data_bank_loan!I495)</f>
        <v/>
      </c>
    </row>
    <row r="496">
      <c r="I496">
        <f>data_bank_loan!G496+data_bank_loan!H496</f>
        <v/>
      </c>
      <c r="J496">
        <f>IF(data_bank_loan!I496="",NA(),data_bank_loan!I496)</f>
        <v/>
      </c>
    </row>
    <row r="497">
      <c r="I497">
        <f>data_bank_loan!G497+data_bank_loan!H497</f>
        <v/>
      </c>
      <c r="J497">
        <f>IF(data_bank_loan!I497="",NA(),data_bank_loan!I497)</f>
        <v/>
      </c>
    </row>
    <row r="498">
      <c r="I498">
        <f>data_bank_loan!G498+data_bank_loan!H498</f>
        <v/>
      </c>
      <c r="J498">
        <f>IF(data_bank_loan!I498="",NA(),data_bank_loan!I498)</f>
        <v/>
      </c>
    </row>
    <row r="499">
      <c r="I499">
        <f>data_bank_loan!G499+data_bank_loan!H499</f>
        <v/>
      </c>
      <c r="J499">
        <f>IF(data_bank_loan!I499="",NA(),data_bank_loan!I499)</f>
        <v/>
      </c>
    </row>
    <row r="500">
      <c r="I500">
        <f>data_bank_loan!G500+data_bank_loan!H500</f>
        <v/>
      </c>
      <c r="J500">
        <f>IF(data_bank_loan!I500="",NA(),data_bank_loan!I500)</f>
        <v/>
      </c>
    </row>
    <row r="501">
      <c r="I501">
        <f>data_bank_loan!G501+data_bank_loan!H501</f>
        <v/>
      </c>
      <c r="J501">
        <f>IF(data_bank_loan!I501="",NA(),data_bank_loan!I501)</f>
        <v/>
      </c>
    </row>
    <row r="502">
      <c r="I502">
        <f>data_bank_loan!G502+data_bank_loan!H502</f>
        <v/>
      </c>
      <c r="J502">
        <f>IF(data_bank_loan!I502="",NA(),data_bank_loan!I502)</f>
        <v/>
      </c>
    </row>
    <row r="503">
      <c r="I503">
        <f>data_bank_loan!G503+data_bank_loan!H503</f>
        <v/>
      </c>
      <c r="J503">
        <f>IF(data_bank_loan!I503="",NA(),data_bank_loan!I503)</f>
        <v/>
      </c>
    </row>
    <row r="504">
      <c r="I504">
        <f>data_bank_loan!G504+data_bank_loan!H504</f>
        <v/>
      </c>
      <c r="J504">
        <f>IF(data_bank_loan!I504="",NA(),data_bank_loan!I504)</f>
        <v/>
      </c>
    </row>
    <row r="505">
      <c r="I505">
        <f>data_bank_loan!G505+data_bank_loan!H505</f>
        <v/>
      </c>
      <c r="J505">
        <f>IF(data_bank_loan!I505="",NA(),data_bank_loan!I505)</f>
        <v/>
      </c>
    </row>
    <row r="506">
      <c r="I506">
        <f>data_bank_loan!G506+data_bank_loan!H506</f>
        <v/>
      </c>
      <c r="J506">
        <f>IF(data_bank_loan!I506="",NA(),data_bank_loan!I506)</f>
        <v/>
      </c>
    </row>
    <row r="507">
      <c r="I507">
        <f>data_bank_loan!G507+data_bank_loan!H507</f>
        <v/>
      </c>
      <c r="J507">
        <f>IF(data_bank_loan!I507="",NA(),data_bank_loan!I507)</f>
        <v/>
      </c>
    </row>
    <row r="508">
      <c r="I508">
        <f>data_bank_loan!G508+data_bank_loan!H508</f>
        <v/>
      </c>
      <c r="J508">
        <f>IF(data_bank_loan!I508="",NA(),data_bank_loan!I508)</f>
        <v/>
      </c>
    </row>
    <row r="509">
      <c r="I509">
        <f>data_bank_loan!G509+data_bank_loan!H509</f>
        <v/>
      </c>
      <c r="J509">
        <f>IF(data_bank_loan!I509="",NA(),data_bank_loan!I509)</f>
        <v/>
      </c>
    </row>
    <row r="510">
      <c r="I510">
        <f>data_bank_loan!G510+data_bank_loan!H510</f>
        <v/>
      </c>
      <c r="J510">
        <f>IF(data_bank_loan!I510="",NA(),data_bank_loan!I510)</f>
        <v/>
      </c>
    </row>
    <row r="511">
      <c r="I511">
        <f>data_bank_loan!G511+data_bank_loan!H511</f>
        <v/>
      </c>
      <c r="J511">
        <f>IF(data_bank_loan!I511="",NA(),data_bank_loan!I511)</f>
        <v/>
      </c>
    </row>
    <row r="512">
      <c r="I512">
        <f>data_bank_loan!G512+data_bank_loan!H512</f>
        <v/>
      </c>
      <c r="J512">
        <f>IF(data_bank_loan!I512="",NA(),data_bank_loan!I512)</f>
        <v/>
      </c>
    </row>
    <row r="513">
      <c r="I513">
        <f>data_bank_loan!G513+data_bank_loan!H513</f>
        <v/>
      </c>
      <c r="J513">
        <f>IF(data_bank_loan!I513="",NA(),data_bank_loan!I513)</f>
        <v/>
      </c>
    </row>
    <row r="514">
      <c r="I514">
        <f>data_bank_loan!G514+data_bank_loan!H514</f>
        <v/>
      </c>
      <c r="J514">
        <f>IF(data_bank_loan!I514="",NA(),data_bank_loan!I514)</f>
        <v/>
      </c>
    </row>
    <row r="515">
      <c r="I515">
        <f>data_bank_loan!G515+data_bank_loan!H515</f>
        <v/>
      </c>
      <c r="J515">
        <f>IF(data_bank_loan!I515="",NA(),data_bank_loan!I515)</f>
        <v/>
      </c>
    </row>
    <row r="516">
      <c r="I516">
        <f>data_bank_loan!G516+data_bank_loan!H516</f>
        <v/>
      </c>
      <c r="J516">
        <f>IF(data_bank_loan!I516="",NA(),data_bank_loan!I516)</f>
        <v/>
      </c>
    </row>
    <row r="517">
      <c r="I517">
        <f>data_bank_loan!G517+data_bank_loan!H517</f>
        <v/>
      </c>
      <c r="J517">
        <f>IF(data_bank_loan!I517="",NA(),data_bank_loan!I517)</f>
        <v/>
      </c>
    </row>
    <row r="518">
      <c r="I518">
        <f>data_bank_loan!G518+data_bank_loan!H518</f>
        <v/>
      </c>
      <c r="J518">
        <f>IF(data_bank_loan!I518="",NA(),data_bank_loan!I518)</f>
        <v/>
      </c>
    </row>
    <row r="519">
      <c r="I519">
        <f>data_bank_loan!G519+data_bank_loan!H519</f>
        <v/>
      </c>
      <c r="J519">
        <f>IF(data_bank_loan!I519="",NA(),data_bank_loan!I519)</f>
        <v/>
      </c>
    </row>
    <row r="520">
      <c r="I520">
        <f>data_bank_loan!G520+data_bank_loan!H520</f>
        <v/>
      </c>
      <c r="J520">
        <f>IF(data_bank_loan!I520="",NA(),data_bank_loan!I520)</f>
        <v/>
      </c>
    </row>
    <row r="521">
      <c r="I521">
        <f>data_bank_loan!G521+data_bank_loan!H521</f>
        <v/>
      </c>
      <c r="J521">
        <f>IF(data_bank_loan!I521="",NA(),data_bank_loan!I521)</f>
        <v/>
      </c>
    </row>
    <row r="522">
      <c r="I522">
        <f>data_bank_loan!G522+data_bank_loan!H522</f>
        <v/>
      </c>
      <c r="J522">
        <f>IF(data_bank_loan!I522="",NA(),data_bank_loan!I522)</f>
        <v/>
      </c>
    </row>
    <row r="523">
      <c r="I523">
        <f>data_bank_loan!G523+data_bank_loan!H523</f>
        <v/>
      </c>
      <c r="J523">
        <f>IF(data_bank_loan!I523="",NA(),data_bank_loan!I523)</f>
        <v/>
      </c>
    </row>
    <row r="524">
      <c r="I524">
        <f>data_bank_loan!G524+data_bank_loan!H524</f>
        <v/>
      </c>
      <c r="J524">
        <f>IF(data_bank_loan!I524="",NA(),data_bank_loan!I524)</f>
        <v/>
      </c>
    </row>
    <row r="525">
      <c r="I525">
        <f>data_bank_loan!G525+data_bank_loan!H525</f>
        <v/>
      </c>
      <c r="J525">
        <f>IF(data_bank_loan!I525="",NA(),data_bank_loan!I525)</f>
        <v/>
      </c>
    </row>
    <row r="526">
      <c r="I526">
        <f>data_bank_loan!G526+data_bank_loan!H526</f>
        <v/>
      </c>
      <c r="J526">
        <f>IF(data_bank_loan!I526="",NA(),data_bank_loan!I526)</f>
        <v/>
      </c>
    </row>
    <row r="527">
      <c r="I527">
        <f>data_bank_loan!G527+data_bank_loan!H527</f>
        <v/>
      </c>
      <c r="J527">
        <f>IF(data_bank_loan!I527="",NA(),data_bank_loan!I527)</f>
        <v/>
      </c>
    </row>
    <row r="528">
      <c r="I528">
        <f>data_bank_loan!G528+data_bank_loan!H528</f>
        <v/>
      </c>
      <c r="J528">
        <f>IF(data_bank_loan!I528="",NA(),data_bank_loan!I528)</f>
        <v/>
      </c>
    </row>
    <row r="529">
      <c r="I529">
        <f>data_bank_loan!G529+data_bank_loan!H529</f>
        <v/>
      </c>
      <c r="J529">
        <f>IF(data_bank_loan!I529="",NA(),data_bank_loan!I529)</f>
        <v/>
      </c>
    </row>
    <row r="530">
      <c r="I530">
        <f>data_bank_loan!G530+data_bank_loan!H530</f>
        <v/>
      </c>
      <c r="J530">
        <f>IF(data_bank_loan!I530="",NA(),data_bank_loan!I530)</f>
        <v/>
      </c>
    </row>
    <row r="531">
      <c r="I531">
        <f>data_bank_loan!G531+data_bank_loan!H531</f>
        <v/>
      </c>
      <c r="J531">
        <f>IF(data_bank_loan!I531="",NA(),data_bank_loan!I531)</f>
        <v/>
      </c>
    </row>
    <row r="532">
      <c r="I532">
        <f>data_bank_loan!G532+data_bank_loan!H532</f>
        <v/>
      </c>
      <c r="J532">
        <f>IF(data_bank_loan!I532="",NA(),data_bank_loan!I532)</f>
        <v/>
      </c>
    </row>
    <row r="533">
      <c r="I533">
        <f>data_bank_loan!G533+data_bank_loan!H533</f>
        <v/>
      </c>
      <c r="J533">
        <f>IF(data_bank_loan!I533="",NA(),data_bank_loan!I533)</f>
        <v/>
      </c>
    </row>
    <row r="534">
      <c r="I534">
        <f>data_bank_loan!G534+data_bank_loan!H534</f>
        <v/>
      </c>
      <c r="J534">
        <f>IF(data_bank_loan!I534="",NA(),data_bank_loan!I534)</f>
        <v/>
      </c>
    </row>
    <row r="535">
      <c r="I535">
        <f>data_bank_loan!G535+data_bank_loan!H535</f>
        <v/>
      </c>
      <c r="J535">
        <f>IF(data_bank_loan!I535="",NA(),data_bank_loan!I535)</f>
        <v/>
      </c>
    </row>
    <row r="536">
      <c r="I536">
        <f>data_bank_loan!G536+data_bank_loan!H536</f>
        <v/>
      </c>
      <c r="J536">
        <f>IF(data_bank_loan!I536="",NA(),data_bank_loan!I536)</f>
        <v/>
      </c>
    </row>
    <row r="537">
      <c r="I537">
        <f>data_bank_loan!G537+data_bank_loan!H537</f>
        <v/>
      </c>
      <c r="J537">
        <f>IF(data_bank_loan!I537="",NA(),data_bank_loan!I537)</f>
        <v/>
      </c>
    </row>
    <row r="538">
      <c r="I538">
        <f>data_bank_loan!G538+data_bank_loan!H538</f>
        <v/>
      </c>
      <c r="J538">
        <f>IF(data_bank_loan!I538="",NA(),data_bank_loan!I538)</f>
        <v/>
      </c>
    </row>
    <row r="539">
      <c r="I539">
        <f>data_bank_loan!G539+data_bank_loan!H539</f>
        <v/>
      </c>
      <c r="J539">
        <f>IF(data_bank_loan!I539="",NA(),data_bank_loan!I539)</f>
        <v/>
      </c>
    </row>
    <row r="540">
      <c r="I540">
        <f>data_bank_loan!G540+data_bank_loan!H540</f>
        <v/>
      </c>
      <c r="J540">
        <f>IF(data_bank_loan!I540="",NA(),data_bank_loan!I540)</f>
        <v/>
      </c>
    </row>
    <row r="541">
      <c r="I541">
        <f>data_bank_loan!G541+data_bank_loan!H541</f>
        <v/>
      </c>
      <c r="J541">
        <f>IF(data_bank_loan!I541="",NA(),data_bank_loan!I541)</f>
        <v/>
      </c>
    </row>
    <row r="542">
      <c r="I542">
        <f>data_bank_loan!G542+data_bank_loan!H542</f>
        <v/>
      </c>
      <c r="J542">
        <f>IF(data_bank_loan!I542="",NA(),data_bank_loan!I542)</f>
        <v/>
      </c>
    </row>
    <row r="543">
      <c r="I543">
        <f>data_bank_loan!G543+data_bank_loan!H543</f>
        <v/>
      </c>
      <c r="J543">
        <f>IF(data_bank_loan!I543="",NA(),data_bank_loan!I543)</f>
        <v/>
      </c>
    </row>
    <row r="544">
      <c r="I544">
        <f>data_bank_loan!G544+data_bank_loan!H544</f>
        <v/>
      </c>
      <c r="J544">
        <f>IF(data_bank_loan!I544="",NA(),data_bank_loan!I544)</f>
        <v/>
      </c>
    </row>
    <row r="545">
      <c r="I545">
        <f>data_bank_loan!G545+data_bank_loan!H545</f>
        <v/>
      </c>
      <c r="J545">
        <f>IF(data_bank_loan!I545="",NA(),data_bank_loan!I545)</f>
        <v/>
      </c>
    </row>
    <row r="546">
      <c r="I546">
        <f>data_bank_loan!G546+data_bank_loan!H546</f>
        <v/>
      </c>
      <c r="J546">
        <f>IF(data_bank_loan!I546="",NA(),data_bank_loan!I546)</f>
        <v/>
      </c>
    </row>
    <row r="547">
      <c r="I547">
        <f>data_bank_loan!G547+data_bank_loan!H547</f>
        <v/>
      </c>
      <c r="J547">
        <f>IF(data_bank_loan!I547="",NA(),data_bank_loan!I547)</f>
        <v/>
      </c>
    </row>
    <row r="548">
      <c r="I548">
        <f>data_bank_loan!G548+data_bank_loan!H548</f>
        <v/>
      </c>
      <c r="J548">
        <f>IF(data_bank_loan!I548="",NA(),data_bank_loan!I548)</f>
        <v/>
      </c>
    </row>
    <row r="549">
      <c r="I549">
        <f>data_bank_loan!G549+data_bank_loan!H549</f>
        <v/>
      </c>
      <c r="J549">
        <f>IF(data_bank_loan!I549="",NA(),data_bank_loan!I549)</f>
        <v/>
      </c>
    </row>
    <row r="550">
      <c r="I550">
        <f>data_bank_loan!G550+data_bank_loan!H550</f>
        <v/>
      </c>
      <c r="J550">
        <f>IF(data_bank_loan!I550="",NA(),data_bank_loan!I550)</f>
        <v/>
      </c>
    </row>
    <row r="551">
      <c r="I551">
        <f>data_bank_loan!G551+data_bank_loan!H551</f>
        <v/>
      </c>
      <c r="J551">
        <f>IF(data_bank_loan!I551="",NA(),data_bank_loan!I551)</f>
        <v/>
      </c>
    </row>
    <row r="552">
      <c r="I552">
        <f>data_bank_loan!G552+data_bank_loan!H552</f>
        <v/>
      </c>
      <c r="J552">
        <f>IF(data_bank_loan!I552="",NA(),data_bank_loan!I552)</f>
        <v/>
      </c>
    </row>
    <row r="553">
      <c r="I553">
        <f>data_bank_loan!G553+data_bank_loan!H553</f>
        <v/>
      </c>
      <c r="J553">
        <f>IF(data_bank_loan!I553="",NA(),data_bank_loan!I553)</f>
        <v/>
      </c>
    </row>
    <row r="554">
      <c r="I554">
        <f>data_bank_loan!G554+data_bank_loan!H554</f>
        <v/>
      </c>
      <c r="J554">
        <f>IF(data_bank_loan!I554="",NA(),data_bank_loan!I554)</f>
        <v/>
      </c>
    </row>
    <row r="555">
      <c r="I555">
        <f>data_bank_loan!G555+data_bank_loan!H555</f>
        <v/>
      </c>
      <c r="J555">
        <f>IF(data_bank_loan!I555="",NA(),data_bank_loan!I555)</f>
        <v/>
      </c>
    </row>
    <row r="556">
      <c r="I556">
        <f>data_bank_loan!G556+data_bank_loan!H556</f>
        <v/>
      </c>
      <c r="J556">
        <f>IF(data_bank_loan!I556="",NA(),data_bank_loan!I556)</f>
        <v/>
      </c>
    </row>
    <row r="557">
      <c r="I557">
        <f>data_bank_loan!G557+data_bank_loan!H557</f>
        <v/>
      </c>
      <c r="J557">
        <f>IF(data_bank_loan!I557="",NA(),data_bank_loan!I557)</f>
        <v/>
      </c>
    </row>
    <row r="558">
      <c r="I558">
        <f>data_bank_loan!G558+data_bank_loan!H558</f>
        <v/>
      </c>
      <c r="J558">
        <f>IF(data_bank_loan!I558="",NA(),data_bank_loan!I558)</f>
        <v/>
      </c>
    </row>
    <row r="559">
      <c r="I559">
        <f>data_bank_loan!G559+data_bank_loan!H559</f>
        <v/>
      </c>
      <c r="J559">
        <f>IF(data_bank_loan!I559="",NA(),data_bank_loan!I559)</f>
        <v/>
      </c>
    </row>
    <row r="560">
      <c r="I560">
        <f>data_bank_loan!G560+data_bank_loan!H560</f>
        <v/>
      </c>
      <c r="J560">
        <f>IF(data_bank_loan!I560="",NA(),data_bank_loan!I560)</f>
        <v/>
      </c>
    </row>
    <row r="561">
      <c r="I561">
        <f>data_bank_loan!G561+data_bank_loan!H561</f>
        <v/>
      </c>
      <c r="J561">
        <f>IF(data_bank_loan!I561="",NA(),data_bank_loan!I561)</f>
        <v/>
      </c>
    </row>
    <row r="562">
      <c r="I562">
        <f>data_bank_loan!G562+data_bank_loan!H562</f>
        <v/>
      </c>
      <c r="J562">
        <f>IF(data_bank_loan!I562="",NA(),data_bank_loan!I562)</f>
        <v/>
      </c>
    </row>
    <row r="563">
      <c r="I563">
        <f>data_bank_loan!G563+data_bank_loan!H563</f>
        <v/>
      </c>
      <c r="J563">
        <f>IF(data_bank_loan!I563="",NA(),data_bank_loan!I563)</f>
        <v/>
      </c>
    </row>
    <row r="564">
      <c r="I564">
        <f>data_bank_loan!G564+data_bank_loan!H564</f>
        <v/>
      </c>
      <c r="J564">
        <f>IF(data_bank_loan!I564="",NA(),data_bank_loan!I564)</f>
        <v/>
      </c>
    </row>
    <row r="565">
      <c r="I565">
        <f>data_bank_loan!G565+data_bank_loan!H565</f>
        <v/>
      </c>
      <c r="J565">
        <f>IF(data_bank_loan!I565="",NA(),data_bank_loan!I565)</f>
        <v/>
      </c>
    </row>
    <row r="566">
      <c r="I566">
        <f>data_bank_loan!G566+data_bank_loan!H566</f>
        <v/>
      </c>
      <c r="J566">
        <f>IF(data_bank_loan!I566="",NA(),data_bank_loan!I566)</f>
        <v/>
      </c>
    </row>
    <row r="567">
      <c r="I567">
        <f>data_bank_loan!G567+data_bank_loan!H567</f>
        <v/>
      </c>
      <c r="J567">
        <f>IF(data_bank_loan!I567="",NA(),data_bank_loan!I567)</f>
        <v/>
      </c>
    </row>
    <row r="568">
      <c r="I568">
        <f>data_bank_loan!G568+data_bank_loan!H568</f>
        <v/>
      </c>
      <c r="J568">
        <f>IF(data_bank_loan!I568="",NA(),data_bank_loan!I568)</f>
        <v/>
      </c>
    </row>
    <row r="569">
      <c r="I569">
        <f>data_bank_loan!G569+data_bank_loan!H569</f>
        <v/>
      </c>
      <c r="J569">
        <f>IF(data_bank_loan!I569="",NA(),data_bank_loan!I569)</f>
        <v/>
      </c>
    </row>
    <row r="570">
      <c r="I570">
        <f>data_bank_loan!G570+data_bank_loan!H570</f>
        <v/>
      </c>
      <c r="J570">
        <f>IF(data_bank_loan!I570="",NA(),data_bank_loan!I570)</f>
        <v/>
      </c>
    </row>
    <row r="571">
      <c r="I571">
        <f>data_bank_loan!G571+data_bank_loan!H571</f>
        <v/>
      </c>
      <c r="J571">
        <f>IF(data_bank_loan!I571="",NA(),data_bank_loan!I571)</f>
        <v/>
      </c>
    </row>
    <row r="572">
      <c r="I572">
        <f>data_bank_loan!G572+data_bank_loan!H572</f>
        <v/>
      </c>
      <c r="J572">
        <f>IF(data_bank_loan!I572="",NA(),data_bank_loan!I572)</f>
        <v/>
      </c>
    </row>
    <row r="573">
      <c r="I573">
        <f>data_bank_loan!G573+data_bank_loan!H573</f>
        <v/>
      </c>
      <c r="J573">
        <f>IF(data_bank_loan!I573="",NA(),data_bank_loan!I573)</f>
        <v/>
      </c>
    </row>
    <row r="574">
      <c r="I574">
        <f>data_bank_loan!G574+data_bank_loan!H574</f>
        <v/>
      </c>
      <c r="J574">
        <f>IF(data_bank_loan!I574="",NA(),data_bank_loan!I574)</f>
        <v/>
      </c>
    </row>
    <row r="575">
      <c r="I575">
        <f>data_bank_loan!G575+data_bank_loan!H575</f>
        <v/>
      </c>
      <c r="J575">
        <f>IF(data_bank_loan!I575="",NA(),data_bank_loan!I575)</f>
        <v/>
      </c>
    </row>
    <row r="576">
      <c r="I576">
        <f>data_bank_loan!G576+data_bank_loan!H576</f>
        <v/>
      </c>
      <c r="J576">
        <f>IF(data_bank_loan!I576="",NA(),data_bank_loan!I576)</f>
        <v/>
      </c>
    </row>
    <row r="577">
      <c r="I577">
        <f>data_bank_loan!G577+data_bank_loan!H577</f>
        <v/>
      </c>
      <c r="J577">
        <f>IF(data_bank_loan!I577="",NA(),data_bank_loan!I577)</f>
        <v/>
      </c>
    </row>
    <row r="578">
      <c r="I578">
        <f>data_bank_loan!G578+data_bank_loan!H578</f>
        <v/>
      </c>
      <c r="J578">
        <f>IF(data_bank_loan!I578="",NA(),data_bank_loan!I578)</f>
        <v/>
      </c>
    </row>
    <row r="579">
      <c r="I579">
        <f>data_bank_loan!G579+data_bank_loan!H579</f>
        <v/>
      </c>
      <c r="J579">
        <f>IF(data_bank_loan!I579="",NA(),data_bank_loan!I579)</f>
        <v/>
      </c>
    </row>
    <row r="580">
      <c r="I580">
        <f>data_bank_loan!G580+data_bank_loan!H580</f>
        <v/>
      </c>
      <c r="J580">
        <f>IF(data_bank_loan!I580="",NA(),data_bank_loan!I580)</f>
        <v/>
      </c>
    </row>
    <row r="581">
      <c r="I581">
        <f>data_bank_loan!G581+data_bank_loan!H581</f>
        <v/>
      </c>
      <c r="J581">
        <f>IF(data_bank_loan!I581="",NA(),data_bank_loan!I581)</f>
        <v/>
      </c>
    </row>
    <row r="582">
      <c r="I582">
        <f>data_bank_loan!G582+data_bank_loan!H582</f>
        <v/>
      </c>
      <c r="J582">
        <f>IF(data_bank_loan!I582="",NA(),data_bank_loan!I582)</f>
        <v/>
      </c>
    </row>
    <row r="583">
      <c r="I583">
        <f>data_bank_loan!G583+data_bank_loan!H583</f>
        <v/>
      </c>
      <c r="J583">
        <f>IF(data_bank_loan!I583="",NA(),data_bank_loan!I583)</f>
        <v/>
      </c>
    </row>
    <row r="584">
      <c r="I584">
        <f>data_bank_loan!G584+data_bank_loan!H584</f>
        <v/>
      </c>
      <c r="J584">
        <f>IF(data_bank_loan!I584="",NA(),data_bank_loan!I584)</f>
        <v/>
      </c>
    </row>
    <row r="585">
      <c r="I585">
        <f>data_bank_loan!G585+data_bank_loan!H585</f>
        <v/>
      </c>
      <c r="J585">
        <f>IF(data_bank_loan!I585="",NA(),data_bank_loan!I585)</f>
        <v/>
      </c>
    </row>
    <row r="586">
      <c r="I586">
        <f>data_bank_loan!G586+data_bank_loan!H586</f>
        <v/>
      </c>
      <c r="J586">
        <f>IF(data_bank_loan!I586="",NA(),data_bank_loan!I586)</f>
        <v/>
      </c>
    </row>
    <row r="587">
      <c r="I587">
        <f>data_bank_loan!G587+data_bank_loan!H587</f>
        <v/>
      </c>
      <c r="J587">
        <f>IF(data_bank_loan!I587="",NA(),data_bank_loan!I587)</f>
        <v/>
      </c>
    </row>
    <row r="588">
      <c r="I588">
        <f>data_bank_loan!G588+data_bank_loan!H588</f>
        <v/>
      </c>
      <c r="J588">
        <f>IF(data_bank_loan!I588="",NA(),data_bank_loan!I588)</f>
        <v/>
      </c>
    </row>
    <row r="589">
      <c r="I589">
        <f>data_bank_loan!G589+data_bank_loan!H589</f>
        <v/>
      </c>
      <c r="J589">
        <f>IF(data_bank_loan!I589="",NA(),data_bank_loan!I589)</f>
        <v/>
      </c>
    </row>
    <row r="590">
      <c r="I590">
        <f>data_bank_loan!G590+data_bank_loan!H590</f>
        <v/>
      </c>
      <c r="J590">
        <f>IF(data_bank_loan!I590="",NA(),data_bank_loan!I590)</f>
        <v/>
      </c>
    </row>
    <row r="591">
      <c r="I591">
        <f>data_bank_loan!G591+data_bank_loan!H591</f>
        <v/>
      </c>
      <c r="J591">
        <f>IF(data_bank_loan!I591="",NA(),data_bank_loan!I591)</f>
        <v/>
      </c>
    </row>
    <row r="592">
      <c r="I592">
        <f>data_bank_loan!G592+data_bank_loan!H592</f>
        <v/>
      </c>
      <c r="J592">
        <f>IF(data_bank_loan!I592="",NA(),data_bank_loan!I592)</f>
        <v/>
      </c>
    </row>
    <row r="593">
      <c r="I593">
        <f>data_bank_loan!G593+data_bank_loan!H593</f>
        <v/>
      </c>
      <c r="J593">
        <f>IF(data_bank_loan!I593="",NA(),data_bank_loan!I593)</f>
        <v/>
      </c>
    </row>
    <row r="594">
      <c r="I594">
        <f>data_bank_loan!G594+data_bank_loan!H594</f>
        <v/>
      </c>
      <c r="J594">
        <f>IF(data_bank_loan!I594="",NA(),data_bank_loan!I594)</f>
        <v/>
      </c>
    </row>
    <row r="595">
      <c r="I595">
        <f>data_bank_loan!G595+data_bank_loan!H595</f>
        <v/>
      </c>
      <c r="J595">
        <f>IF(data_bank_loan!I595="",NA(),data_bank_loan!I595)</f>
        <v/>
      </c>
    </row>
    <row r="596">
      <c r="I596">
        <f>data_bank_loan!G596+data_bank_loan!H596</f>
        <v/>
      </c>
      <c r="J596">
        <f>IF(data_bank_loan!I596="",NA(),data_bank_loan!I596)</f>
        <v/>
      </c>
    </row>
    <row r="597">
      <c r="I597">
        <f>data_bank_loan!G597+data_bank_loan!H597</f>
        <v/>
      </c>
      <c r="J597">
        <f>IF(data_bank_loan!I597="",NA(),data_bank_loan!I597)</f>
        <v/>
      </c>
    </row>
    <row r="598">
      <c r="I598">
        <f>data_bank_loan!G598+data_bank_loan!H598</f>
        <v/>
      </c>
      <c r="J598">
        <f>IF(data_bank_loan!I598="",NA(),data_bank_loan!I598)</f>
        <v/>
      </c>
    </row>
    <row r="599">
      <c r="I599">
        <f>data_bank_loan!G599+data_bank_loan!H599</f>
        <v/>
      </c>
      <c r="J599">
        <f>IF(data_bank_loan!I599="",NA(),data_bank_loan!I599)</f>
        <v/>
      </c>
    </row>
    <row r="600">
      <c r="I600">
        <f>data_bank_loan!G600+data_bank_loan!H600</f>
        <v/>
      </c>
      <c r="J600">
        <f>IF(data_bank_loan!I600="",NA(),data_bank_loan!I600)</f>
        <v/>
      </c>
    </row>
    <row r="601">
      <c r="I601">
        <f>data_bank_loan!G601+data_bank_loan!H601</f>
        <v/>
      </c>
      <c r="J601">
        <f>IF(data_bank_loan!I601="",NA(),data_bank_loan!I601)</f>
        <v/>
      </c>
    </row>
    <row r="602">
      <c r="I602">
        <f>data_bank_loan!G602+data_bank_loan!H602</f>
        <v/>
      </c>
      <c r="J602">
        <f>IF(data_bank_loan!I602="",NA(),data_bank_loan!I602)</f>
        <v/>
      </c>
    </row>
    <row r="603">
      <c r="I603">
        <f>data_bank_loan!G603+data_bank_loan!H603</f>
        <v/>
      </c>
      <c r="J603">
        <f>IF(data_bank_loan!I603="",NA(),data_bank_loan!I603)</f>
        <v/>
      </c>
    </row>
    <row r="604">
      <c r="I604">
        <f>data_bank_loan!G604+data_bank_loan!H604</f>
        <v/>
      </c>
      <c r="J604">
        <f>IF(data_bank_loan!I604="",NA(),data_bank_loan!I604)</f>
        <v/>
      </c>
    </row>
    <row r="605">
      <c r="I605">
        <f>data_bank_loan!G605+data_bank_loan!H605</f>
        <v/>
      </c>
      <c r="J605">
        <f>IF(data_bank_loan!I605="",NA(),data_bank_loan!I605)</f>
        <v/>
      </c>
    </row>
    <row r="606">
      <c r="I606">
        <f>data_bank_loan!G606+data_bank_loan!H606</f>
        <v/>
      </c>
      <c r="J606">
        <f>IF(data_bank_loan!I606="",NA(),data_bank_loan!I606)</f>
        <v/>
      </c>
    </row>
    <row r="607">
      <c r="I607">
        <f>data_bank_loan!G607+data_bank_loan!H607</f>
        <v/>
      </c>
      <c r="J607">
        <f>IF(data_bank_loan!I607="",NA(),data_bank_loan!I607)</f>
        <v/>
      </c>
    </row>
    <row r="608">
      <c r="I608">
        <f>data_bank_loan!G608+data_bank_loan!H608</f>
        <v/>
      </c>
      <c r="J608">
        <f>IF(data_bank_loan!I608="",NA(),data_bank_loan!I608)</f>
        <v/>
      </c>
    </row>
    <row r="609">
      <c r="I609">
        <f>data_bank_loan!G609+data_bank_loan!H609</f>
        <v/>
      </c>
      <c r="J609">
        <f>IF(data_bank_loan!I609="",NA(),data_bank_loan!I609)</f>
        <v/>
      </c>
    </row>
    <row r="610">
      <c r="I610">
        <f>data_bank_loan!G610+data_bank_loan!H610</f>
        <v/>
      </c>
      <c r="J610">
        <f>IF(data_bank_loan!I610="",NA(),data_bank_loan!I610)</f>
        <v/>
      </c>
    </row>
    <row r="611">
      <c r="I611">
        <f>data_bank_loan!G611+data_bank_loan!H611</f>
        <v/>
      </c>
      <c r="J611">
        <f>IF(data_bank_loan!I611="",NA(),data_bank_loan!I611)</f>
        <v/>
      </c>
    </row>
    <row r="612">
      <c r="I612">
        <f>data_bank_loan!G612+data_bank_loan!H612</f>
        <v/>
      </c>
      <c r="J612">
        <f>IF(data_bank_loan!I612="",NA(),data_bank_loan!I612)</f>
        <v/>
      </c>
    </row>
    <row r="613">
      <c r="I613">
        <f>data_bank_loan!G613+data_bank_loan!H613</f>
        <v/>
      </c>
      <c r="J613">
        <f>IF(data_bank_loan!I613="",NA(),data_bank_loan!I613)</f>
        <v/>
      </c>
    </row>
    <row r="614">
      <c r="I614">
        <f>data_bank_loan!G614+data_bank_loan!H614</f>
        <v/>
      </c>
      <c r="J614">
        <f>IF(data_bank_loan!I614="",NA(),data_bank_loan!I614)</f>
        <v/>
      </c>
    </row>
    <row r="615">
      <c r="I615">
        <f>data_bank_loan!G615+data_bank_loan!H615</f>
        <v/>
      </c>
      <c r="J615">
        <f>IF(data_bank_loan!I615="",NA(),data_bank_loan!I615)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6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4" customWidth="1" min="5" max="5"/>
    <col width="15" customWidth="1" min="6" max="6"/>
    <col width="17" customWidth="1" min="7" max="7"/>
    <col width="19" customWidth="1" min="8" max="8"/>
    <col width="12" customWidth="1" min="9" max="9"/>
    <col width="18" customWidth="1" min="10" max="10"/>
    <col width="16" customWidth="1" min="11" max="11"/>
    <col width="15" customWidth="1" min="12" max="12"/>
    <col width="13" customWidth="1" min="13" max="13"/>
    <col width="15" customWidth="1" min="14" max="14"/>
  </cols>
  <sheetData>
    <row r="1" ht="28" customHeight="1">
      <c r="A1" s="29" t="inlineStr">
        <is>
          <t>Loan_ID</t>
        </is>
      </c>
      <c r="B1" s="29" t="inlineStr">
        <is>
          <t>Gender</t>
        </is>
      </c>
      <c r="C1" s="29" t="inlineStr">
        <is>
          <t>Married</t>
        </is>
      </c>
      <c r="D1" s="29" t="inlineStr">
        <is>
          <t>Dependents</t>
        </is>
      </c>
      <c r="E1" s="29" t="inlineStr">
        <is>
          <t>Education</t>
        </is>
      </c>
      <c r="F1" s="29" t="inlineStr">
        <is>
          <t>Self_Employed</t>
        </is>
      </c>
      <c r="G1" s="29" t="inlineStr">
        <is>
          <t>ApplicantIncome</t>
        </is>
      </c>
      <c r="H1" s="29" t="inlineStr">
        <is>
          <t>CoapplicantIncome</t>
        </is>
      </c>
      <c r="I1" s="29" t="inlineStr">
        <is>
          <t>LoanAmount</t>
        </is>
      </c>
      <c r="J1" s="29" t="inlineStr">
        <is>
          <t>Loan_Amount_Term</t>
        </is>
      </c>
      <c r="K1" s="29" t="inlineStr">
        <is>
          <t>Credit_History</t>
        </is>
      </c>
      <c r="L1" s="29" t="inlineStr">
        <is>
          <t>Property_Area</t>
        </is>
      </c>
      <c r="M1" s="29" t="inlineStr">
        <is>
          <t>Loan_Status</t>
        </is>
      </c>
      <c r="N1" s="29" t="inlineStr">
        <is>
          <t>Risk_Category</t>
        </is>
      </c>
    </row>
    <row r="2">
      <c r="A2" t="inlineStr">
        <is>
          <t>LP001002</t>
        </is>
      </c>
      <c r="B2" t="inlineStr">
        <is>
          <t>Male</t>
        </is>
      </c>
      <c r="C2" t="inlineStr">
        <is>
          <t>No</t>
        </is>
      </c>
      <c r="D2" t="n">
        <v>0</v>
      </c>
      <c r="E2" t="inlineStr">
        <is>
          <t>Graduate</t>
        </is>
      </c>
      <c r="F2" t="inlineStr">
        <is>
          <t>No</t>
        </is>
      </c>
      <c r="G2" t="n">
        <v>5849</v>
      </c>
      <c r="H2" t="n">
        <v>0</v>
      </c>
      <c r="I2" t="n">
        <v/>
      </c>
      <c r="J2" t="n">
        <v>360</v>
      </c>
      <c r="K2" t="n">
        <v>1</v>
      </c>
      <c r="L2" t="inlineStr">
        <is>
          <t>Urban</t>
        </is>
      </c>
      <c r="M2" t="inlineStr">
        <is>
          <t>Y</t>
        </is>
      </c>
      <c r="N2" t="inlineStr">
        <is>
          <t>Lower Risk</t>
        </is>
      </c>
    </row>
    <row r="3">
      <c r="A3" t="inlineStr">
        <is>
          <t>LP001003</t>
        </is>
      </c>
      <c r="B3" t="inlineStr">
        <is>
          <t>Male</t>
        </is>
      </c>
      <c r="C3" t="inlineStr">
        <is>
          <t>Yes</t>
        </is>
      </c>
      <c r="D3" t="n">
        <v>1</v>
      </c>
      <c r="E3" t="inlineStr">
        <is>
          <t>Graduate</t>
        </is>
      </c>
      <c r="F3" t="inlineStr">
        <is>
          <t>No</t>
        </is>
      </c>
      <c r="G3" t="n">
        <v>4583</v>
      </c>
      <c r="H3" t="n">
        <v>1508</v>
      </c>
      <c r="I3" t="n">
        <v>128</v>
      </c>
      <c r="J3" t="n">
        <v>360</v>
      </c>
      <c r="K3" t="n">
        <v>1</v>
      </c>
      <c r="L3" t="inlineStr">
        <is>
          <t>Rural</t>
        </is>
      </c>
      <c r="M3" t="inlineStr">
        <is>
          <t>N</t>
        </is>
      </c>
      <c r="N3" t="inlineStr">
        <is>
          <t>Medium Risk</t>
        </is>
      </c>
    </row>
    <row r="4">
      <c r="A4" t="inlineStr">
        <is>
          <t>LP001005</t>
        </is>
      </c>
      <c r="B4" t="inlineStr">
        <is>
          <t>Male</t>
        </is>
      </c>
      <c r="C4" t="inlineStr">
        <is>
          <t>Yes</t>
        </is>
      </c>
      <c r="D4" t="n">
        <v>0</v>
      </c>
      <c r="E4" t="inlineStr">
        <is>
          <t>Graduate</t>
        </is>
      </c>
      <c r="F4" t="inlineStr">
        <is>
          <t>Yes</t>
        </is>
      </c>
      <c r="G4" t="n">
        <v>3000</v>
      </c>
      <c r="H4" t="n">
        <v>0</v>
      </c>
      <c r="I4" t="n">
        <v>66</v>
      </c>
      <c r="J4" t="n">
        <v>360</v>
      </c>
      <c r="K4" t="n">
        <v>1</v>
      </c>
      <c r="L4" t="inlineStr">
        <is>
          <t>Urban</t>
        </is>
      </c>
      <c r="M4" t="inlineStr">
        <is>
          <t>Y</t>
        </is>
      </c>
      <c r="N4" t="inlineStr">
        <is>
          <t>Lower Risk</t>
        </is>
      </c>
    </row>
    <row r="5">
      <c r="A5" t="inlineStr">
        <is>
          <t>LP001006</t>
        </is>
      </c>
      <c r="B5" t="inlineStr">
        <is>
          <t>Male</t>
        </is>
      </c>
      <c r="C5" t="inlineStr">
        <is>
          <t>Yes</t>
        </is>
      </c>
      <c r="D5" t="n">
        <v>0</v>
      </c>
      <c r="E5" t="inlineStr">
        <is>
          <t>Not Graduate</t>
        </is>
      </c>
      <c r="F5" t="inlineStr">
        <is>
          <t>No</t>
        </is>
      </c>
      <c r="G5" t="n">
        <v>2583</v>
      </c>
      <c r="H5" t="n">
        <v>2358</v>
      </c>
      <c r="I5" t="n">
        <v>120</v>
      </c>
      <c r="J5" t="n">
        <v>360</v>
      </c>
      <c r="K5" t="n">
        <v>1</v>
      </c>
      <c r="L5" t="inlineStr">
        <is>
          <t>Urban</t>
        </is>
      </c>
      <c r="M5" t="inlineStr">
        <is>
          <t>Y</t>
        </is>
      </c>
      <c r="N5" t="inlineStr">
        <is>
          <t>Lower Risk</t>
        </is>
      </c>
    </row>
    <row r="6">
      <c r="A6" t="inlineStr">
        <is>
          <t>LP001008</t>
        </is>
      </c>
      <c r="B6" t="inlineStr">
        <is>
          <t>Male</t>
        </is>
      </c>
      <c r="C6" t="inlineStr">
        <is>
          <t>No</t>
        </is>
      </c>
      <c r="D6" t="n">
        <v>0</v>
      </c>
      <c r="E6" t="inlineStr">
        <is>
          <t>Graduate</t>
        </is>
      </c>
      <c r="F6" t="inlineStr">
        <is>
          <t>No</t>
        </is>
      </c>
      <c r="G6" t="n">
        <v>6000</v>
      </c>
      <c r="H6" t="n">
        <v>0</v>
      </c>
      <c r="I6" t="n">
        <v>141</v>
      </c>
      <c r="J6" t="n">
        <v>360</v>
      </c>
      <c r="K6" t="n">
        <v>1</v>
      </c>
      <c r="L6" t="inlineStr">
        <is>
          <t>Urban</t>
        </is>
      </c>
      <c r="M6" t="inlineStr">
        <is>
          <t>Y</t>
        </is>
      </c>
      <c r="N6" t="inlineStr">
        <is>
          <t>Lower Risk</t>
        </is>
      </c>
    </row>
    <row r="7">
      <c r="A7" t="inlineStr">
        <is>
          <t>LP001011</t>
        </is>
      </c>
      <c r="B7" t="inlineStr">
        <is>
          <t>Male</t>
        </is>
      </c>
      <c r="C7" t="inlineStr">
        <is>
          <t>Yes</t>
        </is>
      </c>
      <c r="D7" t="n">
        <v>2</v>
      </c>
      <c r="E7" t="inlineStr">
        <is>
          <t>Graduate</t>
        </is>
      </c>
      <c r="F7" t="inlineStr">
        <is>
          <t>Yes</t>
        </is>
      </c>
      <c r="G7" t="n">
        <v>5417</v>
      </c>
      <c r="H7" t="n">
        <v>4196</v>
      </c>
      <c r="I7" t="n">
        <v>267</v>
      </c>
      <c r="J7" t="n">
        <v>360</v>
      </c>
      <c r="K7" t="n">
        <v>1</v>
      </c>
      <c r="L7" t="inlineStr">
        <is>
          <t>Urban</t>
        </is>
      </c>
      <c r="M7" t="inlineStr">
        <is>
          <t>Y</t>
        </is>
      </c>
      <c r="N7" t="inlineStr">
        <is>
          <t>Lower Risk</t>
        </is>
      </c>
    </row>
    <row r="8">
      <c r="A8" t="inlineStr">
        <is>
          <t>LP001013</t>
        </is>
      </c>
      <c r="B8" t="inlineStr">
        <is>
          <t>Male</t>
        </is>
      </c>
      <c r="C8" t="inlineStr">
        <is>
          <t>Yes</t>
        </is>
      </c>
      <c r="D8" t="n">
        <v>0</v>
      </c>
      <c r="E8" t="inlineStr">
        <is>
          <t>Not Graduate</t>
        </is>
      </c>
      <c r="F8" t="inlineStr">
        <is>
          <t>No</t>
        </is>
      </c>
      <c r="G8" t="n">
        <v>2333</v>
      </c>
      <c r="H8" t="n">
        <v>1516</v>
      </c>
      <c r="I8" t="n">
        <v>95</v>
      </c>
      <c r="J8" t="n">
        <v>360</v>
      </c>
      <c r="K8" t="n">
        <v>1</v>
      </c>
      <c r="L8" t="inlineStr">
        <is>
          <t>Urban</t>
        </is>
      </c>
      <c r="M8" t="inlineStr">
        <is>
          <t>Y</t>
        </is>
      </c>
      <c r="N8" t="inlineStr">
        <is>
          <t>Lower Risk</t>
        </is>
      </c>
    </row>
    <row r="9">
      <c r="A9" t="inlineStr">
        <is>
          <t>LP001014</t>
        </is>
      </c>
      <c r="B9" t="inlineStr">
        <is>
          <t>Male</t>
        </is>
      </c>
      <c r="C9" t="inlineStr">
        <is>
          <t>Yes</t>
        </is>
      </c>
      <c r="D9" t="inlineStr">
        <is>
          <t>3+</t>
        </is>
      </c>
      <c r="E9" t="inlineStr">
        <is>
          <t>Graduate</t>
        </is>
      </c>
      <c r="F9" t="inlineStr">
        <is>
          <t>No</t>
        </is>
      </c>
      <c r="G9" t="n">
        <v>3036</v>
      </c>
      <c r="H9" t="n">
        <v>2504</v>
      </c>
      <c r="I9" t="n">
        <v>158</v>
      </c>
      <c r="J9" t="n">
        <v>360</v>
      </c>
      <c r="K9" t="n">
        <v>0</v>
      </c>
      <c r="L9" t="inlineStr">
        <is>
          <t>Semiurban</t>
        </is>
      </c>
      <c r="M9" t="inlineStr">
        <is>
          <t>N</t>
        </is>
      </c>
      <c r="N9" t="inlineStr">
        <is>
          <t>High Risk</t>
        </is>
      </c>
    </row>
    <row r="10">
      <c r="A10" t="inlineStr">
        <is>
          <t>LP001018</t>
        </is>
      </c>
      <c r="B10" t="inlineStr">
        <is>
          <t>Male</t>
        </is>
      </c>
      <c r="C10" t="inlineStr">
        <is>
          <t>Yes</t>
        </is>
      </c>
      <c r="D10" t="n">
        <v>2</v>
      </c>
      <c r="E10" t="inlineStr">
        <is>
          <t>Graduate</t>
        </is>
      </c>
      <c r="F10" t="inlineStr">
        <is>
          <t>No</t>
        </is>
      </c>
      <c r="G10" t="n">
        <v>4006</v>
      </c>
      <c r="H10" t="n">
        <v>1526</v>
      </c>
      <c r="I10" t="n">
        <v>168</v>
      </c>
      <c r="J10" t="n">
        <v>360</v>
      </c>
      <c r="K10" t="n">
        <v>1</v>
      </c>
      <c r="L10" t="inlineStr">
        <is>
          <t>Urban</t>
        </is>
      </c>
      <c r="M10" t="inlineStr">
        <is>
          <t>Y</t>
        </is>
      </c>
      <c r="N10" t="inlineStr">
        <is>
          <t>Lower Risk</t>
        </is>
      </c>
    </row>
    <row r="11">
      <c r="A11" t="inlineStr">
        <is>
          <t>LP001020</t>
        </is>
      </c>
      <c r="B11" t="inlineStr">
        <is>
          <t>Male</t>
        </is>
      </c>
      <c r="C11" t="inlineStr">
        <is>
          <t>Yes</t>
        </is>
      </c>
      <c r="D11" t="n">
        <v>1</v>
      </c>
      <c r="E11" t="inlineStr">
        <is>
          <t>Graduate</t>
        </is>
      </c>
      <c r="F11" t="inlineStr">
        <is>
          <t>No</t>
        </is>
      </c>
      <c r="G11" t="n">
        <v>12841</v>
      </c>
      <c r="H11" t="n">
        <v>10968</v>
      </c>
      <c r="I11" t="n">
        <v>349</v>
      </c>
      <c r="J11" t="n">
        <v>360</v>
      </c>
      <c r="K11" t="n">
        <v>1</v>
      </c>
      <c r="L11" t="inlineStr">
        <is>
          <t>Semiurban</t>
        </is>
      </c>
      <c r="M11" t="inlineStr">
        <is>
          <t>N</t>
        </is>
      </c>
      <c r="N11" t="inlineStr">
        <is>
          <t>Medium Risk</t>
        </is>
      </c>
    </row>
    <row r="12">
      <c r="A12" t="inlineStr">
        <is>
          <t>LP001024</t>
        </is>
      </c>
      <c r="B12" t="inlineStr">
        <is>
          <t>Male</t>
        </is>
      </c>
      <c r="C12" t="inlineStr">
        <is>
          <t>Yes</t>
        </is>
      </c>
      <c r="D12" t="n">
        <v>2</v>
      </c>
      <c r="E12" t="inlineStr">
        <is>
          <t>Graduate</t>
        </is>
      </c>
      <c r="F12" t="inlineStr">
        <is>
          <t>No</t>
        </is>
      </c>
      <c r="G12" t="n">
        <v>3200</v>
      </c>
      <c r="H12" t="n">
        <v>700</v>
      </c>
      <c r="I12" t="n">
        <v>70</v>
      </c>
      <c r="J12" t="n">
        <v>360</v>
      </c>
      <c r="K12" t="n">
        <v>1</v>
      </c>
      <c r="L12" t="inlineStr">
        <is>
          <t>Urban</t>
        </is>
      </c>
      <c r="M12" t="inlineStr">
        <is>
          <t>Y</t>
        </is>
      </c>
      <c r="N12" t="inlineStr">
        <is>
          <t>Lower Risk</t>
        </is>
      </c>
    </row>
    <row r="13">
      <c r="A13" t="inlineStr">
        <is>
          <t>LP001027</t>
        </is>
      </c>
      <c r="B13" t="inlineStr">
        <is>
          <t>Male</t>
        </is>
      </c>
      <c r="C13" t="inlineStr">
        <is>
          <t>Yes</t>
        </is>
      </c>
      <c r="D13" t="n">
        <v>2</v>
      </c>
      <c r="E13" t="inlineStr">
        <is>
          <t>Graduate</t>
        </is>
      </c>
      <c r="F13" t="n">
        <v/>
      </c>
      <c r="G13" t="n">
        <v>2500</v>
      </c>
      <c r="H13" t="n">
        <v>1840</v>
      </c>
      <c r="I13" t="n">
        <v>109</v>
      </c>
      <c r="J13" t="n">
        <v>360</v>
      </c>
      <c r="K13" t="n">
        <v>1</v>
      </c>
      <c r="L13" t="inlineStr">
        <is>
          <t>Urban</t>
        </is>
      </c>
      <c r="M13" t="inlineStr">
        <is>
          <t>Y</t>
        </is>
      </c>
      <c r="N13" t="inlineStr">
        <is>
          <t>Lower Risk</t>
        </is>
      </c>
    </row>
    <row r="14">
      <c r="A14" t="inlineStr">
        <is>
          <t>LP001028</t>
        </is>
      </c>
      <c r="B14" t="inlineStr">
        <is>
          <t>Male</t>
        </is>
      </c>
      <c r="C14" t="inlineStr">
        <is>
          <t>Yes</t>
        </is>
      </c>
      <c r="D14" t="n">
        <v>2</v>
      </c>
      <c r="E14" t="inlineStr">
        <is>
          <t>Graduate</t>
        </is>
      </c>
      <c r="F14" t="inlineStr">
        <is>
          <t>No</t>
        </is>
      </c>
      <c r="G14" t="n">
        <v>3073</v>
      </c>
      <c r="H14" t="n">
        <v>8106</v>
      </c>
      <c r="I14" t="n">
        <v>200</v>
      </c>
      <c r="J14" t="n">
        <v>360</v>
      </c>
      <c r="K14" t="n">
        <v>1</v>
      </c>
      <c r="L14" t="inlineStr">
        <is>
          <t>Urban</t>
        </is>
      </c>
      <c r="M14" t="inlineStr">
        <is>
          <t>Y</t>
        </is>
      </c>
      <c r="N14" t="inlineStr">
        <is>
          <t>Lower Risk</t>
        </is>
      </c>
    </row>
    <row r="15">
      <c r="A15" t="inlineStr">
        <is>
          <t>LP001029</t>
        </is>
      </c>
      <c r="B15" t="inlineStr">
        <is>
          <t>Male</t>
        </is>
      </c>
      <c r="C15" t="inlineStr">
        <is>
          <t>No</t>
        </is>
      </c>
      <c r="D15" t="n">
        <v>0</v>
      </c>
      <c r="E15" t="inlineStr">
        <is>
          <t>Graduate</t>
        </is>
      </c>
      <c r="F15" t="inlineStr">
        <is>
          <t>No</t>
        </is>
      </c>
      <c r="G15" t="n">
        <v>1853</v>
      </c>
      <c r="H15" t="n">
        <v>2840</v>
      </c>
      <c r="I15" t="n">
        <v>114</v>
      </c>
      <c r="J15" t="n">
        <v>360</v>
      </c>
      <c r="K15" t="n">
        <v>1</v>
      </c>
      <c r="L15" t="inlineStr">
        <is>
          <t>Rural</t>
        </is>
      </c>
      <c r="M15" t="inlineStr">
        <is>
          <t>N</t>
        </is>
      </c>
      <c r="N15" t="inlineStr">
        <is>
          <t>Medium Risk</t>
        </is>
      </c>
    </row>
    <row r="16">
      <c r="A16" t="inlineStr">
        <is>
          <t>LP001030</t>
        </is>
      </c>
      <c r="B16" t="inlineStr">
        <is>
          <t>Male</t>
        </is>
      </c>
      <c r="C16" t="inlineStr">
        <is>
          <t>Yes</t>
        </is>
      </c>
      <c r="D16" t="n">
        <v>2</v>
      </c>
      <c r="E16" t="inlineStr">
        <is>
          <t>Graduate</t>
        </is>
      </c>
      <c r="F16" t="inlineStr">
        <is>
          <t>No</t>
        </is>
      </c>
      <c r="G16" t="n">
        <v>1299</v>
      </c>
      <c r="H16" t="n">
        <v>1086</v>
      </c>
      <c r="I16" t="n">
        <v>17</v>
      </c>
      <c r="J16" t="n">
        <v>120</v>
      </c>
      <c r="K16" t="n">
        <v>1</v>
      </c>
      <c r="L16" t="inlineStr">
        <is>
          <t>Urban</t>
        </is>
      </c>
      <c r="M16" t="inlineStr">
        <is>
          <t>Y</t>
        </is>
      </c>
      <c r="N16" t="inlineStr">
        <is>
          <t>Lower Risk</t>
        </is>
      </c>
    </row>
    <row r="17">
      <c r="A17" t="inlineStr">
        <is>
          <t>LP001032</t>
        </is>
      </c>
      <c r="B17" t="inlineStr">
        <is>
          <t>Male</t>
        </is>
      </c>
      <c r="C17" t="inlineStr">
        <is>
          <t>No</t>
        </is>
      </c>
      <c r="D17" t="n">
        <v>0</v>
      </c>
      <c r="E17" t="inlineStr">
        <is>
          <t>Graduate</t>
        </is>
      </c>
      <c r="F17" t="inlineStr">
        <is>
          <t>No</t>
        </is>
      </c>
      <c r="G17" t="n">
        <v>4950</v>
      </c>
      <c r="H17" t="n">
        <v>0</v>
      </c>
      <c r="I17" t="n">
        <v>125</v>
      </c>
      <c r="J17" t="n">
        <v>360</v>
      </c>
      <c r="K17" t="n">
        <v>1</v>
      </c>
      <c r="L17" t="inlineStr">
        <is>
          <t>Urban</t>
        </is>
      </c>
      <c r="M17" t="inlineStr">
        <is>
          <t>Y</t>
        </is>
      </c>
      <c r="N17" t="inlineStr">
        <is>
          <t>Lower Risk</t>
        </is>
      </c>
    </row>
    <row r="18">
      <c r="A18" t="inlineStr">
        <is>
          <t>LP001034</t>
        </is>
      </c>
      <c r="B18" t="inlineStr">
        <is>
          <t>Male</t>
        </is>
      </c>
      <c r="C18" t="inlineStr">
        <is>
          <t>No</t>
        </is>
      </c>
      <c r="D18" t="n">
        <v>1</v>
      </c>
      <c r="E18" t="inlineStr">
        <is>
          <t>Not Graduate</t>
        </is>
      </c>
      <c r="F18" t="inlineStr">
        <is>
          <t>No</t>
        </is>
      </c>
      <c r="G18" t="n">
        <v>3596</v>
      </c>
      <c r="H18" t="n">
        <v>0</v>
      </c>
      <c r="I18" t="n">
        <v>100</v>
      </c>
      <c r="J18" t="n">
        <v>240</v>
      </c>
      <c r="K18" t="n">
        <v/>
      </c>
      <c r="L18" t="inlineStr">
        <is>
          <t>Urban</t>
        </is>
      </c>
      <c r="M18" t="inlineStr">
        <is>
          <t>Y</t>
        </is>
      </c>
      <c r="N18" t="inlineStr">
        <is>
          <t>Medium Risk</t>
        </is>
      </c>
    </row>
    <row r="19">
      <c r="A19" t="inlineStr">
        <is>
          <t>LP001036</t>
        </is>
      </c>
      <c r="B19" t="inlineStr">
        <is>
          <t>Female</t>
        </is>
      </c>
      <c r="C19" t="inlineStr">
        <is>
          <t>No</t>
        </is>
      </c>
      <c r="D19" t="n">
        <v>0</v>
      </c>
      <c r="E19" t="inlineStr">
        <is>
          <t>Graduate</t>
        </is>
      </c>
      <c r="F19" t="inlineStr">
        <is>
          <t>No</t>
        </is>
      </c>
      <c r="G19" t="n">
        <v>3510</v>
      </c>
      <c r="H19" t="n">
        <v>0</v>
      </c>
      <c r="I19" t="n">
        <v>76</v>
      </c>
      <c r="J19" t="n">
        <v>360</v>
      </c>
      <c r="K19" t="n">
        <v>0</v>
      </c>
      <c r="L19" t="inlineStr">
        <is>
          <t>Urban</t>
        </is>
      </c>
      <c r="M19" t="inlineStr">
        <is>
          <t>N</t>
        </is>
      </c>
      <c r="N19" t="inlineStr">
        <is>
          <t>High Risk</t>
        </is>
      </c>
    </row>
    <row r="20">
      <c r="A20" t="inlineStr">
        <is>
          <t>LP001038</t>
        </is>
      </c>
      <c r="B20" t="inlineStr">
        <is>
          <t>Male</t>
        </is>
      </c>
      <c r="C20" t="inlineStr">
        <is>
          <t>Yes</t>
        </is>
      </c>
      <c r="D20" t="n">
        <v>0</v>
      </c>
      <c r="E20" t="inlineStr">
        <is>
          <t>Not Graduate</t>
        </is>
      </c>
      <c r="F20" t="inlineStr">
        <is>
          <t>No</t>
        </is>
      </c>
      <c r="G20" t="n">
        <v>4887</v>
      </c>
      <c r="H20" t="n">
        <v>0</v>
      </c>
      <c r="I20" t="n">
        <v>133</v>
      </c>
      <c r="J20" t="n">
        <v>360</v>
      </c>
      <c r="K20" t="n">
        <v>1</v>
      </c>
      <c r="L20" t="inlineStr">
        <is>
          <t>Rural</t>
        </is>
      </c>
      <c r="M20" t="inlineStr">
        <is>
          <t>N</t>
        </is>
      </c>
      <c r="N20" t="inlineStr">
        <is>
          <t>Medium Risk</t>
        </is>
      </c>
    </row>
    <row r="21">
      <c r="A21" t="inlineStr">
        <is>
          <t>LP001041</t>
        </is>
      </c>
      <c r="B21" t="inlineStr">
        <is>
          <t>Male</t>
        </is>
      </c>
      <c r="C21" t="inlineStr">
        <is>
          <t>Yes</t>
        </is>
      </c>
      <c r="D21" t="n">
        <v>0</v>
      </c>
      <c r="E21" t="inlineStr">
        <is>
          <t>Graduate</t>
        </is>
      </c>
      <c r="F21" t="n">
        <v/>
      </c>
      <c r="G21" t="n">
        <v>2600</v>
      </c>
      <c r="H21" t="n">
        <v>3500</v>
      </c>
      <c r="I21" t="n">
        <v>115</v>
      </c>
      <c r="J21" t="n">
        <v/>
      </c>
      <c r="K21" t="n">
        <v>1</v>
      </c>
      <c r="L21" t="inlineStr">
        <is>
          <t>Urban</t>
        </is>
      </c>
      <c r="M21" t="inlineStr">
        <is>
          <t>Y</t>
        </is>
      </c>
      <c r="N21" t="inlineStr">
        <is>
          <t>Lower Risk</t>
        </is>
      </c>
    </row>
    <row r="22">
      <c r="A22" t="inlineStr">
        <is>
          <t>LP001043</t>
        </is>
      </c>
      <c r="B22" t="inlineStr">
        <is>
          <t>Male</t>
        </is>
      </c>
      <c r="C22" t="inlineStr">
        <is>
          <t>Yes</t>
        </is>
      </c>
      <c r="D22" t="n">
        <v>0</v>
      </c>
      <c r="E22" t="inlineStr">
        <is>
          <t>Not Graduate</t>
        </is>
      </c>
      <c r="F22" t="inlineStr">
        <is>
          <t>No</t>
        </is>
      </c>
      <c r="G22" t="n">
        <v>7660</v>
      </c>
      <c r="H22" t="n">
        <v>0</v>
      </c>
      <c r="I22" t="n">
        <v>104</v>
      </c>
      <c r="J22" t="n">
        <v>360</v>
      </c>
      <c r="K22" t="n">
        <v>0</v>
      </c>
      <c r="L22" t="inlineStr">
        <is>
          <t>Urban</t>
        </is>
      </c>
      <c r="M22" t="inlineStr">
        <is>
          <t>N</t>
        </is>
      </c>
      <c r="N22" t="inlineStr">
        <is>
          <t>High Risk</t>
        </is>
      </c>
    </row>
    <row r="23">
      <c r="A23" t="inlineStr">
        <is>
          <t>LP001046</t>
        </is>
      </c>
      <c r="B23" t="inlineStr">
        <is>
          <t>Male</t>
        </is>
      </c>
      <c r="C23" t="inlineStr">
        <is>
          <t>Yes</t>
        </is>
      </c>
      <c r="D23" t="n">
        <v>1</v>
      </c>
      <c r="E23" t="inlineStr">
        <is>
          <t>Graduate</t>
        </is>
      </c>
      <c r="F23" t="inlineStr">
        <is>
          <t>No</t>
        </is>
      </c>
      <c r="G23" t="n">
        <v>5955</v>
      </c>
      <c r="H23" t="n">
        <v>5625</v>
      </c>
      <c r="I23" t="n">
        <v>315</v>
      </c>
      <c r="J23" t="n">
        <v>360</v>
      </c>
      <c r="K23" t="n">
        <v>1</v>
      </c>
      <c r="L23" t="inlineStr">
        <is>
          <t>Urban</t>
        </is>
      </c>
      <c r="M23" t="inlineStr">
        <is>
          <t>Y</t>
        </is>
      </c>
      <c r="N23" t="inlineStr">
        <is>
          <t>Lower Risk</t>
        </is>
      </c>
    </row>
    <row r="24">
      <c r="A24" t="inlineStr">
        <is>
          <t>LP001047</t>
        </is>
      </c>
      <c r="B24" t="inlineStr">
        <is>
          <t>Male</t>
        </is>
      </c>
      <c r="C24" t="inlineStr">
        <is>
          <t>Yes</t>
        </is>
      </c>
      <c r="D24" t="n">
        <v>0</v>
      </c>
      <c r="E24" t="inlineStr">
        <is>
          <t>Not Graduate</t>
        </is>
      </c>
      <c r="F24" t="inlineStr">
        <is>
          <t>No</t>
        </is>
      </c>
      <c r="G24" t="n">
        <v>2600</v>
      </c>
      <c r="H24" t="n">
        <v>1911</v>
      </c>
      <c r="I24" t="n">
        <v>116</v>
      </c>
      <c r="J24" t="n">
        <v>360</v>
      </c>
      <c r="K24" t="n">
        <v>0</v>
      </c>
      <c r="L24" t="inlineStr">
        <is>
          <t>Semiurban</t>
        </is>
      </c>
      <c r="M24" t="inlineStr">
        <is>
          <t>N</t>
        </is>
      </c>
      <c r="N24" t="inlineStr">
        <is>
          <t>High Risk</t>
        </is>
      </c>
    </row>
    <row r="25">
      <c r="A25" t="inlineStr">
        <is>
          <t>LP001050</t>
        </is>
      </c>
      <c r="B25" t="n">
        <v/>
      </c>
      <c r="C25" t="inlineStr">
        <is>
          <t>Yes</t>
        </is>
      </c>
      <c r="D25" t="n">
        <v>2</v>
      </c>
      <c r="E25" t="inlineStr">
        <is>
          <t>Not Graduate</t>
        </is>
      </c>
      <c r="F25" t="inlineStr">
        <is>
          <t>No</t>
        </is>
      </c>
      <c r="G25" t="n">
        <v>3365</v>
      </c>
      <c r="H25" t="n">
        <v>1917</v>
      </c>
      <c r="I25" t="n">
        <v>112</v>
      </c>
      <c r="J25" t="n">
        <v>360</v>
      </c>
      <c r="K25" t="n">
        <v>0</v>
      </c>
      <c r="L25" t="inlineStr">
        <is>
          <t>Rural</t>
        </is>
      </c>
      <c r="M25" t="inlineStr">
        <is>
          <t>N</t>
        </is>
      </c>
      <c r="N25" t="inlineStr">
        <is>
          <t>High Risk</t>
        </is>
      </c>
    </row>
    <row r="26">
      <c r="A26" t="inlineStr">
        <is>
          <t>LP001052</t>
        </is>
      </c>
      <c r="B26" t="inlineStr">
        <is>
          <t>Male</t>
        </is>
      </c>
      <c r="C26" t="inlineStr">
        <is>
          <t>Yes</t>
        </is>
      </c>
      <c r="D26" t="n">
        <v>1</v>
      </c>
      <c r="E26" t="inlineStr">
        <is>
          <t>Graduate</t>
        </is>
      </c>
      <c r="F26" t="n">
        <v/>
      </c>
      <c r="G26" t="n">
        <v>3717</v>
      </c>
      <c r="H26" t="n">
        <v>2925</v>
      </c>
      <c r="I26" t="n">
        <v>151</v>
      </c>
      <c r="J26" t="n">
        <v>360</v>
      </c>
      <c r="K26" t="n">
        <v/>
      </c>
      <c r="L26" t="inlineStr">
        <is>
          <t>Semiurban</t>
        </is>
      </c>
      <c r="M26" t="inlineStr">
        <is>
          <t>N</t>
        </is>
      </c>
      <c r="N26" t="inlineStr">
        <is>
          <t>High Risk</t>
        </is>
      </c>
    </row>
    <row r="27">
      <c r="A27" t="inlineStr">
        <is>
          <t>LP001066</t>
        </is>
      </c>
      <c r="B27" t="inlineStr">
        <is>
          <t>Male</t>
        </is>
      </c>
      <c r="C27" t="inlineStr">
        <is>
          <t>Yes</t>
        </is>
      </c>
      <c r="D27" t="n">
        <v>0</v>
      </c>
      <c r="E27" t="inlineStr">
        <is>
          <t>Graduate</t>
        </is>
      </c>
      <c r="F27" t="inlineStr">
        <is>
          <t>Yes</t>
        </is>
      </c>
      <c r="G27" t="n">
        <v>9560</v>
      </c>
      <c r="H27" t="n">
        <v>0</v>
      </c>
      <c r="I27" t="n">
        <v>191</v>
      </c>
      <c r="J27" t="n">
        <v>360</v>
      </c>
      <c r="K27" t="n">
        <v>1</v>
      </c>
      <c r="L27" t="inlineStr">
        <is>
          <t>Semiurban</t>
        </is>
      </c>
      <c r="M27" t="inlineStr">
        <is>
          <t>Y</t>
        </is>
      </c>
      <c r="N27" t="inlineStr">
        <is>
          <t>Lower Risk</t>
        </is>
      </c>
    </row>
    <row r="28">
      <c r="A28" t="inlineStr">
        <is>
          <t>LP001068</t>
        </is>
      </c>
      <c r="B28" t="inlineStr">
        <is>
          <t>Male</t>
        </is>
      </c>
      <c r="C28" t="inlineStr">
        <is>
          <t>Yes</t>
        </is>
      </c>
      <c r="D28" t="n">
        <v>0</v>
      </c>
      <c r="E28" t="inlineStr">
        <is>
          <t>Graduate</t>
        </is>
      </c>
      <c r="F28" t="inlineStr">
        <is>
          <t>No</t>
        </is>
      </c>
      <c r="G28" t="n">
        <v>2799</v>
      </c>
      <c r="H28" t="n">
        <v>2253</v>
      </c>
      <c r="I28" t="n">
        <v>122</v>
      </c>
      <c r="J28" t="n">
        <v>360</v>
      </c>
      <c r="K28" t="n">
        <v>1</v>
      </c>
      <c r="L28" t="inlineStr">
        <is>
          <t>Semiurban</t>
        </is>
      </c>
      <c r="M28" t="inlineStr">
        <is>
          <t>Y</t>
        </is>
      </c>
      <c r="N28" t="inlineStr">
        <is>
          <t>Lower Risk</t>
        </is>
      </c>
    </row>
    <row r="29">
      <c r="A29" t="inlineStr">
        <is>
          <t>LP001073</t>
        </is>
      </c>
      <c r="B29" t="inlineStr">
        <is>
          <t>Male</t>
        </is>
      </c>
      <c r="C29" t="inlineStr">
        <is>
          <t>Yes</t>
        </is>
      </c>
      <c r="D29" t="n">
        <v>2</v>
      </c>
      <c r="E29" t="inlineStr">
        <is>
          <t>Not Graduate</t>
        </is>
      </c>
      <c r="F29" t="inlineStr">
        <is>
          <t>No</t>
        </is>
      </c>
      <c r="G29" t="n">
        <v>4226</v>
      </c>
      <c r="H29" t="n">
        <v>1040</v>
      </c>
      <c r="I29" t="n">
        <v>110</v>
      </c>
      <c r="J29" t="n">
        <v>360</v>
      </c>
      <c r="K29" t="n">
        <v>1</v>
      </c>
      <c r="L29" t="inlineStr">
        <is>
          <t>Urban</t>
        </is>
      </c>
      <c r="M29" t="inlineStr">
        <is>
          <t>Y</t>
        </is>
      </c>
      <c r="N29" t="inlineStr">
        <is>
          <t>Lower Risk</t>
        </is>
      </c>
    </row>
    <row r="30">
      <c r="A30" t="inlineStr">
        <is>
          <t>LP001086</t>
        </is>
      </c>
      <c r="B30" t="inlineStr">
        <is>
          <t>Male</t>
        </is>
      </c>
      <c r="C30" t="inlineStr">
        <is>
          <t>No</t>
        </is>
      </c>
      <c r="D30" t="n">
        <v>0</v>
      </c>
      <c r="E30" t="inlineStr">
        <is>
          <t>Not Graduate</t>
        </is>
      </c>
      <c r="F30" t="inlineStr">
        <is>
          <t>No</t>
        </is>
      </c>
      <c r="G30" t="n">
        <v>1442</v>
      </c>
      <c r="H30" t="n">
        <v>0</v>
      </c>
      <c r="I30" t="n">
        <v>35</v>
      </c>
      <c r="J30" t="n">
        <v>360</v>
      </c>
      <c r="K30" t="n">
        <v>1</v>
      </c>
      <c r="L30" t="inlineStr">
        <is>
          <t>Urban</t>
        </is>
      </c>
      <c r="M30" t="inlineStr">
        <is>
          <t>N</t>
        </is>
      </c>
      <c r="N30" t="inlineStr">
        <is>
          <t>Medium Risk</t>
        </is>
      </c>
    </row>
    <row r="31">
      <c r="A31" t="inlineStr">
        <is>
          <t>LP001087</t>
        </is>
      </c>
      <c r="B31" t="inlineStr">
        <is>
          <t>Female</t>
        </is>
      </c>
      <c r="C31" t="inlineStr">
        <is>
          <t>No</t>
        </is>
      </c>
      <c r="D31" t="n">
        <v>2</v>
      </c>
      <c r="E31" t="inlineStr">
        <is>
          <t>Graduate</t>
        </is>
      </c>
      <c r="F31" t="n">
        <v/>
      </c>
      <c r="G31" t="n">
        <v>3750</v>
      </c>
      <c r="H31" t="n">
        <v>2083</v>
      </c>
      <c r="I31" t="n">
        <v>120</v>
      </c>
      <c r="J31" t="n">
        <v>360</v>
      </c>
      <c r="K31" t="n">
        <v>1</v>
      </c>
      <c r="L31" t="inlineStr">
        <is>
          <t>Semiurban</t>
        </is>
      </c>
      <c r="M31" t="inlineStr">
        <is>
          <t>Y</t>
        </is>
      </c>
      <c r="N31" t="inlineStr">
        <is>
          <t>Lower Risk</t>
        </is>
      </c>
    </row>
    <row r="32">
      <c r="A32" t="inlineStr">
        <is>
          <t>LP001091</t>
        </is>
      </c>
      <c r="B32" t="inlineStr">
        <is>
          <t>Male</t>
        </is>
      </c>
      <c r="C32" t="inlineStr">
        <is>
          <t>Yes</t>
        </is>
      </c>
      <c r="D32" t="n">
        <v>1</v>
      </c>
      <c r="E32" t="inlineStr">
        <is>
          <t>Graduate</t>
        </is>
      </c>
      <c r="F32" t="n">
        <v/>
      </c>
      <c r="G32" t="n">
        <v>4166</v>
      </c>
      <c r="H32" t="n">
        <v>3369</v>
      </c>
      <c r="I32" t="n">
        <v>201</v>
      </c>
      <c r="J32" t="n">
        <v>360</v>
      </c>
      <c r="K32" t="n">
        <v/>
      </c>
      <c r="L32" t="inlineStr">
        <is>
          <t>Urban</t>
        </is>
      </c>
      <c r="M32" t="inlineStr">
        <is>
          <t>N</t>
        </is>
      </c>
      <c r="N32" t="inlineStr">
        <is>
          <t>High Risk</t>
        </is>
      </c>
    </row>
    <row r="33">
      <c r="A33" t="inlineStr">
        <is>
          <t>LP001095</t>
        </is>
      </c>
      <c r="B33" t="inlineStr">
        <is>
          <t>Male</t>
        </is>
      </c>
      <c r="C33" t="inlineStr">
        <is>
          <t>No</t>
        </is>
      </c>
      <c r="D33" t="n">
        <v>0</v>
      </c>
      <c r="E33" t="inlineStr">
        <is>
          <t>Graduate</t>
        </is>
      </c>
      <c r="F33" t="inlineStr">
        <is>
          <t>No</t>
        </is>
      </c>
      <c r="G33" t="n">
        <v>3167</v>
      </c>
      <c r="H33" t="n">
        <v>0</v>
      </c>
      <c r="I33" t="n">
        <v>74</v>
      </c>
      <c r="J33" t="n">
        <v>360</v>
      </c>
      <c r="K33" t="n">
        <v>1</v>
      </c>
      <c r="L33" t="inlineStr">
        <is>
          <t>Urban</t>
        </is>
      </c>
      <c r="M33" t="inlineStr">
        <is>
          <t>N</t>
        </is>
      </c>
      <c r="N33" t="inlineStr">
        <is>
          <t>Medium Risk</t>
        </is>
      </c>
    </row>
    <row r="34">
      <c r="A34" t="inlineStr">
        <is>
          <t>LP001097</t>
        </is>
      </c>
      <c r="B34" t="inlineStr">
        <is>
          <t>Male</t>
        </is>
      </c>
      <c r="C34" t="inlineStr">
        <is>
          <t>No</t>
        </is>
      </c>
      <c r="D34" t="n">
        <v>1</v>
      </c>
      <c r="E34" t="inlineStr">
        <is>
          <t>Graduate</t>
        </is>
      </c>
      <c r="F34" t="inlineStr">
        <is>
          <t>Yes</t>
        </is>
      </c>
      <c r="G34" t="n">
        <v>4692</v>
      </c>
      <c r="H34" t="n">
        <v>0</v>
      </c>
      <c r="I34" t="n">
        <v>106</v>
      </c>
      <c r="J34" t="n">
        <v>360</v>
      </c>
      <c r="K34" t="n">
        <v>1</v>
      </c>
      <c r="L34" t="inlineStr">
        <is>
          <t>Rural</t>
        </is>
      </c>
      <c r="M34" t="inlineStr">
        <is>
          <t>N</t>
        </is>
      </c>
      <c r="N34" t="inlineStr">
        <is>
          <t>Medium Risk</t>
        </is>
      </c>
    </row>
    <row r="35">
      <c r="A35" t="inlineStr">
        <is>
          <t>LP001098</t>
        </is>
      </c>
      <c r="B35" t="inlineStr">
        <is>
          <t>Male</t>
        </is>
      </c>
      <c r="C35" t="inlineStr">
        <is>
          <t>Yes</t>
        </is>
      </c>
      <c r="D35" t="n">
        <v>0</v>
      </c>
      <c r="E35" t="inlineStr">
        <is>
          <t>Graduate</t>
        </is>
      </c>
      <c r="F35" t="inlineStr">
        <is>
          <t>No</t>
        </is>
      </c>
      <c r="G35" t="n">
        <v>3500</v>
      </c>
      <c r="H35" t="n">
        <v>1667</v>
      </c>
      <c r="I35" t="n">
        <v>114</v>
      </c>
      <c r="J35" t="n">
        <v>360</v>
      </c>
      <c r="K35" t="n">
        <v>1</v>
      </c>
      <c r="L35" t="inlineStr">
        <is>
          <t>Semiurban</t>
        </is>
      </c>
      <c r="M35" t="inlineStr">
        <is>
          <t>Y</t>
        </is>
      </c>
      <c r="N35" t="inlineStr">
        <is>
          <t>Lower Risk</t>
        </is>
      </c>
    </row>
    <row r="36">
      <c r="A36" t="inlineStr">
        <is>
          <t>LP001100</t>
        </is>
      </c>
      <c r="B36" t="inlineStr">
        <is>
          <t>Male</t>
        </is>
      </c>
      <c r="C36" t="inlineStr">
        <is>
          <t>No</t>
        </is>
      </c>
      <c r="D36" t="inlineStr">
        <is>
          <t>3+</t>
        </is>
      </c>
      <c r="E36" t="inlineStr">
        <is>
          <t>Graduate</t>
        </is>
      </c>
      <c r="F36" t="inlineStr">
        <is>
          <t>No</t>
        </is>
      </c>
      <c r="G36" t="n">
        <v>12500</v>
      </c>
      <c r="H36" t="n">
        <v>3000</v>
      </c>
      <c r="I36" t="n">
        <v>320</v>
      </c>
      <c r="J36" t="n">
        <v>360</v>
      </c>
      <c r="K36" t="n">
        <v>1</v>
      </c>
      <c r="L36" t="inlineStr">
        <is>
          <t>Rural</t>
        </is>
      </c>
      <c r="M36" t="inlineStr">
        <is>
          <t>N</t>
        </is>
      </c>
      <c r="N36" t="inlineStr">
        <is>
          <t>Medium Risk</t>
        </is>
      </c>
    </row>
    <row r="37">
      <c r="A37" t="inlineStr">
        <is>
          <t>LP001106</t>
        </is>
      </c>
      <c r="B37" t="inlineStr">
        <is>
          <t>Male</t>
        </is>
      </c>
      <c r="C37" t="inlineStr">
        <is>
          <t>Yes</t>
        </is>
      </c>
      <c r="D37" t="n">
        <v>0</v>
      </c>
      <c r="E37" t="inlineStr">
        <is>
          <t>Graduate</t>
        </is>
      </c>
      <c r="F37" t="inlineStr">
        <is>
          <t>No</t>
        </is>
      </c>
      <c r="G37" t="n">
        <v>2275</v>
      </c>
      <c r="H37" t="n">
        <v>2067</v>
      </c>
      <c r="I37" t="n">
        <v/>
      </c>
      <c r="J37" t="n">
        <v>360</v>
      </c>
      <c r="K37" t="n">
        <v>1</v>
      </c>
      <c r="L37" t="inlineStr">
        <is>
          <t>Urban</t>
        </is>
      </c>
      <c r="M37" t="inlineStr">
        <is>
          <t>Y</t>
        </is>
      </c>
      <c r="N37" t="inlineStr">
        <is>
          <t>Lower Risk</t>
        </is>
      </c>
    </row>
    <row r="38">
      <c r="A38" t="inlineStr">
        <is>
          <t>LP001109</t>
        </is>
      </c>
      <c r="B38" t="inlineStr">
        <is>
          <t>Male</t>
        </is>
      </c>
      <c r="C38" t="inlineStr">
        <is>
          <t>Yes</t>
        </is>
      </c>
      <c r="D38" t="n">
        <v>0</v>
      </c>
      <c r="E38" t="inlineStr">
        <is>
          <t>Graduate</t>
        </is>
      </c>
      <c r="F38" t="inlineStr">
        <is>
          <t>No</t>
        </is>
      </c>
      <c r="G38" t="n">
        <v>1828</v>
      </c>
      <c r="H38" t="n">
        <v>1330</v>
      </c>
      <c r="I38" t="n">
        <v>100</v>
      </c>
      <c r="J38" t="n">
        <v/>
      </c>
      <c r="K38" t="n">
        <v>0</v>
      </c>
      <c r="L38" t="inlineStr">
        <is>
          <t>Urban</t>
        </is>
      </c>
      <c r="M38" t="inlineStr">
        <is>
          <t>N</t>
        </is>
      </c>
      <c r="N38" t="inlineStr">
        <is>
          <t>High Risk</t>
        </is>
      </c>
    </row>
    <row r="39">
      <c r="A39" t="inlineStr">
        <is>
          <t>LP001112</t>
        </is>
      </c>
      <c r="B39" t="inlineStr">
        <is>
          <t>Female</t>
        </is>
      </c>
      <c r="C39" t="inlineStr">
        <is>
          <t>Yes</t>
        </is>
      </c>
      <c r="D39" t="n">
        <v>0</v>
      </c>
      <c r="E39" t="inlineStr">
        <is>
          <t>Graduate</t>
        </is>
      </c>
      <c r="F39" t="inlineStr">
        <is>
          <t>No</t>
        </is>
      </c>
      <c r="G39" t="n">
        <v>3667</v>
      </c>
      <c r="H39" t="n">
        <v>1459</v>
      </c>
      <c r="I39" t="n">
        <v>144</v>
      </c>
      <c r="J39" t="n">
        <v>360</v>
      </c>
      <c r="K39" t="n">
        <v>1</v>
      </c>
      <c r="L39" t="inlineStr">
        <is>
          <t>Semiurban</t>
        </is>
      </c>
      <c r="M39" t="inlineStr">
        <is>
          <t>Y</t>
        </is>
      </c>
      <c r="N39" t="inlineStr">
        <is>
          <t>Lower Risk</t>
        </is>
      </c>
    </row>
    <row r="40">
      <c r="A40" t="inlineStr">
        <is>
          <t>LP001114</t>
        </is>
      </c>
      <c r="B40" t="inlineStr">
        <is>
          <t>Male</t>
        </is>
      </c>
      <c r="C40" t="inlineStr">
        <is>
          <t>No</t>
        </is>
      </c>
      <c r="D40" t="n">
        <v>0</v>
      </c>
      <c r="E40" t="inlineStr">
        <is>
          <t>Graduate</t>
        </is>
      </c>
      <c r="F40" t="inlineStr">
        <is>
          <t>No</t>
        </is>
      </c>
      <c r="G40" t="n">
        <v>4166</v>
      </c>
      <c r="H40" t="n">
        <v>7210</v>
      </c>
      <c r="I40" t="n">
        <v>184</v>
      </c>
      <c r="J40" t="n">
        <v>360</v>
      </c>
      <c r="K40" t="n">
        <v>1</v>
      </c>
      <c r="L40" t="inlineStr">
        <is>
          <t>Urban</t>
        </is>
      </c>
      <c r="M40" t="inlineStr">
        <is>
          <t>Y</t>
        </is>
      </c>
      <c r="N40" t="inlineStr">
        <is>
          <t>Lower Risk</t>
        </is>
      </c>
    </row>
    <row r="41">
      <c r="A41" t="inlineStr">
        <is>
          <t>LP001116</t>
        </is>
      </c>
      <c r="B41" t="inlineStr">
        <is>
          <t>Male</t>
        </is>
      </c>
      <c r="C41" t="inlineStr">
        <is>
          <t>No</t>
        </is>
      </c>
      <c r="D41" t="n">
        <v>0</v>
      </c>
      <c r="E41" t="inlineStr">
        <is>
          <t>Not Graduate</t>
        </is>
      </c>
      <c r="F41" t="inlineStr">
        <is>
          <t>No</t>
        </is>
      </c>
      <c r="G41" t="n">
        <v>3748</v>
      </c>
      <c r="H41" t="n">
        <v>1668</v>
      </c>
      <c r="I41" t="n">
        <v>110</v>
      </c>
      <c r="J41" t="n">
        <v>360</v>
      </c>
      <c r="K41" t="n">
        <v>1</v>
      </c>
      <c r="L41" t="inlineStr">
        <is>
          <t>Semiurban</t>
        </is>
      </c>
      <c r="M41" t="inlineStr">
        <is>
          <t>Y</t>
        </is>
      </c>
      <c r="N41" t="inlineStr">
        <is>
          <t>Lower Risk</t>
        </is>
      </c>
    </row>
    <row r="42">
      <c r="A42" t="inlineStr">
        <is>
          <t>LP001119</t>
        </is>
      </c>
      <c r="B42" t="inlineStr">
        <is>
          <t>Male</t>
        </is>
      </c>
      <c r="C42" t="inlineStr">
        <is>
          <t>No</t>
        </is>
      </c>
      <c r="D42" t="n">
        <v>0</v>
      </c>
      <c r="E42" t="inlineStr">
        <is>
          <t>Graduate</t>
        </is>
      </c>
      <c r="F42" t="inlineStr">
        <is>
          <t>No</t>
        </is>
      </c>
      <c r="G42" t="n">
        <v>3600</v>
      </c>
      <c r="H42" t="n">
        <v>0</v>
      </c>
      <c r="I42" t="n">
        <v>80</v>
      </c>
      <c r="J42" t="n">
        <v>360</v>
      </c>
      <c r="K42" t="n">
        <v>1</v>
      </c>
      <c r="L42" t="inlineStr">
        <is>
          <t>Urban</t>
        </is>
      </c>
      <c r="M42" t="inlineStr">
        <is>
          <t>N</t>
        </is>
      </c>
      <c r="N42" t="inlineStr">
        <is>
          <t>Medium Risk</t>
        </is>
      </c>
    </row>
    <row r="43">
      <c r="A43" t="inlineStr">
        <is>
          <t>LP001120</t>
        </is>
      </c>
      <c r="B43" t="inlineStr">
        <is>
          <t>Male</t>
        </is>
      </c>
      <c r="C43" t="inlineStr">
        <is>
          <t>No</t>
        </is>
      </c>
      <c r="D43" t="n">
        <v>0</v>
      </c>
      <c r="E43" t="inlineStr">
        <is>
          <t>Graduate</t>
        </is>
      </c>
      <c r="F43" t="inlineStr">
        <is>
          <t>No</t>
        </is>
      </c>
      <c r="G43" t="n">
        <v>1800</v>
      </c>
      <c r="H43" t="n">
        <v>1213</v>
      </c>
      <c r="I43" t="n">
        <v>47</v>
      </c>
      <c r="J43" t="n">
        <v>360</v>
      </c>
      <c r="K43" t="n">
        <v>1</v>
      </c>
      <c r="L43" t="inlineStr">
        <is>
          <t>Urban</t>
        </is>
      </c>
      <c r="M43" t="inlineStr">
        <is>
          <t>Y</t>
        </is>
      </c>
      <c r="N43" t="inlineStr">
        <is>
          <t>Lower Risk</t>
        </is>
      </c>
    </row>
    <row r="44">
      <c r="A44" t="inlineStr">
        <is>
          <t>LP001123</t>
        </is>
      </c>
      <c r="B44" t="inlineStr">
        <is>
          <t>Male</t>
        </is>
      </c>
      <c r="C44" t="inlineStr">
        <is>
          <t>Yes</t>
        </is>
      </c>
      <c r="D44" t="n">
        <v>0</v>
      </c>
      <c r="E44" t="inlineStr">
        <is>
          <t>Graduate</t>
        </is>
      </c>
      <c r="F44" t="inlineStr">
        <is>
          <t>No</t>
        </is>
      </c>
      <c r="G44" t="n">
        <v>2400</v>
      </c>
      <c r="H44" t="n">
        <v>0</v>
      </c>
      <c r="I44" t="n">
        <v>75</v>
      </c>
      <c r="J44" t="n">
        <v>360</v>
      </c>
      <c r="K44" t="n">
        <v/>
      </c>
      <c r="L44" t="inlineStr">
        <is>
          <t>Urban</t>
        </is>
      </c>
      <c r="M44" t="inlineStr">
        <is>
          <t>Y</t>
        </is>
      </c>
      <c r="N44" t="inlineStr">
        <is>
          <t>Medium Risk</t>
        </is>
      </c>
    </row>
    <row r="45">
      <c r="A45" t="inlineStr">
        <is>
          <t>LP001131</t>
        </is>
      </c>
      <c r="B45" t="inlineStr">
        <is>
          <t>Male</t>
        </is>
      </c>
      <c r="C45" t="inlineStr">
        <is>
          <t>Yes</t>
        </is>
      </c>
      <c r="D45" t="n">
        <v>0</v>
      </c>
      <c r="E45" t="inlineStr">
        <is>
          <t>Graduate</t>
        </is>
      </c>
      <c r="F45" t="inlineStr">
        <is>
          <t>No</t>
        </is>
      </c>
      <c r="G45" t="n">
        <v>3941</v>
      </c>
      <c r="H45" t="n">
        <v>2336</v>
      </c>
      <c r="I45" t="n">
        <v>134</v>
      </c>
      <c r="J45" t="n">
        <v>360</v>
      </c>
      <c r="K45" t="n">
        <v>1</v>
      </c>
      <c r="L45" t="inlineStr">
        <is>
          <t>Semiurban</t>
        </is>
      </c>
      <c r="M45" t="inlineStr">
        <is>
          <t>Y</t>
        </is>
      </c>
      <c r="N45" t="inlineStr">
        <is>
          <t>Lower Risk</t>
        </is>
      </c>
    </row>
    <row r="46">
      <c r="A46" t="inlineStr">
        <is>
          <t>LP001136</t>
        </is>
      </c>
      <c r="B46" t="inlineStr">
        <is>
          <t>Male</t>
        </is>
      </c>
      <c r="C46" t="inlineStr">
        <is>
          <t>Yes</t>
        </is>
      </c>
      <c r="D46" t="n">
        <v>0</v>
      </c>
      <c r="E46" t="inlineStr">
        <is>
          <t>Not Graduate</t>
        </is>
      </c>
      <c r="F46" t="inlineStr">
        <is>
          <t>Yes</t>
        </is>
      </c>
      <c r="G46" t="n">
        <v>4695</v>
      </c>
      <c r="H46" t="n">
        <v>0</v>
      </c>
      <c r="I46" t="n">
        <v>96</v>
      </c>
      <c r="J46" t="n">
        <v/>
      </c>
      <c r="K46" t="n">
        <v>1</v>
      </c>
      <c r="L46" t="inlineStr">
        <is>
          <t>Urban</t>
        </is>
      </c>
      <c r="M46" t="inlineStr">
        <is>
          <t>Y</t>
        </is>
      </c>
      <c r="N46" t="inlineStr">
        <is>
          <t>Lower Risk</t>
        </is>
      </c>
    </row>
    <row r="47">
      <c r="A47" t="inlineStr">
        <is>
          <t>LP001137</t>
        </is>
      </c>
      <c r="B47" t="inlineStr">
        <is>
          <t>Female</t>
        </is>
      </c>
      <c r="C47" t="inlineStr">
        <is>
          <t>No</t>
        </is>
      </c>
      <c r="D47" t="n">
        <v>0</v>
      </c>
      <c r="E47" t="inlineStr">
        <is>
          <t>Graduate</t>
        </is>
      </c>
      <c r="F47" t="inlineStr">
        <is>
          <t>No</t>
        </is>
      </c>
      <c r="G47" t="n">
        <v>3410</v>
      </c>
      <c r="H47" t="n">
        <v>0</v>
      </c>
      <c r="I47" t="n">
        <v>88</v>
      </c>
      <c r="J47" t="n">
        <v/>
      </c>
      <c r="K47" t="n">
        <v>1</v>
      </c>
      <c r="L47" t="inlineStr">
        <is>
          <t>Urban</t>
        </is>
      </c>
      <c r="M47" t="inlineStr">
        <is>
          <t>Y</t>
        </is>
      </c>
      <c r="N47" t="inlineStr">
        <is>
          <t>Lower Risk</t>
        </is>
      </c>
    </row>
    <row r="48">
      <c r="A48" t="inlineStr">
        <is>
          <t>LP001138</t>
        </is>
      </c>
      <c r="B48" t="inlineStr">
        <is>
          <t>Male</t>
        </is>
      </c>
      <c r="C48" t="inlineStr">
        <is>
          <t>Yes</t>
        </is>
      </c>
      <c r="D48" t="n">
        <v>1</v>
      </c>
      <c r="E48" t="inlineStr">
        <is>
          <t>Graduate</t>
        </is>
      </c>
      <c r="F48" t="inlineStr">
        <is>
          <t>No</t>
        </is>
      </c>
      <c r="G48" t="n">
        <v>5649</v>
      </c>
      <c r="H48" t="n">
        <v>0</v>
      </c>
      <c r="I48" t="n">
        <v>44</v>
      </c>
      <c r="J48" t="n">
        <v>360</v>
      </c>
      <c r="K48" t="n">
        <v>1</v>
      </c>
      <c r="L48" t="inlineStr">
        <is>
          <t>Urban</t>
        </is>
      </c>
      <c r="M48" t="inlineStr">
        <is>
          <t>Y</t>
        </is>
      </c>
      <c r="N48" t="inlineStr">
        <is>
          <t>Lower Risk</t>
        </is>
      </c>
    </row>
    <row r="49">
      <c r="A49" t="inlineStr">
        <is>
          <t>LP001144</t>
        </is>
      </c>
      <c r="B49" t="inlineStr">
        <is>
          <t>Male</t>
        </is>
      </c>
      <c r="C49" t="inlineStr">
        <is>
          <t>Yes</t>
        </is>
      </c>
      <c r="D49" t="n">
        <v>0</v>
      </c>
      <c r="E49" t="inlineStr">
        <is>
          <t>Graduate</t>
        </is>
      </c>
      <c r="F49" t="inlineStr">
        <is>
          <t>No</t>
        </is>
      </c>
      <c r="G49" t="n">
        <v>5821</v>
      </c>
      <c r="H49" t="n">
        <v>0</v>
      </c>
      <c r="I49" t="n">
        <v>144</v>
      </c>
      <c r="J49" t="n">
        <v>360</v>
      </c>
      <c r="K49" t="n">
        <v>1</v>
      </c>
      <c r="L49" t="inlineStr">
        <is>
          <t>Urban</t>
        </is>
      </c>
      <c r="M49" t="inlineStr">
        <is>
          <t>Y</t>
        </is>
      </c>
      <c r="N49" t="inlineStr">
        <is>
          <t>Lower Risk</t>
        </is>
      </c>
    </row>
    <row r="50">
      <c r="A50" t="inlineStr">
        <is>
          <t>LP001146</t>
        </is>
      </c>
      <c r="B50" t="inlineStr">
        <is>
          <t>Female</t>
        </is>
      </c>
      <c r="C50" t="inlineStr">
        <is>
          <t>Yes</t>
        </is>
      </c>
      <c r="D50" t="n">
        <v>0</v>
      </c>
      <c r="E50" t="inlineStr">
        <is>
          <t>Graduate</t>
        </is>
      </c>
      <c r="F50" t="inlineStr">
        <is>
          <t>No</t>
        </is>
      </c>
      <c r="G50" t="n">
        <v>2645</v>
      </c>
      <c r="H50" t="n">
        <v>3440</v>
      </c>
      <c r="I50" t="n">
        <v>120</v>
      </c>
      <c r="J50" t="n">
        <v>360</v>
      </c>
      <c r="K50" t="n">
        <v>0</v>
      </c>
      <c r="L50" t="inlineStr">
        <is>
          <t>Urban</t>
        </is>
      </c>
      <c r="M50" t="inlineStr">
        <is>
          <t>N</t>
        </is>
      </c>
      <c r="N50" t="inlineStr">
        <is>
          <t>High Risk</t>
        </is>
      </c>
    </row>
    <row r="51">
      <c r="A51" t="inlineStr">
        <is>
          <t>LP001151</t>
        </is>
      </c>
      <c r="B51" t="inlineStr">
        <is>
          <t>Female</t>
        </is>
      </c>
      <c r="C51" t="inlineStr">
        <is>
          <t>No</t>
        </is>
      </c>
      <c r="D51" t="n">
        <v>0</v>
      </c>
      <c r="E51" t="inlineStr">
        <is>
          <t>Graduate</t>
        </is>
      </c>
      <c r="F51" t="inlineStr">
        <is>
          <t>No</t>
        </is>
      </c>
      <c r="G51" t="n">
        <v>4000</v>
      </c>
      <c r="H51" t="n">
        <v>2275</v>
      </c>
      <c r="I51" t="n">
        <v>144</v>
      </c>
      <c r="J51" t="n">
        <v>360</v>
      </c>
      <c r="K51" t="n">
        <v>1</v>
      </c>
      <c r="L51" t="inlineStr">
        <is>
          <t>Semiurban</t>
        </is>
      </c>
      <c r="M51" t="inlineStr">
        <is>
          <t>Y</t>
        </is>
      </c>
      <c r="N51" t="inlineStr">
        <is>
          <t>Lower Risk</t>
        </is>
      </c>
    </row>
    <row r="52">
      <c r="A52" t="inlineStr">
        <is>
          <t>LP001155</t>
        </is>
      </c>
      <c r="B52" t="inlineStr">
        <is>
          <t>Female</t>
        </is>
      </c>
      <c r="C52" t="inlineStr">
        <is>
          <t>Yes</t>
        </is>
      </c>
      <c r="D52" t="n">
        <v>0</v>
      </c>
      <c r="E52" t="inlineStr">
        <is>
          <t>Not Graduate</t>
        </is>
      </c>
      <c r="F52" t="inlineStr">
        <is>
          <t>No</t>
        </is>
      </c>
      <c r="G52" t="n">
        <v>1928</v>
      </c>
      <c r="H52" t="n">
        <v>1644</v>
      </c>
      <c r="I52" t="n">
        <v>100</v>
      </c>
      <c r="J52" t="n">
        <v>360</v>
      </c>
      <c r="K52" t="n">
        <v>1</v>
      </c>
      <c r="L52" t="inlineStr">
        <is>
          <t>Semiurban</t>
        </is>
      </c>
      <c r="M52" t="inlineStr">
        <is>
          <t>Y</t>
        </is>
      </c>
      <c r="N52" t="inlineStr">
        <is>
          <t>Lower Risk</t>
        </is>
      </c>
    </row>
    <row r="53">
      <c r="A53" t="inlineStr">
        <is>
          <t>LP001157</t>
        </is>
      </c>
      <c r="B53" t="inlineStr">
        <is>
          <t>Female</t>
        </is>
      </c>
      <c r="C53" t="inlineStr">
        <is>
          <t>No</t>
        </is>
      </c>
      <c r="D53" t="n">
        <v>0</v>
      </c>
      <c r="E53" t="inlineStr">
        <is>
          <t>Graduate</t>
        </is>
      </c>
      <c r="F53" t="inlineStr">
        <is>
          <t>No</t>
        </is>
      </c>
      <c r="G53" t="n">
        <v>3086</v>
      </c>
      <c r="H53" t="n">
        <v>0</v>
      </c>
      <c r="I53" t="n">
        <v>120</v>
      </c>
      <c r="J53" t="n">
        <v>360</v>
      </c>
      <c r="K53" t="n">
        <v>1</v>
      </c>
      <c r="L53" t="inlineStr">
        <is>
          <t>Semiurban</t>
        </is>
      </c>
      <c r="M53" t="inlineStr">
        <is>
          <t>Y</t>
        </is>
      </c>
      <c r="N53" t="inlineStr">
        <is>
          <t>Lower Risk</t>
        </is>
      </c>
    </row>
    <row r="54">
      <c r="A54" t="inlineStr">
        <is>
          <t>LP001164</t>
        </is>
      </c>
      <c r="B54" t="inlineStr">
        <is>
          <t>Female</t>
        </is>
      </c>
      <c r="C54" t="inlineStr">
        <is>
          <t>No</t>
        </is>
      </c>
      <c r="D54" t="n">
        <v>0</v>
      </c>
      <c r="E54" t="inlineStr">
        <is>
          <t>Graduate</t>
        </is>
      </c>
      <c r="F54" t="inlineStr">
        <is>
          <t>No</t>
        </is>
      </c>
      <c r="G54" t="n">
        <v>4230</v>
      </c>
      <c r="H54" t="n">
        <v>0</v>
      </c>
      <c r="I54" t="n">
        <v>112</v>
      </c>
      <c r="J54" t="n">
        <v>360</v>
      </c>
      <c r="K54" t="n">
        <v>1</v>
      </c>
      <c r="L54" t="inlineStr">
        <is>
          <t>Semiurban</t>
        </is>
      </c>
      <c r="M54" t="inlineStr">
        <is>
          <t>N</t>
        </is>
      </c>
      <c r="N54" t="inlineStr">
        <is>
          <t>Medium Risk</t>
        </is>
      </c>
    </row>
    <row r="55">
      <c r="A55" t="inlineStr">
        <is>
          <t>LP001179</t>
        </is>
      </c>
      <c r="B55" t="inlineStr">
        <is>
          <t>Male</t>
        </is>
      </c>
      <c r="C55" t="inlineStr">
        <is>
          <t>Yes</t>
        </is>
      </c>
      <c r="D55" t="n">
        <v>2</v>
      </c>
      <c r="E55" t="inlineStr">
        <is>
          <t>Graduate</t>
        </is>
      </c>
      <c r="F55" t="inlineStr">
        <is>
          <t>No</t>
        </is>
      </c>
      <c r="G55" t="n">
        <v>4616</v>
      </c>
      <c r="H55" t="n">
        <v>0</v>
      </c>
      <c r="I55" t="n">
        <v>134</v>
      </c>
      <c r="J55" t="n">
        <v>360</v>
      </c>
      <c r="K55" t="n">
        <v>1</v>
      </c>
      <c r="L55" t="inlineStr">
        <is>
          <t>Urban</t>
        </is>
      </c>
      <c r="M55" t="inlineStr">
        <is>
          <t>N</t>
        </is>
      </c>
      <c r="N55" t="inlineStr">
        <is>
          <t>Medium Risk</t>
        </is>
      </c>
    </row>
    <row r="56">
      <c r="A56" t="inlineStr">
        <is>
          <t>LP001186</t>
        </is>
      </c>
      <c r="B56" t="inlineStr">
        <is>
          <t>Female</t>
        </is>
      </c>
      <c r="C56" t="inlineStr">
        <is>
          <t>Yes</t>
        </is>
      </c>
      <c r="D56" t="n">
        <v>1</v>
      </c>
      <c r="E56" t="inlineStr">
        <is>
          <t>Graduate</t>
        </is>
      </c>
      <c r="F56" t="inlineStr">
        <is>
          <t>Yes</t>
        </is>
      </c>
      <c r="G56" t="n">
        <v>11500</v>
      </c>
      <c r="H56" t="n">
        <v>0</v>
      </c>
      <c r="I56" t="n">
        <v>286</v>
      </c>
      <c r="J56" t="n">
        <v>360</v>
      </c>
      <c r="K56" t="n">
        <v>0</v>
      </c>
      <c r="L56" t="inlineStr">
        <is>
          <t>Urban</t>
        </is>
      </c>
      <c r="M56" t="inlineStr">
        <is>
          <t>N</t>
        </is>
      </c>
      <c r="N56" t="inlineStr">
        <is>
          <t>High Risk</t>
        </is>
      </c>
    </row>
    <row r="57">
      <c r="A57" t="inlineStr">
        <is>
          <t>LP001194</t>
        </is>
      </c>
      <c r="B57" t="inlineStr">
        <is>
          <t>Male</t>
        </is>
      </c>
      <c r="C57" t="inlineStr">
        <is>
          <t>Yes</t>
        </is>
      </c>
      <c r="D57" t="n">
        <v>2</v>
      </c>
      <c r="E57" t="inlineStr">
        <is>
          <t>Graduate</t>
        </is>
      </c>
      <c r="F57" t="inlineStr">
        <is>
          <t>No</t>
        </is>
      </c>
      <c r="G57" t="n">
        <v>2708</v>
      </c>
      <c r="H57" t="n">
        <v>1167</v>
      </c>
      <c r="I57" t="n">
        <v>97</v>
      </c>
      <c r="J57" t="n">
        <v>360</v>
      </c>
      <c r="K57" t="n">
        <v>1</v>
      </c>
      <c r="L57" t="inlineStr">
        <is>
          <t>Semiurban</t>
        </is>
      </c>
      <c r="M57" t="inlineStr">
        <is>
          <t>Y</t>
        </is>
      </c>
      <c r="N57" t="inlineStr">
        <is>
          <t>Lower Risk</t>
        </is>
      </c>
    </row>
    <row r="58">
      <c r="A58" t="inlineStr">
        <is>
          <t>LP001195</t>
        </is>
      </c>
      <c r="B58" t="inlineStr">
        <is>
          <t>Male</t>
        </is>
      </c>
      <c r="C58" t="inlineStr">
        <is>
          <t>Yes</t>
        </is>
      </c>
      <c r="D58" t="n">
        <v>0</v>
      </c>
      <c r="E58" t="inlineStr">
        <is>
          <t>Graduate</t>
        </is>
      </c>
      <c r="F58" t="inlineStr">
        <is>
          <t>No</t>
        </is>
      </c>
      <c r="G58" t="n">
        <v>2132</v>
      </c>
      <c r="H58" t="n">
        <v>1591</v>
      </c>
      <c r="I58" t="n">
        <v>96</v>
      </c>
      <c r="J58" t="n">
        <v>360</v>
      </c>
      <c r="K58" t="n">
        <v>1</v>
      </c>
      <c r="L58" t="inlineStr">
        <is>
          <t>Semiurban</t>
        </is>
      </c>
      <c r="M58" t="inlineStr">
        <is>
          <t>Y</t>
        </is>
      </c>
      <c r="N58" t="inlineStr">
        <is>
          <t>Lower Risk</t>
        </is>
      </c>
    </row>
    <row r="59">
      <c r="A59" t="inlineStr">
        <is>
          <t>LP001197</t>
        </is>
      </c>
      <c r="B59" t="inlineStr">
        <is>
          <t>Male</t>
        </is>
      </c>
      <c r="C59" t="inlineStr">
        <is>
          <t>Yes</t>
        </is>
      </c>
      <c r="D59" t="n">
        <v>0</v>
      </c>
      <c r="E59" t="inlineStr">
        <is>
          <t>Graduate</t>
        </is>
      </c>
      <c r="F59" t="inlineStr">
        <is>
          <t>No</t>
        </is>
      </c>
      <c r="G59" t="n">
        <v>3366</v>
      </c>
      <c r="H59" t="n">
        <v>2200</v>
      </c>
      <c r="I59" t="n">
        <v>135</v>
      </c>
      <c r="J59" t="n">
        <v>360</v>
      </c>
      <c r="K59" t="n">
        <v>1</v>
      </c>
      <c r="L59" t="inlineStr">
        <is>
          <t>Rural</t>
        </is>
      </c>
      <c r="M59" t="inlineStr">
        <is>
          <t>N</t>
        </is>
      </c>
      <c r="N59" t="inlineStr">
        <is>
          <t>Medium Risk</t>
        </is>
      </c>
    </row>
    <row r="60">
      <c r="A60" t="inlineStr">
        <is>
          <t>LP001198</t>
        </is>
      </c>
      <c r="B60" t="inlineStr">
        <is>
          <t>Male</t>
        </is>
      </c>
      <c r="C60" t="inlineStr">
        <is>
          <t>Yes</t>
        </is>
      </c>
      <c r="D60" t="n">
        <v>1</v>
      </c>
      <c r="E60" t="inlineStr">
        <is>
          <t>Graduate</t>
        </is>
      </c>
      <c r="F60" t="inlineStr">
        <is>
          <t>No</t>
        </is>
      </c>
      <c r="G60" t="n">
        <v>8080</v>
      </c>
      <c r="H60" t="n">
        <v>2250</v>
      </c>
      <c r="I60" t="n">
        <v>180</v>
      </c>
      <c r="J60" t="n">
        <v>360</v>
      </c>
      <c r="K60" t="n">
        <v>1</v>
      </c>
      <c r="L60" t="inlineStr">
        <is>
          <t>Urban</t>
        </is>
      </c>
      <c r="M60" t="inlineStr">
        <is>
          <t>Y</t>
        </is>
      </c>
      <c r="N60" t="inlineStr">
        <is>
          <t>Lower Risk</t>
        </is>
      </c>
    </row>
    <row r="61">
      <c r="A61" t="inlineStr">
        <is>
          <t>LP001199</t>
        </is>
      </c>
      <c r="B61" t="inlineStr">
        <is>
          <t>Male</t>
        </is>
      </c>
      <c r="C61" t="inlineStr">
        <is>
          <t>Yes</t>
        </is>
      </c>
      <c r="D61" t="n">
        <v>2</v>
      </c>
      <c r="E61" t="inlineStr">
        <is>
          <t>Not Graduate</t>
        </is>
      </c>
      <c r="F61" t="inlineStr">
        <is>
          <t>No</t>
        </is>
      </c>
      <c r="G61" t="n">
        <v>3357</v>
      </c>
      <c r="H61" t="n">
        <v>2859</v>
      </c>
      <c r="I61" t="n">
        <v>144</v>
      </c>
      <c r="J61" t="n">
        <v>360</v>
      </c>
      <c r="K61" t="n">
        <v>1</v>
      </c>
      <c r="L61" t="inlineStr">
        <is>
          <t>Urban</t>
        </is>
      </c>
      <c r="M61" t="inlineStr">
        <is>
          <t>Y</t>
        </is>
      </c>
      <c r="N61" t="inlineStr">
        <is>
          <t>Lower Risk</t>
        </is>
      </c>
    </row>
    <row r="62">
      <c r="A62" t="inlineStr">
        <is>
          <t>LP001205</t>
        </is>
      </c>
      <c r="B62" t="inlineStr">
        <is>
          <t>Male</t>
        </is>
      </c>
      <c r="C62" t="inlineStr">
        <is>
          <t>Yes</t>
        </is>
      </c>
      <c r="D62" t="n">
        <v>0</v>
      </c>
      <c r="E62" t="inlineStr">
        <is>
          <t>Graduate</t>
        </is>
      </c>
      <c r="F62" t="inlineStr">
        <is>
          <t>No</t>
        </is>
      </c>
      <c r="G62" t="n">
        <v>2500</v>
      </c>
      <c r="H62" t="n">
        <v>3796</v>
      </c>
      <c r="I62" t="n">
        <v>120</v>
      </c>
      <c r="J62" t="n">
        <v>360</v>
      </c>
      <c r="K62" t="n">
        <v>1</v>
      </c>
      <c r="L62" t="inlineStr">
        <is>
          <t>Urban</t>
        </is>
      </c>
      <c r="M62" t="inlineStr">
        <is>
          <t>Y</t>
        </is>
      </c>
      <c r="N62" t="inlineStr">
        <is>
          <t>Lower Risk</t>
        </is>
      </c>
    </row>
    <row r="63">
      <c r="A63" t="inlineStr">
        <is>
          <t>LP001206</t>
        </is>
      </c>
      <c r="B63" t="inlineStr">
        <is>
          <t>Male</t>
        </is>
      </c>
      <c r="C63" t="inlineStr">
        <is>
          <t>Yes</t>
        </is>
      </c>
      <c r="D63" t="inlineStr">
        <is>
          <t>3+</t>
        </is>
      </c>
      <c r="E63" t="inlineStr">
        <is>
          <t>Graduate</t>
        </is>
      </c>
      <c r="F63" t="inlineStr">
        <is>
          <t>No</t>
        </is>
      </c>
      <c r="G63" t="n">
        <v>3029</v>
      </c>
      <c r="H63" t="n">
        <v>0</v>
      </c>
      <c r="I63" t="n">
        <v>99</v>
      </c>
      <c r="J63" t="n">
        <v>360</v>
      </c>
      <c r="K63" t="n">
        <v>1</v>
      </c>
      <c r="L63" t="inlineStr">
        <is>
          <t>Urban</t>
        </is>
      </c>
      <c r="M63" t="inlineStr">
        <is>
          <t>Y</t>
        </is>
      </c>
      <c r="N63" t="inlineStr">
        <is>
          <t>Lower Risk</t>
        </is>
      </c>
    </row>
    <row r="64">
      <c r="A64" t="inlineStr">
        <is>
          <t>LP001207</t>
        </is>
      </c>
      <c r="B64" t="inlineStr">
        <is>
          <t>Male</t>
        </is>
      </c>
      <c r="C64" t="inlineStr">
        <is>
          <t>Yes</t>
        </is>
      </c>
      <c r="D64" t="n">
        <v>0</v>
      </c>
      <c r="E64" t="inlineStr">
        <is>
          <t>Not Graduate</t>
        </is>
      </c>
      <c r="F64" t="inlineStr">
        <is>
          <t>Yes</t>
        </is>
      </c>
      <c r="G64" t="n">
        <v>2609</v>
      </c>
      <c r="H64" t="n">
        <v>3449</v>
      </c>
      <c r="I64" t="n">
        <v>165</v>
      </c>
      <c r="J64" t="n">
        <v>180</v>
      </c>
      <c r="K64" t="n">
        <v>0</v>
      </c>
      <c r="L64" t="inlineStr">
        <is>
          <t>Rural</t>
        </is>
      </c>
      <c r="M64" t="inlineStr">
        <is>
          <t>N</t>
        </is>
      </c>
      <c r="N64" t="inlineStr">
        <is>
          <t>High Risk</t>
        </is>
      </c>
    </row>
    <row r="65">
      <c r="A65" t="inlineStr">
        <is>
          <t>LP001213</t>
        </is>
      </c>
      <c r="B65" t="inlineStr">
        <is>
          <t>Male</t>
        </is>
      </c>
      <c r="C65" t="inlineStr">
        <is>
          <t>Yes</t>
        </is>
      </c>
      <c r="D65" t="n">
        <v>1</v>
      </c>
      <c r="E65" t="inlineStr">
        <is>
          <t>Graduate</t>
        </is>
      </c>
      <c r="F65" t="inlineStr">
        <is>
          <t>No</t>
        </is>
      </c>
      <c r="G65" t="n">
        <v>4945</v>
      </c>
      <c r="H65" t="n">
        <v>0</v>
      </c>
      <c r="I65" t="n">
        <v/>
      </c>
      <c r="J65" t="n">
        <v>360</v>
      </c>
      <c r="K65" t="n">
        <v>0</v>
      </c>
      <c r="L65" t="inlineStr">
        <is>
          <t>Rural</t>
        </is>
      </c>
      <c r="M65" t="inlineStr">
        <is>
          <t>N</t>
        </is>
      </c>
      <c r="N65" t="inlineStr">
        <is>
          <t>High Risk</t>
        </is>
      </c>
    </row>
    <row r="66">
      <c r="A66" t="inlineStr">
        <is>
          <t>LP001222</t>
        </is>
      </c>
      <c r="B66" t="inlineStr">
        <is>
          <t>Female</t>
        </is>
      </c>
      <c r="C66" t="inlineStr">
        <is>
          <t>No</t>
        </is>
      </c>
      <c r="D66" t="n">
        <v>0</v>
      </c>
      <c r="E66" t="inlineStr">
        <is>
          <t>Graduate</t>
        </is>
      </c>
      <c r="F66" t="inlineStr">
        <is>
          <t>No</t>
        </is>
      </c>
      <c r="G66" t="n">
        <v>4166</v>
      </c>
      <c r="H66" t="n">
        <v>0</v>
      </c>
      <c r="I66" t="n">
        <v>116</v>
      </c>
      <c r="J66" t="n">
        <v>360</v>
      </c>
      <c r="K66" t="n">
        <v>0</v>
      </c>
      <c r="L66" t="inlineStr">
        <is>
          <t>Semiurban</t>
        </is>
      </c>
      <c r="M66" t="inlineStr">
        <is>
          <t>N</t>
        </is>
      </c>
      <c r="N66" t="inlineStr">
        <is>
          <t>High Risk</t>
        </is>
      </c>
    </row>
    <row r="67">
      <c r="A67" t="inlineStr">
        <is>
          <t>LP001225</t>
        </is>
      </c>
      <c r="B67" t="inlineStr">
        <is>
          <t>Male</t>
        </is>
      </c>
      <c r="C67" t="inlineStr">
        <is>
          <t>Yes</t>
        </is>
      </c>
      <c r="D67" t="n">
        <v>0</v>
      </c>
      <c r="E67" t="inlineStr">
        <is>
          <t>Graduate</t>
        </is>
      </c>
      <c r="F67" t="inlineStr">
        <is>
          <t>No</t>
        </is>
      </c>
      <c r="G67" t="n">
        <v>5726</v>
      </c>
      <c r="H67" t="n">
        <v>4595</v>
      </c>
      <c r="I67" t="n">
        <v>258</v>
      </c>
      <c r="J67" t="n">
        <v>360</v>
      </c>
      <c r="K67" t="n">
        <v>1</v>
      </c>
      <c r="L67" t="inlineStr">
        <is>
          <t>Semiurban</t>
        </is>
      </c>
      <c r="M67" t="inlineStr">
        <is>
          <t>N</t>
        </is>
      </c>
      <c r="N67" t="inlineStr">
        <is>
          <t>Medium Risk</t>
        </is>
      </c>
    </row>
    <row r="68">
      <c r="A68" t="inlineStr">
        <is>
          <t>LP001228</t>
        </is>
      </c>
      <c r="B68" t="inlineStr">
        <is>
          <t>Male</t>
        </is>
      </c>
      <c r="C68" t="inlineStr">
        <is>
          <t>No</t>
        </is>
      </c>
      <c r="D68" t="n">
        <v>0</v>
      </c>
      <c r="E68" t="inlineStr">
        <is>
          <t>Not Graduate</t>
        </is>
      </c>
      <c r="F68" t="inlineStr">
        <is>
          <t>No</t>
        </is>
      </c>
      <c r="G68" t="n">
        <v>3200</v>
      </c>
      <c r="H68" t="n">
        <v>2254</v>
      </c>
      <c r="I68" t="n">
        <v>126</v>
      </c>
      <c r="J68" t="n">
        <v>180</v>
      </c>
      <c r="K68" t="n">
        <v>0</v>
      </c>
      <c r="L68" t="inlineStr">
        <is>
          <t>Urban</t>
        </is>
      </c>
      <c r="M68" t="inlineStr">
        <is>
          <t>N</t>
        </is>
      </c>
      <c r="N68" t="inlineStr">
        <is>
          <t>High Risk</t>
        </is>
      </c>
    </row>
    <row r="69">
      <c r="A69" t="inlineStr">
        <is>
          <t>LP001233</t>
        </is>
      </c>
      <c r="B69" t="inlineStr">
        <is>
          <t>Male</t>
        </is>
      </c>
      <c r="C69" t="inlineStr">
        <is>
          <t>Yes</t>
        </is>
      </c>
      <c r="D69" t="n">
        <v>1</v>
      </c>
      <c r="E69" t="inlineStr">
        <is>
          <t>Graduate</t>
        </is>
      </c>
      <c r="F69" t="inlineStr">
        <is>
          <t>No</t>
        </is>
      </c>
      <c r="G69" t="n">
        <v>10750</v>
      </c>
      <c r="H69" t="n">
        <v>0</v>
      </c>
      <c r="I69" t="n">
        <v>312</v>
      </c>
      <c r="J69" t="n">
        <v>360</v>
      </c>
      <c r="K69" t="n">
        <v>1</v>
      </c>
      <c r="L69" t="inlineStr">
        <is>
          <t>Urban</t>
        </is>
      </c>
      <c r="M69" t="inlineStr">
        <is>
          <t>Y</t>
        </is>
      </c>
      <c r="N69" t="inlineStr">
        <is>
          <t>Lower Risk</t>
        </is>
      </c>
    </row>
    <row r="70">
      <c r="A70" t="inlineStr">
        <is>
          <t>LP001238</t>
        </is>
      </c>
      <c r="B70" t="inlineStr">
        <is>
          <t>Male</t>
        </is>
      </c>
      <c r="C70" t="inlineStr">
        <is>
          <t>Yes</t>
        </is>
      </c>
      <c r="D70" t="inlineStr">
        <is>
          <t>3+</t>
        </is>
      </c>
      <c r="E70" t="inlineStr">
        <is>
          <t>Not Graduate</t>
        </is>
      </c>
      <c r="F70" t="inlineStr">
        <is>
          <t>Yes</t>
        </is>
      </c>
      <c r="G70" t="n">
        <v>7100</v>
      </c>
      <c r="H70" t="n">
        <v>0</v>
      </c>
      <c r="I70" t="n">
        <v>125</v>
      </c>
      <c r="J70" t="n">
        <v>60</v>
      </c>
      <c r="K70" t="n">
        <v>1</v>
      </c>
      <c r="L70" t="inlineStr">
        <is>
          <t>Urban</t>
        </is>
      </c>
      <c r="M70" t="inlineStr">
        <is>
          <t>Y</t>
        </is>
      </c>
      <c r="N70" t="inlineStr">
        <is>
          <t>Lower Risk</t>
        </is>
      </c>
    </row>
    <row r="71">
      <c r="A71" t="inlineStr">
        <is>
          <t>LP001241</t>
        </is>
      </c>
      <c r="B71" t="inlineStr">
        <is>
          <t>Female</t>
        </is>
      </c>
      <c r="C71" t="inlineStr">
        <is>
          <t>No</t>
        </is>
      </c>
      <c r="D71" t="n">
        <v>0</v>
      </c>
      <c r="E71" t="inlineStr">
        <is>
          <t>Graduate</t>
        </is>
      </c>
      <c r="F71" t="inlineStr">
        <is>
          <t>No</t>
        </is>
      </c>
      <c r="G71" t="n">
        <v>4300</v>
      </c>
      <c r="H71" t="n">
        <v>0</v>
      </c>
      <c r="I71" t="n">
        <v>136</v>
      </c>
      <c r="J71" t="n">
        <v>360</v>
      </c>
      <c r="K71" t="n">
        <v>0</v>
      </c>
      <c r="L71" t="inlineStr">
        <is>
          <t>Semiurban</t>
        </is>
      </c>
      <c r="M71" t="inlineStr">
        <is>
          <t>N</t>
        </is>
      </c>
      <c r="N71" t="inlineStr">
        <is>
          <t>High Risk</t>
        </is>
      </c>
    </row>
    <row r="72">
      <c r="A72" t="inlineStr">
        <is>
          <t>LP001243</t>
        </is>
      </c>
      <c r="B72" t="inlineStr">
        <is>
          <t>Male</t>
        </is>
      </c>
      <c r="C72" t="inlineStr">
        <is>
          <t>Yes</t>
        </is>
      </c>
      <c r="D72" t="n">
        <v>0</v>
      </c>
      <c r="E72" t="inlineStr">
        <is>
          <t>Graduate</t>
        </is>
      </c>
      <c r="F72" t="inlineStr">
        <is>
          <t>No</t>
        </is>
      </c>
      <c r="G72" t="n">
        <v>3208</v>
      </c>
      <c r="H72" t="n">
        <v>3066</v>
      </c>
      <c r="I72" t="n">
        <v>172</v>
      </c>
      <c r="J72" t="n">
        <v>360</v>
      </c>
      <c r="K72" t="n">
        <v>1</v>
      </c>
      <c r="L72" t="inlineStr">
        <is>
          <t>Urban</t>
        </is>
      </c>
      <c r="M72" t="inlineStr">
        <is>
          <t>Y</t>
        </is>
      </c>
      <c r="N72" t="inlineStr">
        <is>
          <t>Lower Risk</t>
        </is>
      </c>
    </row>
    <row r="73">
      <c r="A73" t="inlineStr">
        <is>
          <t>LP001245</t>
        </is>
      </c>
      <c r="B73" t="inlineStr">
        <is>
          <t>Male</t>
        </is>
      </c>
      <c r="C73" t="inlineStr">
        <is>
          <t>Yes</t>
        </is>
      </c>
      <c r="D73" t="n">
        <v>2</v>
      </c>
      <c r="E73" t="inlineStr">
        <is>
          <t>Not Graduate</t>
        </is>
      </c>
      <c r="F73" t="inlineStr">
        <is>
          <t>Yes</t>
        </is>
      </c>
      <c r="G73" t="n">
        <v>1875</v>
      </c>
      <c r="H73" t="n">
        <v>1875</v>
      </c>
      <c r="I73" t="n">
        <v>97</v>
      </c>
      <c r="J73" t="n">
        <v>360</v>
      </c>
      <c r="K73" t="n">
        <v>1</v>
      </c>
      <c r="L73" t="inlineStr">
        <is>
          <t>Semiurban</t>
        </is>
      </c>
      <c r="M73" t="inlineStr">
        <is>
          <t>Y</t>
        </is>
      </c>
      <c r="N73" t="inlineStr">
        <is>
          <t>Lower Risk</t>
        </is>
      </c>
    </row>
    <row r="74">
      <c r="A74" t="inlineStr">
        <is>
          <t>LP001248</t>
        </is>
      </c>
      <c r="B74" t="inlineStr">
        <is>
          <t>Male</t>
        </is>
      </c>
      <c r="C74" t="inlineStr">
        <is>
          <t>No</t>
        </is>
      </c>
      <c r="D74" t="n">
        <v>0</v>
      </c>
      <c r="E74" t="inlineStr">
        <is>
          <t>Graduate</t>
        </is>
      </c>
      <c r="F74" t="inlineStr">
        <is>
          <t>No</t>
        </is>
      </c>
      <c r="G74" t="n">
        <v>3500</v>
      </c>
      <c r="H74" t="n">
        <v>0</v>
      </c>
      <c r="I74" t="n">
        <v>81</v>
      </c>
      <c r="J74" t="n">
        <v>300</v>
      </c>
      <c r="K74" t="n">
        <v>1</v>
      </c>
      <c r="L74" t="inlineStr">
        <is>
          <t>Semiurban</t>
        </is>
      </c>
      <c r="M74" t="inlineStr">
        <is>
          <t>Y</t>
        </is>
      </c>
      <c r="N74" t="inlineStr">
        <is>
          <t>Lower Risk</t>
        </is>
      </c>
    </row>
    <row r="75">
      <c r="A75" t="inlineStr">
        <is>
          <t>LP001250</t>
        </is>
      </c>
      <c r="B75" t="inlineStr">
        <is>
          <t>Male</t>
        </is>
      </c>
      <c r="C75" t="inlineStr">
        <is>
          <t>Yes</t>
        </is>
      </c>
      <c r="D75" t="inlineStr">
        <is>
          <t>3+</t>
        </is>
      </c>
      <c r="E75" t="inlineStr">
        <is>
          <t>Not Graduate</t>
        </is>
      </c>
      <c r="F75" t="inlineStr">
        <is>
          <t>No</t>
        </is>
      </c>
      <c r="G75" t="n">
        <v>4755</v>
      </c>
      <c r="H75" t="n">
        <v>0</v>
      </c>
      <c r="I75" t="n">
        <v>95</v>
      </c>
      <c r="J75" t="n">
        <v/>
      </c>
      <c r="K75" t="n">
        <v>0</v>
      </c>
      <c r="L75" t="inlineStr">
        <is>
          <t>Semiurban</t>
        </is>
      </c>
      <c r="M75" t="inlineStr">
        <is>
          <t>N</t>
        </is>
      </c>
      <c r="N75" t="inlineStr">
        <is>
          <t>High Risk</t>
        </is>
      </c>
    </row>
    <row r="76">
      <c r="A76" t="inlineStr">
        <is>
          <t>LP001253</t>
        </is>
      </c>
      <c r="B76" t="inlineStr">
        <is>
          <t>Male</t>
        </is>
      </c>
      <c r="C76" t="inlineStr">
        <is>
          <t>Yes</t>
        </is>
      </c>
      <c r="D76" t="inlineStr">
        <is>
          <t>3+</t>
        </is>
      </c>
      <c r="E76" t="inlineStr">
        <is>
          <t>Graduate</t>
        </is>
      </c>
      <c r="F76" t="inlineStr">
        <is>
          <t>Yes</t>
        </is>
      </c>
      <c r="G76" t="n">
        <v>5266</v>
      </c>
      <c r="H76" t="n">
        <v>1774</v>
      </c>
      <c r="I76" t="n">
        <v>187</v>
      </c>
      <c r="J76" t="n">
        <v>360</v>
      </c>
      <c r="K76" t="n">
        <v>1</v>
      </c>
      <c r="L76" t="inlineStr">
        <is>
          <t>Semiurban</t>
        </is>
      </c>
      <c r="M76" t="inlineStr">
        <is>
          <t>Y</t>
        </is>
      </c>
      <c r="N76" t="inlineStr">
        <is>
          <t>Lower Risk</t>
        </is>
      </c>
    </row>
    <row r="77">
      <c r="A77" t="inlineStr">
        <is>
          <t>LP001255</t>
        </is>
      </c>
      <c r="B77" t="inlineStr">
        <is>
          <t>Male</t>
        </is>
      </c>
      <c r="C77" t="inlineStr">
        <is>
          <t>No</t>
        </is>
      </c>
      <c r="D77" t="n">
        <v>0</v>
      </c>
      <c r="E77" t="inlineStr">
        <is>
          <t>Graduate</t>
        </is>
      </c>
      <c r="F77" t="inlineStr">
        <is>
          <t>No</t>
        </is>
      </c>
      <c r="G77" t="n">
        <v>3750</v>
      </c>
      <c r="H77" t="n">
        <v>0</v>
      </c>
      <c r="I77" t="n">
        <v>113</v>
      </c>
      <c r="J77" t="n">
        <v>480</v>
      </c>
      <c r="K77" t="n">
        <v>1</v>
      </c>
      <c r="L77" t="inlineStr">
        <is>
          <t>Urban</t>
        </is>
      </c>
      <c r="M77" t="inlineStr">
        <is>
          <t>N</t>
        </is>
      </c>
      <c r="N77" t="inlineStr">
        <is>
          <t>Medium Risk</t>
        </is>
      </c>
    </row>
    <row r="78">
      <c r="A78" t="inlineStr">
        <is>
          <t>LP001256</t>
        </is>
      </c>
      <c r="B78" t="inlineStr">
        <is>
          <t>Male</t>
        </is>
      </c>
      <c r="C78" t="inlineStr">
        <is>
          <t>No</t>
        </is>
      </c>
      <c r="D78" t="n">
        <v>0</v>
      </c>
      <c r="E78" t="inlineStr">
        <is>
          <t>Graduate</t>
        </is>
      </c>
      <c r="F78" t="inlineStr">
        <is>
          <t>No</t>
        </is>
      </c>
      <c r="G78" t="n">
        <v>3750</v>
      </c>
      <c r="H78" t="n">
        <v>4750</v>
      </c>
      <c r="I78" t="n">
        <v>176</v>
      </c>
      <c r="J78" t="n">
        <v>360</v>
      </c>
      <c r="K78" t="n">
        <v>1</v>
      </c>
      <c r="L78" t="inlineStr">
        <is>
          <t>Urban</t>
        </is>
      </c>
      <c r="M78" t="inlineStr">
        <is>
          <t>N</t>
        </is>
      </c>
      <c r="N78" t="inlineStr">
        <is>
          <t>Medium Risk</t>
        </is>
      </c>
    </row>
    <row r="79">
      <c r="A79" t="inlineStr">
        <is>
          <t>LP001259</t>
        </is>
      </c>
      <c r="B79" t="inlineStr">
        <is>
          <t>Male</t>
        </is>
      </c>
      <c r="C79" t="inlineStr">
        <is>
          <t>Yes</t>
        </is>
      </c>
      <c r="D79" t="n">
        <v>1</v>
      </c>
      <c r="E79" t="inlineStr">
        <is>
          <t>Graduate</t>
        </is>
      </c>
      <c r="F79" t="inlineStr">
        <is>
          <t>Yes</t>
        </is>
      </c>
      <c r="G79" t="n">
        <v>1000</v>
      </c>
      <c r="H79" t="n">
        <v>3022</v>
      </c>
      <c r="I79" t="n">
        <v>110</v>
      </c>
      <c r="J79" t="n">
        <v>360</v>
      </c>
      <c r="K79" t="n">
        <v>1</v>
      </c>
      <c r="L79" t="inlineStr">
        <is>
          <t>Urban</t>
        </is>
      </c>
      <c r="M79" t="inlineStr">
        <is>
          <t>N</t>
        </is>
      </c>
      <c r="N79" t="inlineStr">
        <is>
          <t>Medium Risk</t>
        </is>
      </c>
    </row>
    <row r="80">
      <c r="A80" t="inlineStr">
        <is>
          <t>LP001263</t>
        </is>
      </c>
      <c r="B80" t="inlineStr">
        <is>
          <t>Male</t>
        </is>
      </c>
      <c r="C80" t="inlineStr">
        <is>
          <t>Yes</t>
        </is>
      </c>
      <c r="D80" t="inlineStr">
        <is>
          <t>3+</t>
        </is>
      </c>
      <c r="E80" t="inlineStr">
        <is>
          <t>Graduate</t>
        </is>
      </c>
      <c r="F80" t="inlineStr">
        <is>
          <t>No</t>
        </is>
      </c>
      <c r="G80" t="n">
        <v>3167</v>
      </c>
      <c r="H80" t="n">
        <v>4000</v>
      </c>
      <c r="I80" t="n">
        <v>180</v>
      </c>
      <c r="J80" t="n">
        <v>300</v>
      </c>
      <c r="K80" t="n">
        <v>0</v>
      </c>
      <c r="L80" t="inlineStr">
        <is>
          <t>Semiurban</t>
        </is>
      </c>
      <c r="M80" t="inlineStr">
        <is>
          <t>N</t>
        </is>
      </c>
      <c r="N80" t="inlineStr">
        <is>
          <t>High Risk</t>
        </is>
      </c>
    </row>
    <row r="81">
      <c r="A81" t="inlineStr">
        <is>
          <t>LP001264</t>
        </is>
      </c>
      <c r="B81" t="inlineStr">
        <is>
          <t>Male</t>
        </is>
      </c>
      <c r="C81" t="inlineStr">
        <is>
          <t>Yes</t>
        </is>
      </c>
      <c r="D81" t="inlineStr">
        <is>
          <t>3+</t>
        </is>
      </c>
      <c r="E81" t="inlineStr">
        <is>
          <t>Not Graduate</t>
        </is>
      </c>
      <c r="F81" t="inlineStr">
        <is>
          <t>Yes</t>
        </is>
      </c>
      <c r="G81" t="n">
        <v>3333</v>
      </c>
      <c r="H81" t="n">
        <v>2166</v>
      </c>
      <c r="I81" t="n">
        <v>130</v>
      </c>
      <c r="J81" t="n">
        <v>360</v>
      </c>
      <c r="K81" t="n">
        <v/>
      </c>
      <c r="L81" t="inlineStr">
        <is>
          <t>Semiurban</t>
        </is>
      </c>
      <c r="M81" t="inlineStr">
        <is>
          <t>Y</t>
        </is>
      </c>
      <c r="N81" t="inlineStr">
        <is>
          <t>Medium Risk</t>
        </is>
      </c>
    </row>
    <row r="82">
      <c r="A82" t="inlineStr">
        <is>
          <t>LP001265</t>
        </is>
      </c>
      <c r="B82" t="inlineStr">
        <is>
          <t>Female</t>
        </is>
      </c>
      <c r="C82" t="inlineStr">
        <is>
          <t>No</t>
        </is>
      </c>
      <c r="D82" t="n">
        <v>0</v>
      </c>
      <c r="E82" t="inlineStr">
        <is>
          <t>Graduate</t>
        </is>
      </c>
      <c r="F82" t="inlineStr">
        <is>
          <t>No</t>
        </is>
      </c>
      <c r="G82" t="n">
        <v>3846</v>
      </c>
      <c r="H82" t="n">
        <v>0</v>
      </c>
      <c r="I82" t="n">
        <v>111</v>
      </c>
      <c r="J82" t="n">
        <v>360</v>
      </c>
      <c r="K82" t="n">
        <v>1</v>
      </c>
      <c r="L82" t="inlineStr">
        <is>
          <t>Semiurban</t>
        </is>
      </c>
      <c r="M82" t="inlineStr">
        <is>
          <t>Y</t>
        </is>
      </c>
      <c r="N82" t="inlineStr">
        <is>
          <t>Lower Risk</t>
        </is>
      </c>
    </row>
    <row r="83">
      <c r="A83" t="inlineStr">
        <is>
          <t>LP001266</t>
        </is>
      </c>
      <c r="B83" t="inlineStr">
        <is>
          <t>Male</t>
        </is>
      </c>
      <c r="C83" t="inlineStr">
        <is>
          <t>Yes</t>
        </is>
      </c>
      <c r="D83" t="n">
        <v>1</v>
      </c>
      <c r="E83" t="inlineStr">
        <is>
          <t>Graduate</t>
        </is>
      </c>
      <c r="F83" t="inlineStr">
        <is>
          <t>Yes</t>
        </is>
      </c>
      <c r="G83" t="n">
        <v>2395</v>
      </c>
      <c r="H83" t="n">
        <v>0</v>
      </c>
      <c r="I83" t="n">
        <v/>
      </c>
      <c r="J83" t="n">
        <v>360</v>
      </c>
      <c r="K83" t="n">
        <v>1</v>
      </c>
      <c r="L83" t="inlineStr">
        <is>
          <t>Semiurban</t>
        </is>
      </c>
      <c r="M83" t="inlineStr">
        <is>
          <t>Y</t>
        </is>
      </c>
      <c r="N83" t="inlineStr">
        <is>
          <t>Lower Risk</t>
        </is>
      </c>
    </row>
    <row r="84">
      <c r="A84" t="inlineStr">
        <is>
          <t>LP001267</t>
        </is>
      </c>
      <c r="B84" t="inlineStr">
        <is>
          <t>Female</t>
        </is>
      </c>
      <c r="C84" t="inlineStr">
        <is>
          <t>Yes</t>
        </is>
      </c>
      <c r="D84" t="n">
        <v>2</v>
      </c>
      <c r="E84" t="inlineStr">
        <is>
          <t>Graduate</t>
        </is>
      </c>
      <c r="F84" t="inlineStr">
        <is>
          <t>No</t>
        </is>
      </c>
      <c r="G84" t="n">
        <v>1378</v>
      </c>
      <c r="H84" t="n">
        <v>1881</v>
      </c>
      <c r="I84" t="n">
        <v>167</v>
      </c>
      <c r="J84" t="n">
        <v>360</v>
      </c>
      <c r="K84" t="n">
        <v>1</v>
      </c>
      <c r="L84" t="inlineStr">
        <is>
          <t>Urban</t>
        </is>
      </c>
      <c r="M84" t="inlineStr">
        <is>
          <t>N</t>
        </is>
      </c>
      <c r="N84" t="inlineStr">
        <is>
          <t>Medium Risk</t>
        </is>
      </c>
    </row>
    <row r="85">
      <c r="A85" t="inlineStr">
        <is>
          <t>LP001273</t>
        </is>
      </c>
      <c r="B85" t="inlineStr">
        <is>
          <t>Male</t>
        </is>
      </c>
      <c r="C85" t="inlineStr">
        <is>
          <t>Yes</t>
        </is>
      </c>
      <c r="D85" t="n">
        <v>0</v>
      </c>
      <c r="E85" t="inlineStr">
        <is>
          <t>Graduate</t>
        </is>
      </c>
      <c r="F85" t="inlineStr">
        <is>
          <t>No</t>
        </is>
      </c>
      <c r="G85" t="n">
        <v>6000</v>
      </c>
      <c r="H85" t="n">
        <v>2250</v>
      </c>
      <c r="I85" t="n">
        <v>265</v>
      </c>
      <c r="J85" t="n">
        <v>360</v>
      </c>
      <c r="K85" t="n">
        <v/>
      </c>
      <c r="L85" t="inlineStr">
        <is>
          <t>Semiurban</t>
        </is>
      </c>
      <c r="M85" t="inlineStr">
        <is>
          <t>N</t>
        </is>
      </c>
      <c r="N85" t="inlineStr">
        <is>
          <t>High Risk</t>
        </is>
      </c>
    </row>
    <row r="86">
      <c r="A86" t="inlineStr">
        <is>
          <t>LP001275</t>
        </is>
      </c>
      <c r="B86" t="inlineStr">
        <is>
          <t>Male</t>
        </is>
      </c>
      <c r="C86" t="inlineStr">
        <is>
          <t>Yes</t>
        </is>
      </c>
      <c r="D86" t="n">
        <v>1</v>
      </c>
      <c r="E86" t="inlineStr">
        <is>
          <t>Graduate</t>
        </is>
      </c>
      <c r="F86" t="inlineStr">
        <is>
          <t>No</t>
        </is>
      </c>
      <c r="G86" t="n">
        <v>3988</v>
      </c>
      <c r="H86" t="n">
        <v>0</v>
      </c>
      <c r="I86" t="n">
        <v>50</v>
      </c>
      <c r="J86" t="n">
        <v>240</v>
      </c>
      <c r="K86" t="n">
        <v>1</v>
      </c>
      <c r="L86" t="inlineStr">
        <is>
          <t>Urban</t>
        </is>
      </c>
      <c r="M86" t="inlineStr">
        <is>
          <t>Y</t>
        </is>
      </c>
      <c r="N86" t="inlineStr">
        <is>
          <t>Lower Risk</t>
        </is>
      </c>
    </row>
    <row r="87">
      <c r="A87" t="inlineStr">
        <is>
          <t>LP001279</t>
        </is>
      </c>
      <c r="B87" t="inlineStr">
        <is>
          <t>Male</t>
        </is>
      </c>
      <c r="C87" t="inlineStr">
        <is>
          <t>No</t>
        </is>
      </c>
      <c r="D87" t="n">
        <v>0</v>
      </c>
      <c r="E87" t="inlineStr">
        <is>
          <t>Graduate</t>
        </is>
      </c>
      <c r="F87" t="inlineStr">
        <is>
          <t>No</t>
        </is>
      </c>
      <c r="G87" t="n">
        <v>2366</v>
      </c>
      <c r="H87" t="n">
        <v>2531</v>
      </c>
      <c r="I87" t="n">
        <v>136</v>
      </c>
      <c r="J87" t="n">
        <v>360</v>
      </c>
      <c r="K87" t="n">
        <v>1</v>
      </c>
      <c r="L87" t="inlineStr">
        <is>
          <t>Semiurban</t>
        </is>
      </c>
      <c r="M87" t="inlineStr">
        <is>
          <t>Y</t>
        </is>
      </c>
      <c r="N87" t="inlineStr">
        <is>
          <t>Lower Risk</t>
        </is>
      </c>
    </row>
    <row r="88">
      <c r="A88" t="inlineStr">
        <is>
          <t>LP001280</t>
        </is>
      </c>
      <c r="B88" t="inlineStr">
        <is>
          <t>Male</t>
        </is>
      </c>
      <c r="C88" t="inlineStr">
        <is>
          <t>Yes</t>
        </is>
      </c>
      <c r="D88" t="n">
        <v>2</v>
      </c>
      <c r="E88" t="inlineStr">
        <is>
          <t>Not Graduate</t>
        </is>
      </c>
      <c r="F88" t="inlineStr">
        <is>
          <t>No</t>
        </is>
      </c>
      <c r="G88" t="n">
        <v>3333</v>
      </c>
      <c r="H88" t="n">
        <v>2000</v>
      </c>
      <c r="I88" t="n">
        <v>99</v>
      </c>
      <c r="J88" t="n">
        <v>360</v>
      </c>
      <c r="K88" t="n">
        <v/>
      </c>
      <c r="L88" t="inlineStr">
        <is>
          <t>Semiurban</t>
        </is>
      </c>
      <c r="M88" t="inlineStr">
        <is>
          <t>Y</t>
        </is>
      </c>
      <c r="N88" t="inlineStr">
        <is>
          <t>Medium Risk</t>
        </is>
      </c>
    </row>
    <row r="89">
      <c r="A89" t="inlineStr">
        <is>
          <t>LP001282</t>
        </is>
      </c>
      <c r="B89" t="inlineStr">
        <is>
          <t>Male</t>
        </is>
      </c>
      <c r="C89" t="inlineStr">
        <is>
          <t>Yes</t>
        </is>
      </c>
      <c r="D89" t="n">
        <v>0</v>
      </c>
      <c r="E89" t="inlineStr">
        <is>
          <t>Graduate</t>
        </is>
      </c>
      <c r="F89" t="inlineStr">
        <is>
          <t>No</t>
        </is>
      </c>
      <c r="G89" t="n">
        <v>2500</v>
      </c>
      <c r="H89" t="n">
        <v>2118</v>
      </c>
      <c r="I89" t="n">
        <v>104</v>
      </c>
      <c r="J89" t="n">
        <v>360</v>
      </c>
      <c r="K89" t="n">
        <v>1</v>
      </c>
      <c r="L89" t="inlineStr">
        <is>
          <t>Semiurban</t>
        </is>
      </c>
      <c r="M89" t="inlineStr">
        <is>
          <t>Y</t>
        </is>
      </c>
      <c r="N89" t="inlineStr">
        <is>
          <t>Lower Risk</t>
        </is>
      </c>
    </row>
    <row r="90">
      <c r="A90" t="inlineStr">
        <is>
          <t>LP001289</t>
        </is>
      </c>
      <c r="B90" t="inlineStr">
        <is>
          <t>Male</t>
        </is>
      </c>
      <c r="C90" t="inlineStr">
        <is>
          <t>No</t>
        </is>
      </c>
      <c r="D90" t="n">
        <v>0</v>
      </c>
      <c r="E90" t="inlineStr">
        <is>
          <t>Graduate</t>
        </is>
      </c>
      <c r="F90" t="inlineStr">
        <is>
          <t>No</t>
        </is>
      </c>
      <c r="G90" t="n">
        <v>8566</v>
      </c>
      <c r="H90" t="n">
        <v>0</v>
      </c>
      <c r="I90" t="n">
        <v>210</v>
      </c>
      <c r="J90" t="n">
        <v>360</v>
      </c>
      <c r="K90" t="n">
        <v>1</v>
      </c>
      <c r="L90" t="inlineStr">
        <is>
          <t>Urban</t>
        </is>
      </c>
      <c r="M90" t="inlineStr">
        <is>
          <t>Y</t>
        </is>
      </c>
      <c r="N90" t="inlineStr">
        <is>
          <t>Lower Risk</t>
        </is>
      </c>
    </row>
    <row r="91">
      <c r="A91" t="inlineStr">
        <is>
          <t>LP001310</t>
        </is>
      </c>
      <c r="B91" t="inlineStr">
        <is>
          <t>Male</t>
        </is>
      </c>
      <c r="C91" t="inlineStr">
        <is>
          <t>Yes</t>
        </is>
      </c>
      <c r="D91" t="n">
        <v>0</v>
      </c>
      <c r="E91" t="inlineStr">
        <is>
          <t>Graduate</t>
        </is>
      </c>
      <c r="F91" t="inlineStr">
        <is>
          <t>No</t>
        </is>
      </c>
      <c r="G91" t="n">
        <v>5695</v>
      </c>
      <c r="H91" t="n">
        <v>4167</v>
      </c>
      <c r="I91" t="n">
        <v>175</v>
      </c>
      <c r="J91" t="n">
        <v>360</v>
      </c>
      <c r="K91" t="n">
        <v>1</v>
      </c>
      <c r="L91" t="inlineStr">
        <is>
          <t>Semiurban</t>
        </is>
      </c>
      <c r="M91" t="inlineStr">
        <is>
          <t>Y</t>
        </is>
      </c>
      <c r="N91" t="inlineStr">
        <is>
          <t>Lower Risk</t>
        </is>
      </c>
    </row>
    <row r="92">
      <c r="A92" t="inlineStr">
        <is>
          <t>LP001316</t>
        </is>
      </c>
      <c r="B92" t="inlineStr">
        <is>
          <t>Male</t>
        </is>
      </c>
      <c r="C92" t="inlineStr">
        <is>
          <t>Yes</t>
        </is>
      </c>
      <c r="D92" t="n">
        <v>0</v>
      </c>
      <c r="E92" t="inlineStr">
        <is>
          <t>Graduate</t>
        </is>
      </c>
      <c r="F92" t="inlineStr">
        <is>
          <t>No</t>
        </is>
      </c>
      <c r="G92" t="n">
        <v>2958</v>
      </c>
      <c r="H92" t="n">
        <v>2900</v>
      </c>
      <c r="I92" t="n">
        <v>131</v>
      </c>
      <c r="J92" t="n">
        <v>360</v>
      </c>
      <c r="K92" t="n">
        <v>1</v>
      </c>
      <c r="L92" t="inlineStr">
        <is>
          <t>Semiurban</t>
        </is>
      </c>
      <c r="M92" t="inlineStr">
        <is>
          <t>Y</t>
        </is>
      </c>
      <c r="N92" t="inlineStr">
        <is>
          <t>Lower Risk</t>
        </is>
      </c>
    </row>
    <row r="93">
      <c r="A93" t="inlineStr">
        <is>
          <t>LP001318</t>
        </is>
      </c>
      <c r="B93" t="inlineStr">
        <is>
          <t>Male</t>
        </is>
      </c>
      <c r="C93" t="inlineStr">
        <is>
          <t>Yes</t>
        </is>
      </c>
      <c r="D93" t="n">
        <v>2</v>
      </c>
      <c r="E93" t="inlineStr">
        <is>
          <t>Graduate</t>
        </is>
      </c>
      <c r="F93" t="inlineStr">
        <is>
          <t>No</t>
        </is>
      </c>
      <c r="G93" t="n">
        <v>6250</v>
      </c>
      <c r="H93" t="n">
        <v>5654</v>
      </c>
      <c r="I93" t="n">
        <v>188</v>
      </c>
      <c r="J93" t="n">
        <v>180</v>
      </c>
      <c r="K93" t="n">
        <v>1</v>
      </c>
      <c r="L93" t="inlineStr">
        <is>
          <t>Semiurban</t>
        </is>
      </c>
      <c r="M93" t="inlineStr">
        <is>
          <t>Y</t>
        </is>
      </c>
      <c r="N93" t="inlineStr">
        <is>
          <t>Lower Risk</t>
        </is>
      </c>
    </row>
    <row r="94">
      <c r="A94" t="inlineStr">
        <is>
          <t>LP001319</t>
        </is>
      </c>
      <c r="B94" t="inlineStr">
        <is>
          <t>Male</t>
        </is>
      </c>
      <c r="C94" t="inlineStr">
        <is>
          <t>Yes</t>
        </is>
      </c>
      <c r="D94" t="n">
        <v>2</v>
      </c>
      <c r="E94" t="inlineStr">
        <is>
          <t>Not Graduate</t>
        </is>
      </c>
      <c r="F94" t="inlineStr">
        <is>
          <t>No</t>
        </is>
      </c>
      <c r="G94" t="n">
        <v>3273</v>
      </c>
      <c r="H94" t="n">
        <v>1820</v>
      </c>
      <c r="I94" t="n">
        <v>81</v>
      </c>
      <c r="J94" t="n">
        <v>360</v>
      </c>
      <c r="K94" t="n">
        <v>1</v>
      </c>
      <c r="L94" t="inlineStr">
        <is>
          <t>Urban</t>
        </is>
      </c>
      <c r="M94" t="inlineStr">
        <is>
          <t>Y</t>
        </is>
      </c>
      <c r="N94" t="inlineStr">
        <is>
          <t>Lower Risk</t>
        </is>
      </c>
    </row>
    <row r="95">
      <c r="A95" t="inlineStr">
        <is>
          <t>LP001322</t>
        </is>
      </c>
      <c r="B95" t="inlineStr">
        <is>
          <t>Male</t>
        </is>
      </c>
      <c r="C95" t="inlineStr">
        <is>
          <t>No</t>
        </is>
      </c>
      <c r="D95" t="n">
        <v>0</v>
      </c>
      <c r="E95" t="inlineStr">
        <is>
          <t>Graduate</t>
        </is>
      </c>
      <c r="F95" t="inlineStr">
        <is>
          <t>No</t>
        </is>
      </c>
      <c r="G95" t="n">
        <v>4133</v>
      </c>
      <c r="H95" t="n">
        <v>0</v>
      </c>
      <c r="I95" t="n">
        <v>122</v>
      </c>
      <c r="J95" t="n">
        <v>360</v>
      </c>
      <c r="K95" t="n">
        <v>1</v>
      </c>
      <c r="L95" t="inlineStr">
        <is>
          <t>Semiurban</t>
        </is>
      </c>
      <c r="M95" t="inlineStr">
        <is>
          <t>Y</t>
        </is>
      </c>
      <c r="N95" t="inlineStr">
        <is>
          <t>Lower Risk</t>
        </is>
      </c>
    </row>
    <row r="96">
      <c r="A96" t="inlineStr">
        <is>
          <t>LP001325</t>
        </is>
      </c>
      <c r="B96" t="inlineStr">
        <is>
          <t>Male</t>
        </is>
      </c>
      <c r="C96" t="inlineStr">
        <is>
          <t>No</t>
        </is>
      </c>
      <c r="D96" t="n">
        <v>0</v>
      </c>
      <c r="E96" t="inlineStr">
        <is>
          <t>Not Graduate</t>
        </is>
      </c>
      <c r="F96" t="inlineStr">
        <is>
          <t>No</t>
        </is>
      </c>
      <c r="G96" t="n">
        <v>3620</v>
      </c>
      <c r="H96" t="n">
        <v>0</v>
      </c>
      <c r="I96" t="n">
        <v>25</v>
      </c>
      <c r="J96" t="n">
        <v>120</v>
      </c>
      <c r="K96" t="n">
        <v>1</v>
      </c>
      <c r="L96" t="inlineStr">
        <is>
          <t>Semiurban</t>
        </is>
      </c>
      <c r="M96" t="inlineStr">
        <is>
          <t>Y</t>
        </is>
      </c>
      <c r="N96" t="inlineStr">
        <is>
          <t>Lower Risk</t>
        </is>
      </c>
    </row>
    <row r="97">
      <c r="A97" t="inlineStr">
        <is>
          <t>LP001326</t>
        </is>
      </c>
      <c r="B97" t="inlineStr">
        <is>
          <t>Male</t>
        </is>
      </c>
      <c r="C97" t="inlineStr">
        <is>
          <t>No</t>
        </is>
      </c>
      <c r="D97" t="n">
        <v>0</v>
      </c>
      <c r="E97" t="inlineStr">
        <is>
          <t>Graduate</t>
        </is>
      </c>
      <c r="F97" t="n">
        <v/>
      </c>
      <c r="G97" t="n">
        <v>6782</v>
      </c>
      <c r="H97" t="n">
        <v>0</v>
      </c>
      <c r="I97" t="n">
        <v/>
      </c>
      <c r="J97" t="n">
        <v>360</v>
      </c>
      <c r="K97" t="n">
        <v/>
      </c>
      <c r="L97" t="inlineStr">
        <is>
          <t>Urban</t>
        </is>
      </c>
      <c r="M97" t="inlineStr">
        <is>
          <t>N</t>
        </is>
      </c>
      <c r="N97" t="inlineStr">
        <is>
          <t>High Risk</t>
        </is>
      </c>
    </row>
    <row r="98">
      <c r="A98" t="inlineStr">
        <is>
          <t>LP001327</t>
        </is>
      </c>
      <c r="B98" t="inlineStr">
        <is>
          <t>Female</t>
        </is>
      </c>
      <c r="C98" t="inlineStr">
        <is>
          <t>Yes</t>
        </is>
      </c>
      <c r="D98" t="n">
        <v>0</v>
      </c>
      <c r="E98" t="inlineStr">
        <is>
          <t>Graduate</t>
        </is>
      </c>
      <c r="F98" t="inlineStr">
        <is>
          <t>No</t>
        </is>
      </c>
      <c r="G98" t="n">
        <v>2484</v>
      </c>
      <c r="H98" t="n">
        <v>2302</v>
      </c>
      <c r="I98" t="n">
        <v>137</v>
      </c>
      <c r="J98" t="n">
        <v>360</v>
      </c>
      <c r="K98" t="n">
        <v>1</v>
      </c>
      <c r="L98" t="inlineStr">
        <is>
          <t>Semiurban</t>
        </is>
      </c>
      <c r="M98" t="inlineStr">
        <is>
          <t>Y</t>
        </is>
      </c>
      <c r="N98" t="inlineStr">
        <is>
          <t>Lower Risk</t>
        </is>
      </c>
    </row>
    <row r="99">
      <c r="A99" t="inlineStr">
        <is>
          <t>LP001333</t>
        </is>
      </c>
      <c r="B99" t="inlineStr">
        <is>
          <t>Male</t>
        </is>
      </c>
      <c r="C99" t="inlineStr">
        <is>
          <t>Yes</t>
        </is>
      </c>
      <c r="D99" t="n">
        <v>0</v>
      </c>
      <c r="E99" t="inlineStr">
        <is>
          <t>Graduate</t>
        </is>
      </c>
      <c r="F99" t="inlineStr">
        <is>
          <t>No</t>
        </is>
      </c>
      <c r="G99" t="n">
        <v>1977</v>
      </c>
      <c r="H99" t="n">
        <v>997</v>
      </c>
      <c r="I99" t="n">
        <v>50</v>
      </c>
      <c r="J99" t="n">
        <v>360</v>
      </c>
      <c r="K99" t="n">
        <v>1</v>
      </c>
      <c r="L99" t="inlineStr">
        <is>
          <t>Semiurban</t>
        </is>
      </c>
      <c r="M99" t="inlineStr">
        <is>
          <t>Y</t>
        </is>
      </c>
      <c r="N99" t="inlineStr">
        <is>
          <t>Lower Risk</t>
        </is>
      </c>
    </row>
    <row r="100">
      <c r="A100" t="inlineStr">
        <is>
          <t>LP001334</t>
        </is>
      </c>
      <c r="B100" t="inlineStr">
        <is>
          <t>Male</t>
        </is>
      </c>
      <c r="C100" t="inlineStr">
        <is>
          <t>Yes</t>
        </is>
      </c>
      <c r="D100" t="n">
        <v>0</v>
      </c>
      <c r="E100" t="inlineStr">
        <is>
          <t>Not Graduate</t>
        </is>
      </c>
      <c r="F100" t="inlineStr">
        <is>
          <t>No</t>
        </is>
      </c>
      <c r="G100" t="n">
        <v>4188</v>
      </c>
      <c r="H100" t="n">
        <v>0</v>
      </c>
      <c r="I100" t="n">
        <v>115</v>
      </c>
      <c r="J100" t="n">
        <v>180</v>
      </c>
      <c r="K100" t="n">
        <v>1</v>
      </c>
      <c r="L100" t="inlineStr">
        <is>
          <t>Semiurban</t>
        </is>
      </c>
      <c r="M100" t="inlineStr">
        <is>
          <t>Y</t>
        </is>
      </c>
      <c r="N100" t="inlineStr">
        <is>
          <t>Lower Risk</t>
        </is>
      </c>
    </row>
    <row r="101">
      <c r="A101" t="inlineStr">
        <is>
          <t>LP001343</t>
        </is>
      </c>
      <c r="B101" t="inlineStr">
        <is>
          <t>Male</t>
        </is>
      </c>
      <c r="C101" t="inlineStr">
        <is>
          <t>Yes</t>
        </is>
      </c>
      <c r="D101" t="n">
        <v>0</v>
      </c>
      <c r="E101" t="inlineStr">
        <is>
          <t>Graduate</t>
        </is>
      </c>
      <c r="F101" t="inlineStr">
        <is>
          <t>No</t>
        </is>
      </c>
      <c r="G101" t="n">
        <v>1759</v>
      </c>
      <c r="H101" t="n">
        <v>3541</v>
      </c>
      <c r="I101" t="n">
        <v>131</v>
      </c>
      <c r="J101" t="n">
        <v>360</v>
      </c>
      <c r="K101" t="n">
        <v>1</v>
      </c>
      <c r="L101" t="inlineStr">
        <is>
          <t>Semiurban</t>
        </is>
      </c>
      <c r="M101" t="inlineStr">
        <is>
          <t>Y</t>
        </is>
      </c>
      <c r="N101" t="inlineStr">
        <is>
          <t>Lower Risk</t>
        </is>
      </c>
    </row>
    <row r="102">
      <c r="A102" t="inlineStr">
        <is>
          <t>LP001345</t>
        </is>
      </c>
      <c r="B102" t="inlineStr">
        <is>
          <t>Male</t>
        </is>
      </c>
      <c r="C102" t="inlineStr">
        <is>
          <t>Yes</t>
        </is>
      </c>
      <c r="D102" t="n">
        <v>2</v>
      </c>
      <c r="E102" t="inlineStr">
        <is>
          <t>Not Graduate</t>
        </is>
      </c>
      <c r="F102" t="inlineStr">
        <is>
          <t>No</t>
        </is>
      </c>
      <c r="G102" t="n">
        <v>4288</v>
      </c>
      <c r="H102" t="n">
        <v>3263</v>
      </c>
      <c r="I102" t="n">
        <v>133</v>
      </c>
      <c r="J102" t="n">
        <v>180</v>
      </c>
      <c r="K102" t="n">
        <v>1</v>
      </c>
      <c r="L102" t="inlineStr">
        <is>
          <t>Urban</t>
        </is>
      </c>
      <c r="M102" t="inlineStr">
        <is>
          <t>Y</t>
        </is>
      </c>
      <c r="N102" t="inlineStr">
        <is>
          <t>Lower Risk</t>
        </is>
      </c>
    </row>
    <row r="103">
      <c r="A103" t="inlineStr">
        <is>
          <t>LP001349</t>
        </is>
      </c>
      <c r="B103" t="inlineStr">
        <is>
          <t>Male</t>
        </is>
      </c>
      <c r="C103" t="inlineStr">
        <is>
          <t>No</t>
        </is>
      </c>
      <c r="D103" t="n">
        <v>0</v>
      </c>
      <c r="E103" t="inlineStr">
        <is>
          <t>Graduate</t>
        </is>
      </c>
      <c r="F103" t="inlineStr">
        <is>
          <t>No</t>
        </is>
      </c>
      <c r="G103" t="n">
        <v>4843</v>
      </c>
      <c r="H103" t="n">
        <v>3806</v>
      </c>
      <c r="I103" t="n">
        <v>151</v>
      </c>
      <c r="J103" t="n">
        <v>360</v>
      </c>
      <c r="K103" t="n">
        <v>1</v>
      </c>
      <c r="L103" t="inlineStr">
        <is>
          <t>Semiurban</t>
        </is>
      </c>
      <c r="M103" t="inlineStr">
        <is>
          <t>Y</t>
        </is>
      </c>
      <c r="N103" t="inlineStr">
        <is>
          <t>Lower Risk</t>
        </is>
      </c>
    </row>
    <row r="104">
      <c r="A104" t="inlineStr">
        <is>
          <t>LP001350</t>
        </is>
      </c>
      <c r="B104" t="inlineStr">
        <is>
          <t>Male</t>
        </is>
      </c>
      <c r="C104" t="inlineStr">
        <is>
          <t>Yes</t>
        </is>
      </c>
      <c r="D104" t="n">
        <v/>
      </c>
      <c r="E104" t="inlineStr">
        <is>
          <t>Graduate</t>
        </is>
      </c>
      <c r="F104" t="inlineStr">
        <is>
          <t>No</t>
        </is>
      </c>
      <c r="G104" t="n">
        <v>13650</v>
      </c>
      <c r="H104" t="n">
        <v>0</v>
      </c>
      <c r="I104" t="n">
        <v/>
      </c>
      <c r="J104" t="n">
        <v>360</v>
      </c>
      <c r="K104" t="n">
        <v>1</v>
      </c>
      <c r="L104" t="inlineStr">
        <is>
          <t>Urban</t>
        </is>
      </c>
      <c r="M104" t="inlineStr">
        <is>
          <t>Y</t>
        </is>
      </c>
      <c r="N104" t="inlineStr">
        <is>
          <t>Lower Risk</t>
        </is>
      </c>
    </row>
    <row r="105">
      <c r="A105" t="inlineStr">
        <is>
          <t>LP001356</t>
        </is>
      </c>
      <c r="B105" t="inlineStr">
        <is>
          <t>Male</t>
        </is>
      </c>
      <c r="C105" t="inlineStr">
        <is>
          <t>Yes</t>
        </is>
      </c>
      <c r="D105" t="n">
        <v>0</v>
      </c>
      <c r="E105" t="inlineStr">
        <is>
          <t>Graduate</t>
        </is>
      </c>
      <c r="F105" t="inlineStr">
        <is>
          <t>No</t>
        </is>
      </c>
      <c r="G105" t="n">
        <v>4652</v>
      </c>
      <c r="H105" t="n">
        <v>3583</v>
      </c>
      <c r="I105" t="n">
        <v/>
      </c>
      <c r="J105" t="n">
        <v>360</v>
      </c>
      <c r="K105" t="n">
        <v>1</v>
      </c>
      <c r="L105" t="inlineStr">
        <is>
          <t>Semiurban</t>
        </is>
      </c>
      <c r="M105" t="inlineStr">
        <is>
          <t>Y</t>
        </is>
      </c>
      <c r="N105" t="inlineStr">
        <is>
          <t>Lower Risk</t>
        </is>
      </c>
    </row>
    <row r="106">
      <c r="A106" t="inlineStr">
        <is>
          <t>LP001357</t>
        </is>
      </c>
      <c r="B106" t="inlineStr">
        <is>
          <t>Male</t>
        </is>
      </c>
      <c r="C106" t="n">
        <v/>
      </c>
      <c r="D106" t="n">
        <v/>
      </c>
      <c r="E106" t="inlineStr">
        <is>
          <t>Graduate</t>
        </is>
      </c>
      <c r="F106" t="inlineStr">
        <is>
          <t>No</t>
        </is>
      </c>
      <c r="G106" t="n">
        <v>3816</v>
      </c>
      <c r="H106" t="n">
        <v>754</v>
      </c>
      <c r="I106" t="n">
        <v>160</v>
      </c>
      <c r="J106" t="n">
        <v>360</v>
      </c>
      <c r="K106" t="n">
        <v>1</v>
      </c>
      <c r="L106" t="inlineStr">
        <is>
          <t>Urban</t>
        </is>
      </c>
      <c r="M106" t="inlineStr">
        <is>
          <t>Y</t>
        </is>
      </c>
      <c r="N106" t="inlineStr">
        <is>
          <t>Lower Risk</t>
        </is>
      </c>
    </row>
    <row r="107">
      <c r="A107" t="inlineStr">
        <is>
          <t>LP001367</t>
        </is>
      </c>
      <c r="B107" t="inlineStr">
        <is>
          <t>Male</t>
        </is>
      </c>
      <c r="C107" t="inlineStr">
        <is>
          <t>Yes</t>
        </is>
      </c>
      <c r="D107" t="n">
        <v>1</v>
      </c>
      <c r="E107" t="inlineStr">
        <is>
          <t>Graduate</t>
        </is>
      </c>
      <c r="F107" t="inlineStr">
        <is>
          <t>No</t>
        </is>
      </c>
      <c r="G107" t="n">
        <v>3052</v>
      </c>
      <c r="H107" t="n">
        <v>1030</v>
      </c>
      <c r="I107" t="n">
        <v>100</v>
      </c>
      <c r="J107" t="n">
        <v>360</v>
      </c>
      <c r="K107" t="n">
        <v>1</v>
      </c>
      <c r="L107" t="inlineStr">
        <is>
          <t>Urban</t>
        </is>
      </c>
      <c r="M107" t="inlineStr">
        <is>
          <t>Y</t>
        </is>
      </c>
      <c r="N107" t="inlineStr">
        <is>
          <t>Lower Risk</t>
        </is>
      </c>
    </row>
    <row r="108">
      <c r="A108" t="inlineStr">
        <is>
          <t>LP001369</t>
        </is>
      </c>
      <c r="B108" t="inlineStr">
        <is>
          <t>Male</t>
        </is>
      </c>
      <c r="C108" t="inlineStr">
        <is>
          <t>Yes</t>
        </is>
      </c>
      <c r="D108" t="n">
        <v>2</v>
      </c>
      <c r="E108" t="inlineStr">
        <is>
          <t>Graduate</t>
        </is>
      </c>
      <c r="F108" t="inlineStr">
        <is>
          <t>No</t>
        </is>
      </c>
      <c r="G108" t="n">
        <v>11417</v>
      </c>
      <c r="H108" t="n">
        <v>1126</v>
      </c>
      <c r="I108" t="n">
        <v>225</v>
      </c>
      <c r="J108" t="n">
        <v>360</v>
      </c>
      <c r="K108" t="n">
        <v>1</v>
      </c>
      <c r="L108" t="inlineStr">
        <is>
          <t>Urban</t>
        </is>
      </c>
      <c r="M108" t="inlineStr">
        <is>
          <t>Y</t>
        </is>
      </c>
      <c r="N108" t="inlineStr">
        <is>
          <t>Lower Risk</t>
        </is>
      </c>
    </row>
    <row r="109">
      <c r="A109" t="inlineStr">
        <is>
          <t>LP001370</t>
        </is>
      </c>
      <c r="B109" t="inlineStr">
        <is>
          <t>Male</t>
        </is>
      </c>
      <c r="C109" t="inlineStr">
        <is>
          <t>No</t>
        </is>
      </c>
      <c r="D109" t="n">
        <v>0</v>
      </c>
      <c r="E109" t="inlineStr">
        <is>
          <t>Not Graduate</t>
        </is>
      </c>
      <c r="F109" t="n">
        <v/>
      </c>
      <c r="G109" t="n">
        <v>7333</v>
      </c>
      <c r="H109" t="n">
        <v>0</v>
      </c>
      <c r="I109" t="n">
        <v>120</v>
      </c>
      <c r="J109" t="n">
        <v>360</v>
      </c>
      <c r="K109" t="n">
        <v>1</v>
      </c>
      <c r="L109" t="inlineStr">
        <is>
          <t>Rural</t>
        </is>
      </c>
      <c r="M109" t="inlineStr">
        <is>
          <t>N</t>
        </is>
      </c>
      <c r="N109" t="inlineStr">
        <is>
          <t>Medium Risk</t>
        </is>
      </c>
    </row>
    <row r="110">
      <c r="A110" t="inlineStr">
        <is>
          <t>LP001379</t>
        </is>
      </c>
      <c r="B110" t="inlineStr">
        <is>
          <t>Male</t>
        </is>
      </c>
      <c r="C110" t="inlineStr">
        <is>
          <t>Yes</t>
        </is>
      </c>
      <c r="D110" t="n">
        <v>2</v>
      </c>
      <c r="E110" t="inlineStr">
        <is>
          <t>Graduate</t>
        </is>
      </c>
      <c r="F110" t="inlineStr">
        <is>
          <t>No</t>
        </is>
      </c>
      <c r="G110" t="n">
        <v>3800</v>
      </c>
      <c r="H110" t="n">
        <v>3600</v>
      </c>
      <c r="I110" t="n">
        <v>216</v>
      </c>
      <c r="J110" t="n">
        <v>360</v>
      </c>
      <c r="K110" t="n">
        <v>0</v>
      </c>
      <c r="L110" t="inlineStr">
        <is>
          <t>Urban</t>
        </is>
      </c>
      <c r="M110" t="inlineStr">
        <is>
          <t>N</t>
        </is>
      </c>
      <c r="N110" t="inlineStr">
        <is>
          <t>High Risk</t>
        </is>
      </c>
    </row>
    <row r="111">
      <c r="A111" t="inlineStr">
        <is>
          <t>LP001384</t>
        </is>
      </c>
      <c r="B111" t="inlineStr">
        <is>
          <t>Male</t>
        </is>
      </c>
      <c r="C111" t="inlineStr">
        <is>
          <t>Yes</t>
        </is>
      </c>
      <c r="D111" t="inlineStr">
        <is>
          <t>3+</t>
        </is>
      </c>
      <c r="E111" t="inlineStr">
        <is>
          <t>Not Graduate</t>
        </is>
      </c>
      <c r="F111" t="inlineStr">
        <is>
          <t>No</t>
        </is>
      </c>
      <c r="G111" t="n">
        <v>2071</v>
      </c>
      <c r="H111" t="n">
        <v>754</v>
      </c>
      <c r="I111" t="n">
        <v>94</v>
      </c>
      <c r="J111" t="n">
        <v>480</v>
      </c>
      <c r="K111" t="n">
        <v>1</v>
      </c>
      <c r="L111" t="inlineStr">
        <is>
          <t>Semiurban</t>
        </is>
      </c>
      <c r="M111" t="inlineStr">
        <is>
          <t>Y</t>
        </is>
      </c>
      <c r="N111" t="inlineStr">
        <is>
          <t>Lower Risk</t>
        </is>
      </c>
    </row>
    <row r="112">
      <c r="A112" t="inlineStr">
        <is>
          <t>LP001385</t>
        </is>
      </c>
      <c r="B112" t="inlineStr">
        <is>
          <t>Male</t>
        </is>
      </c>
      <c r="C112" t="inlineStr">
        <is>
          <t>No</t>
        </is>
      </c>
      <c r="D112" t="n">
        <v>0</v>
      </c>
      <c r="E112" t="inlineStr">
        <is>
          <t>Graduate</t>
        </is>
      </c>
      <c r="F112" t="inlineStr">
        <is>
          <t>No</t>
        </is>
      </c>
      <c r="G112" t="n">
        <v>5316</v>
      </c>
      <c r="H112" t="n">
        <v>0</v>
      </c>
      <c r="I112" t="n">
        <v>136</v>
      </c>
      <c r="J112" t="n">
        <v>360</v>
      </c>
      <c r="K112" t="n">
        <v>1</v>
      </c>
      <c r="L112" t="inlineStr">
        <is>
          <t>Urban</t>
        </is>
      </c>
      <c r="M112" t="inlineStr">
        <is>
          <t>Y</t>
        </is>
      </c>
      <c r="N112" t="inlineStr">
        <is>
          <t>Lower Risk</t>
        </is>
      </c>
    </row>
    <row r="113">
      <c r="A113" t="inlineStr">
        <is>
          <t>LP001387</t>
        </is>
      </c>
      <c r="B113" t="inlineStr">
        <is>
          <t>Female</t>
        </is>
      </c>
      <c r="C113" t="inlineStr">
        <is>
          <t>Yes</t>
        </is>
      </c>
      <c r="D113" t="n">
        <v>0</v>
      </c>
      <c r="E113" t="inlineStr">
        <is>
          <t>Graduate</t>
        </is>
      </c>
      <c r="F113" t="n">
        <v/>
      </c>
      <c r="G113" t="n">
        <v>2929</v>
      </c>
      <c r="H113" t="n">
        <v>2333</v>
      </c>
      <c r="I113" t="n">
        <v>139</v>
      </c>
      <c r="J113" t="n">
        <v>360</v>
      </c>
      <c r="K113" t="n">
        <v>1</v>
      </c>
      <c r="L113" t="inlineStr">
        <is>
          <t>Semiurban</t>
        </is>
      </c>
      <c r="M113" t="inlineStr">
        <is>
          <t>Y</t>
        </is>
      </c>
      <c r="N113" t="inlineStr">
        <is>
          <t>Lower Risk</t>
        </is>
      </c>
    </row>
    <row r="114">
      <c r="A114" t="inlineStr">
        <is>
          <t>LP001391</t>
        </is>
      </c>
      <c r="B114" t="inlineStr">
        <is>
          <t>Male</t>
        </is>
      </c>
      <c r="C114" t="inlineStr">
        <is>
          <t>Yes</t>
        </is>
      </c>
      <c r="D114" t="n">
        <v>0</v>
      </c>
      <c r="E114" t="inlineStr">
        <is>
          <t>Not Graduate</t>
        </is>
      </c>
      <c r="F114" t="inlineStr">
        <is>
          <t>No</t>
        </is>
      </c>
      <c r="G114" t="n">
        <v>3572</v>
      </c>
      <c r="H114" t="n">
        <v>4114</v>
      </c>
      <c r="I114" t="n">
        <v>152</v>
      </c>
      <c r="J114" t="n">
        <v/>
      </c>
      <c r="K114" t="n">
        <v>0</v>
      </c>
      <c r="L114" t="inlineStr">
        <is>
          <t>Rural</t>
        </is>
      </c>
      <c r="M114" t="inlineStr">
        <is>
          <t>N</t>
        </is>
      </c>
      <c r="N114" t="inlineStr">
        <is>
          <t>High Risk</t>
        </is>
      </c>
    </row>
    <row r="115">
      <c r="A115" t="inlineStr">
        <is>
          <t>LP001392</t>
        </is>
      </c>
      <c r="B115" t="inlineStr">
        <is>
          <t>Female</t>
        </is>
      </c>
      <c r="C115" t="inlineStr">
        <is>
          <t>No</t>
        </is>
      </c>
      <c r="D115" t="n">
        <v>1</v>
      </c>
      <c r="E115" t="inlineStr">
        <is>
          <t>Graduate</t>
        </is>
      </c>
      <c r="F115" t="inlineStr">
        <is>
          <t>Yes</t>
        </is>
      </c>
      <c r="G115" t="n">
        <v>7451</v>
      </c>
      <c r="H115" t="n">
        <v>0</v>
      </c>
      <c r="I115" t="n">
        <v/>
      </c>
      <c r="J115" t="n">
        <v>360</v>
      </c>
      <c r="K115" t="n">
        <v>1</v>
      </c>
      <c r="L115" t="inlineStr">
        <is>
          <t>Semiurban</t>
        </is>
      </c>
      <c r="M115" t="inlineStr">
        <is>
          <t>Y</t>
        </is>
      </c>
      <c r="N115" t="inlineStr">
        <is>
          <t>Lower Risk</t>
        </is>
      </c>
    </row>
    <row r="116">
      <c r="A116" t="inlineStr">
        <is>
          <t>LP001398</t>
        </is>
      </c>
      <c r="B116" t="inlineStr">
        <is>
          <t>Male</t>
        </is>
      </c>
      <c r="C116" t="inlineStr">
        <is>
          <t>No</t>
        </is>
      </c>
      <c r="D116" t="n">
        <v>0</v>
      </c>
      <c r="E116" t="inlineStr">
        <is>
          <t>Graduate</t>
        </is>
      </c>
      <c r="F116" t="n">
        <v/>
      </c>
      <c r="G116" t="n">
        <v>5050</v>
      </c>
      <c r="H116" t="n">
        <v>0</v>
      </c>
      <c r="I116" t="n">
        <v>118</v>
      </c>
      <c r="J116" t="n">
        <v>360</v>
      </c>
      <c r="K116" t="n">
        <v>1</v>
      </c>
      <c r="L116" t="inlineStr">
        <is>
          <t>Semiurban</t>
        </is>
      </c>
      <c r="M116" t="inlineStr">
        <is>
          <t>Y</t>
        </is>
      </c>
      <c r="N116" t="inlineStr">
        <is>
          <t>Lower Risk</t>
        </is>
      </c>
    </row>
    <row r="117">
      <c r="A117" t="inlineStr">
        <is>
          <t>LP001401</t>
        </is>
      </c>
      <c r="B117" t="inlineStr">
        <is>
          <t>Male</t>
        </is>
      </c>
      <c r="C117" t="inlineStr">
        <is>
          <t>Yes</t>
        </is>
      </c>
      <c r="D117" t="n">
        <v>1</v>
      </c>
      <c r="E117" t="inlineStr">
        <is>
          <t>Graduate</t>
        </is>
      </c>
      <c r="F117" t="inlineStr">
        <is>
          <t>No</t>
        </is>
      </c>
      <c r="G117" t="n">
        <v>14583</v>
      </c>
      <c r="H117" t="n">
        <v>0</v>
      </c>
      <c r="I117" t="n">
        <v>185</v>
      </c>
      <c r="J117" t="n">
        <v>180</v>
      </c>
      <c r="K117" t="n">
        <v>1</v>
      </c>
      <c r="L117" t="inlineStr">
        <is>
          <t>Rural</t>
        </is>
      </c>
      <c r="M117" t="inlineStr">
        <is>
          <t>Y</t>
        </is>
      </c>
      <c r="N117" t="inlineStr">
        <is>
          <t>Lower Risk</t>
        </is>
      </c>
    </row>
    <row r="118">
      <c r="A118" t="inlineStr">
        <is>
          <t>LP001404</t>
        </is>
      </c>
      <c r="B118" t="inlineStr">
        <is>
          <t>Female</t>
        </is>
      </c>
      <c r="C118" t="inlineStr">
        <is>
          <t>Yes</t>
        </is>
      </c>
      <c r="D118" t="n">
        <v>0</v>
      </c>
      <c r="E118" t="inlineStr">
        <is>
          <t>Graduate</t>
        </is>
      </c>
      <c r="F118" t="inlineStr">
        <is>
          <t>No</t>
        </is>
      </c>
      <c r="G118" t="n">
        <v>3167</v>
      </c>
      <c r="H118" t="n">
        <v>2283</v>
      </c>
      <c r="I118" t="n">
        <v>154</v>
      </c>
      <c r="J118" t="n">
        <v>360</v>
      </c>
      <c r="K118" t="n">
        <v>1</v>
      </c>
      <c r="L118" t="inlineStr">
        <is>
          <t>Semiurban</t>
        </is>
      </c>
      <c r="M118" t="inlineStr">
        <is>
          <t>Y</t>
        </is>
      </c>
      <c r="N118" t="inlineStr">
        <is>
          <t>Lower Risk</t>
        </is>
      </c>
    </row>
    <row r="119">
      <c r="A119" t="inlineStr">
        <is>
          <t>LP001405</t>
        </is>
      </c>
      <c r="B119" t="inlineStr">
        <is>
          <t>Male</t>
        </is>
      </c>
      <c r="C119" t="inlineStr">
        <is>
          <t>Yes</t>
        </is>
      </c>
      <c r="D119" t="n">
        <v>1</v>
      </c>
      <c r="E119" t="inlineStr">
        <is>
          <t>Graduate</t>
        </is>
      </c>
      <c r="F119" t="inlineStr">
        <is>
          <t>No</t>
        </is>
      </c>
      <c r="G119" t="n">
        <v>2214</v>
      </c>
      <c r="H119" t="n">
        <v>1398</v>
      </c>
      <c r="I119" t="n">
        <v>85</v>
      </c>
      <c r="J119" t="n">
        <v>360</v>
      </c>
      <c r="K119" t="n">
        <v/>
      </c>
      <c r="L119" t="inlineStr">
        <is>
          <t>Urban</t>
        </is>
      </c>
      <c r="M119" t="inlineStr">
        <is>
          <t>Y</t>
        </is>
      </c>
      <c r="N119" t="inlineStr">
        <is>
          <t>Medium Risk</t>
        </is>
      </c>
    </row>
    <row r="120">
      <c r="A120" t="inlineStr">
        <is>
          <t>LP001421</t>
        </is>
      </c>
      <c r="B120" t="inlineStr">
        <is>
          <t>Male</t>
        </is>
      </c>
      <c r="C120" t="inlineStr">
        <is>
          <t>Yes</t>
        </is>
      </c>
      <c r="D120" t="n">
        <v>0</v>
      </c>
      <c r="E120" t="inlineStr">
        <is>
          <t>Graduate</t>
        </is>
      </c>
      <c r="F120" t="inlineStr">
        <is>
          <t>No</t>
        </is>
      </c>
      <c r="G120" t="n">
        <v>5568</v>
      </c>
      <c r="H120" t="n">
        <v>2142</v>
      </c>
      <c r="I120" t="n">
        <v>175</v>
      </c>
      <c r="J120" t="n">
        <v>360</v>
      </c>
      <c r="K120" t="n">
        <v>1</v>
      </c>
      <c r="L120" t="inlineStr">
        <is>
          <t>Rural</t>
        </is>
      </c>
      <c r="M120" t="inlineStr">
        <is>
          <t>N</t>
        </is>
      </c>
      <c r="N120" t="inlineStr">
        <is>
          <t>Medium Risk</t>
        </is>
      </c>
    </row>
    <row r="121">
      <c r="A121" t="inlineStr">
        <is>
          <t>LP001422</t>
        </is>
      </c>
      <c r="B121" t="inlineStr">
        <is>
          <t>Female</t>
        </is>
      </c>
      <c r="C121" t="inlineStr">
        <is>
          <t>No</t>
        </is>
      </c>
      <c r="D121" t="n">
        <v>0</v>
      </c>
      <c r="E121" t="inlineStr">
        <is>
          <t>Graduate</t>
        </is>
      </c>
      <c r="F121" t="inlineStr">
        <is>
          <t>No</t>
        </is>
      </c>
      <c r="G121" t="n">
        <v>10408</v>
      </c>
      <c r="H121" t="n">
        <v>0</v>
      </c>
      <c r="I121" t="n">
        <v>259</v>
      </c>
      <c r="J121" t="n">
        <v>360</v>
      </c>
      <c r="K121" t="n">
        <v>1</v>
      </c>
      <c r="L121" t="inlineStr">
        <is>
          <t>Urban</t>
        </is>
      </c>
      <c r="M121" t="inlineStr">
        <is>
          <t>Y</t>
        </is>
      </c>
      <c r="N121" t="inlineStr">
        <is>
          <t>Lower Risk</t>
        </is>
      </c>
    </row>
    <row r="122">
      <c r="A122" t="inlineStr">
        <is>
          <t>LP001426</t>
        </is>
      </c>
      <c r="B122" t="inlineStr">
        <is>
          <t>Male</t>
        </is>
      </c>
      <c r="C122" t="inlineStr">
        <is>
          <t>Yes</t>
        </is>
      </c>
      <c r="D122" t="n">
        <v/>
      </c>
      <c r="E122" t="inlineStr">
        <is>
          <t>Graduate</t>
        </is>
      </c>
      <c r="F122" t="inlineStr">
        <is>
          <t>No</t>
        </is>
      </c>
      <c r="G122" t="n">
        <v>5667</v>
      </c>
      <c r="H122" t="n">
        <v>2667</v>
      </c>
      <c r="I122" t="n">
        <v>180</v>
      </c>
      <c r="J122" t="n">
        <v>360</v>
      </c>
      <c r="K122" t="n">
        <v>1</v>
      </c>
      <c r="L122" t="inlineStr">
        <is>
          <t>Rural</t>
        </is>
      </c>
      <c r="M122" t="inlineStr">
        <is>
          <t>Y</t>
        </is>
      </c>
      <c r="N122" t="inlineStr">
        <is>
          <t>Lower Risk</t>
        </is>
      </c>
    </row>
    <row r="123">
      <c r="A123" t="inlineStr">
        <is>
          <t>LP001430</t>
        </is>
      </c>
      <c r="B123" t="inlineStr">
        <is>
          <t>Female</t>
        </is>
      </c>
      <c r="C123" t="inlineStr">
        <is>
          <t>No</t>
        </is>
      </c>
      <c r="D123" t="n">
        <v>0</v>
      </c>
      <c r="E123" t="inlineStr">
        <is>
          <t>Graduate</t>
        </is>
      </c>
      <c r="F123" t="inlineStr">
        <is>
          <t>No</t>
        </is>
      </c>
      <c r="G123" t="n">
        <v>4166</v>
      </c>
      <c r="H123" t="n">
        <v>0</v>
      </c>
      <c r="I123" t="n">
        <v>44</v>
      </c>
      <c r="J123" t="n">
        <v>360</v>
      </c>
      <c r="K123" t="n">
        <v>1</v>
      </c>
      <c r="L123" t="inlineStr">
        <is>
          <t>Semiurban</t>
        </is>
      </c>
      <c r="M123" t="inlineStr">
        <is>
          <t>Y</t>
        </is>
      </c>
      <c r="N123" t="inlineStr">
        <is>
          <t>Lower Risk</t>
        </is>
      </c>
    </row>
    <row r="124">
      <c r="A124" t="inlineStr">
        <is>
          <t>LP001431</t>
        </is>
      </c>
      <c r="B124" t="inlineStr">
        <is>
          <t>Female</t>
        </is>
      </c>
      <c r="C124" t="inlineStr">
        <is>
          <t>No</t>
        </is>
      </c>
      <c r="D124" t="n">
        <v>0</v>
      </c>
      <c r="E124" t="inlineStr">
        <is>
          <t>Graduate</t>
        </is>
      </c>
      <c r="F124" t="inlineStr">
        <is>
          <t>No</t>
        </is>
      </c>
      <c r="G124" t="n">
        <v>2137</v>
      </c>
      <c r="H124" t="n">
        <v>8980</v>
      </c>
      <c r="I124" t="n">
        <v>137</v>
      </c>
      <c r="J124" t="n">
        <v>360</v>
      </c>
      <c r="K124" t="n">
        <v>0</v>
      </c>
      <c r="L124" t="inlineStr">
        <is>
          <t>Semiurban</t>
        </is>
      </c>
      <c r="M124" t="inlineStr">
        <is>
          <t>Y</t>
        </is>
      </c>
      <c r="N124" t="inlineStr">
        <is>
          <t>Medium Risk</t>
        </is>
      </c>
    </row>
    <row r="125">
      <c r="A125" t="inlineStr">
        <is>
          <t>LP001432</t>
        </is>
      </c>
      <c r="B125" t="inlineStr">
        <is>
          <t>Male</t>
        </is>
      </c>
      <c r="C125" t="inlineStr">
        <is>
          <t>Yes</t>
        </is>
      </c>
      <c r="D125" t="n">
        <v>2</v>
      </c>
      <c r="E125" t="inlineStr">
        <is>
          <t>Graduate</t>
        </is>
      </c>
      <c r="F125" t="inlineStr">
        <is>
          <t>No</t>
        </is>
      </c>
      <c r="G125" t="n">
        <v>2957</v>
      </c>
      <c r="H125" t="n">
        <v>0</v>
      </c>
      <c r="I125" t="n">
        <v>81</v>
      </c>
      <c r="J125" t="n">
        <v>360</v>
      </c>
      <c r="K125" t="n">
        <v>1</v>
      </c>
      <c r="L125" t="inlineStr">
        <is>
          <t>Semiurban</t>
        </is>
      </c>
      <c r="M125" t="inlineStr">
        <is>
          <t>Y</t>
        </is>
      </c>
      <c r="N125" t="inlineStr">
        <is>
          <t>Lower Risk</t>
        </is>
      </c>
    </row>
    <row r="126">
      <c r="A126" t="inlineStr">
        <is>
          <t>LP001439</t>
        </is>
      </c>
      <c r="B126" t="inlineStr">
        <is>
          <t>Male</t>
        </is>
      </c>
      <c r="C126" t="inlineStr">
        <is>
          <t>Yes</t>
        </is>
      </c>
      <c r="D126" t="n">
        <v>0</v>
      </c>
      <c r="E126" t="inlineStr">
        <is>
          <t>Not Graduate</t>
        </is>
      </c>
      <c r="F126" t="inlineStr">
        <is>
          <t>No</t>
        </is>
      </c>
      <c r="G126" t="n">
        <v>4300</v>
      </c>
      <c r="H126" t="n">
        <v>2014</v>
      </c>
      <c r="I126" t="n">
        <v>194</v>
      </c>
      <c r="J126" t="n">
        <v>360</v>
      </c>
      <c r="K126" t="n">
        <v>1</v>
      </c>
      <c r="L126" t="inlineStr">
        <is>
          <t>Rural</t>
        </is>
      </c>
      <c r="M126" t="inlineStr">
        <is>
          <t>Y</t>
        </is>
      </c>
      <c r="N126" t="inlineStr">
        <is>
          <t>Lower Risk</t>
        </is>
      </c>
    </row>
    <row r="127">
      <c r="A127" t="inlineStr">
        <is>
          <t>LP001443</t>
        </is>
      </c>
      <c r="B127" t="inlineStr">
        <is>
          <t>Female</t>
        </is>
      </c>
      <c r="C127" t="inlineStr">
        <is>
          <t>No</t>
        </is>
      </c>
      <c r="D127" t="n">
        <v>0</v>
      </c>
      <c r="E127" t="inlineStr">
        <is>
          <t>Graduate</t>
        </is>
      </c>
      <c r="F127" t="inlineStr">
        <is>
          <t>No</t>
        </is>
      </c>
      <c r="G127" t="n">
        <v>3692</v>
      </c>
      <c r="H127" t="n">
        <v>0</v>
      </c>
      <c r="I127" t="n">
        <v>93</v>
      </c>
      <c r="J127" t="n">
        <v>360</v>
      </c>
      <c r="K127" t="n">
        <v/>
      </c>
      <c r="L127" t="inlineStr">
        <is>
          <t>Rural</t>
        </is>
      </c>
      <c r="M127" t="inlineStr">
        <is>
          <t>Y</t>
        </is>
      </c>
      <c r="N127" t="inlineStr">
        <is>
          <t>Medium Risk</t>
        </is>
      </c>
    </row>
    <row r="128">
      <c r="A128" t="inlineStr">
        <is>
          <t>LP001448</t>
        </is>
      </c>
      <c r="B128" t="n">
        <v/>
      </c>
      <c r="C128" t="inlineStr">
        <is>
          <t>Yes</t>
        </is>
      </c>
      <c r="D128" t="inlineStr">
        <is>
          <t>3+</t>
        </is>
      </c>
      <c r="E128" t="inlineStr">
        <is>
          <t>Graduate</t>
        </is>
      </c>
      <c r="F128" t="inlineStr">
        <is>
          <t>No</t>
        </is>
      </c>
      <c r="G128" t="n">
        <v>23803</v>
      </c>
      <c r="H128" t="n">
        <v>0</v>
      </c>
      <c r="I128" t="n">
        <v>370</v>
      </c>
      <c r="J128" t="n">
        <v>360</v>
      </c>
      <c r="K128" t="n">
        <v>1</v>
      </c>
      <c r="L128" t="inlineStr">
        <is>
          <t>Rural</t>
        </is>
      </c>
      <c r="M128" t="inlineStr">
        <is>
          <t>Y</t>
        </is>
      </c>
      <c r="N128" t="inlineStr">
        <is>
          <t>Lower Risk</t>
        </is>
      </c>
    </row>
    <row r="129">
      <c r="A129" t="inlineStr">
        <is>
          <t>LP001449</t>
        </is>
      </c>
      <c r="B129" t="inlineStr">
        <is>
          <t>Male</t>
        </is>
      </c>
      <c r="C129" t="inlineStr">
        <is>
          <t>No</t>
        </is>
      </c>
      <c r="D129" t="n">
        <v>0</v>
      </c>
      <c r="E129" t="inlineStr">
        <is>
          <t>Graduate</t>
        </is>
      </c>
      <c r="F129" t="inlineStr">
        <is>
          <t>No</t>
        </is>
      </c>
      <c r="G129" t="n">
        <v>3865</v>
      </c>
      <c r="H129" t="n">
        <v>1640</v>
      </c>
      <c r="I129" t="n">
        <v/>
      </c>
      <c r="J129" t="n">
        <v>360</v>
      </c>
      <c r="K129" t="n">
        <v>1</v>
      </c>
      <c r="L129" t="inlineStr">
        <is>
          <t>Rural</t>
        </is>
      </c>
      <c r="M129" t="inlineStr">
        <is>
          <t>Y</t>
        </is>
      </c>
      <c r="N129" t="inlineStr">
        <is>
          <t>Lower Risk</t>
        </is>
      </c>
    </row>
    <row r="130">
      <c r="A130" t="inlineStr">
        <is>
          <t>LP001451</t>
        </is>
      </c>
      <c r="B130" t="inlineStr">
        <is>
          <t>Male</t>
        </is>
      </c>
      <c r="C130" t="inlineStr">
        <is>
          <t>Yes</t>
        </is>
      </c>
      <c r="D130" t="n">
        <v>1</v>
      </c>
      <c r="E130" t="inlineStr">
        <is>
          <t>Graduate</t>
        </is>
      </c>
      <c r="F130" t="inlineStr">
        <is>
          <t>Yes</t>
        </is>
      </c>
      <c r="G130" t="n">
        <v>10513</v>
      </c>
      <c r="H130" t="n">
        <v>3850</v>
      </c>
      <c r="I130" t="n">
        <v>160</v>
      </c>
      <c r="J130" t="n">
        <v>180</v>
      </c>
      <c r="K130" t="n">
        <v>0</v>
      </c>
      <c r="L130" t="inlineStr">
        <is>
          <t>Urban</t>
        </is>
      </c>
      <c r="M130" t="inlineStr">
        <is>
          <t>N</t>
        </is>
      </c>
      <c r="N130" t="inlineStr">
        <is>
          <t>High Risk</t>
        </is>
      </c>
    </row>
    <row r="131">
      <c r="A131" t="inlineStr">
        <is>
          <t>LP001465</t>
        </is>
      </c>
      <c r="B131" t="inlineStr">
        <is>
          <t>Male</t>
        </is>
      </c>
      <c r="C131" t="inlineStr">
        <is>
          <t>Yes</t>
        </is>
      </c>
      <c r="D131" t="n">
        <v>0</v>
      </c>
      <c r="E131" t="inlineStr">
        <is>
          <t>Graduate</t>
        </is>
      </c>
      <c r="F131" t="inlineStr">
        <is>
          <t>No</t>
        </is>
      </c>
      <c r="G131" t="n">
        <v>6080</v>
      </c>
      <c r="H131" t="n">
        <v>2569</v>
      </c>
      <c r="I131" t="n">
        <v>182</v>
      </c>
      <c r="J131" t="n">
        <v>360</v>
      </c>
      <c r="K131" t="n">
        <v/>
      </c>
      <c r="L131" t="inlineStr">
        <is>
          <t>Rural</t>
        </is>
      </c>
      <c r="M131" t="inlineStr">
        <is>
          <t>N</t>
        </is>
      </c>
      <c r="N131" t="inlineStr">
        <is>
          <t>High Risk</t>
        </is>
      </c>
    </row>
    <row r="132">
      <c r="A132" t="inlineStr">
        <is>
          <t>LP001469</t>
        </is>
      </c>
      <c r="B132" t="inlineStr">
        <is>
          <t>Male</t>
        </is>
      </c>
      <c r="C132" t="inlineStr">
        <is>
          <t>No</t>
        </is>
      </c>
      <c r="D132" t="n">
        <v>0</v>
      </c>
      <c r="E132" t="inlineStr">
        <is>
          <t>Graduate</t>
        </is>
      </c>
      <c r="F132" t="inlineStr">
        <is>
          <t>Yes</t>
        </is>
      </c>
      <c r="G132" t="n">
        <v>20166</v>
      </c>
      <c r="H132" t="n">
        <v>0</v>
      </c>
      <c r="I132" t="n">
        <v>650</v>
      </c>
      <c r="J132" t="n">
        <v>480</v>
      </c>
      <c r="K132" t="n">
        <v/>
      </c>
      <c r="L132" t="inlineStr">
        <is>
          <t>Urban</t>
        </is>
      </c>
      <c r="M132" t="inlineStr">
        <is>
          <t>Y</t>
        </is>
      </c>
      <c r="N132" t="inlineStr">
        <is>
          <t>Medium Risk</t>
        </is>
      </c>
    </row>
    <row r="133">
      <c r="A133" t="inlineStr">
        <is>
          <t>LP001473</t>
        </is>
      </c>
      <c r="B133" t="inlineStr">
        <is>
          <t>Male</t>
        </is>
      </c>
      <c r="C133" t="inlineStr">
        <is>
          <t>No</t>
        </is>
      </c>
      <c r="D133" t="n">
        <v>0</v>
      </c>
      <c r="E133" t="inlineStr">
        <is>
          <t>Graduate</t>
        </is>
      </c>
      <c r="F133" t="inlineStr">
        <is>
          <t>No</t>
        </is>
      </c>
      <c r="G133" t="n">
        <v>2014</v>
      </c>
      <c r="H133" t="n">
        <v>1929</v>
      </c>
      <c r="I133" t="n">
        <v>74</v>
      </c>
      <c r="J133" t="n">
        <v>360</v>
      </c>
      <c r="K133" t="n">
        <v>1</v>
      </c>
      <c r="L133" t="inlineStr">
        <is>
          <t>Urban</t>
        </is>
      </c>
      <c r="M133" t="inlineStr">
        <is>
          <t>Y</t>
        </is>
      </c>
      <c r="N133" t="inlineStr">
        <is>
          <t>Lower Risk</t>
        </is>
      </c>
    </row>
    <row r="134">
      <c r="A134" t="inlineStr">
        <is>
          <t>LP001478</t>
        </is>
      </c>
      <c r="B134" t="inlineStr">
        <is>
          <t>Male</t>
        </is>
      </c>
      <c r="C134" t="inlineStr">
        <is>
          <t>No</t>
        </is>
      </c>
      <c r="D134" t="n">
        <v>0</v>
      </c>
      <c r="E134" t="inlineStr">
        <is>
          <t>Graduate</t>
        </is>
      </c>
      <c r="F134" t="inlineStr">
        <is>
          <t>No</t>
        </is>
      </c>
      <c r="G134" t="n">
        <v>2718</v>
      </c>
      <c r="H134" t="n">
        <v>0</v>
      </c>
      <c r="I134" t="n">
        <v>70</v>
      </c>
      <c r="J134" t="n">
        <v>360</v>
      </c>
      <c r="K134" t="n">
        <v>1</v>
      </c>
      <c r="L134" t="inlineStr">
        <is>
          <t>Semiurban</t>
        </is>
      </c>
      <c r="M134" t="inlineStr">
        <is>
          <t>Y</t>
        </is>
      </c>
      <c r="N134" t="inlineStr">
        <is>
          <t>Lower Risk</t>
        </is>
      </c>
    </row>
    <row r="135">
      <c r="A135" t="inlineStr">
        <is>
          <t>LP001482</t>
        </is>
      </c>
      <c r="B135" t="inlineStr">
        <is>
          <t>Male</t>
        </is>
      </c>
      <c r="C135" t="inlineStr">
        <is>
          <t>Yes</t>
        </is>
      </c>
      <c r="D135" t="n">
        <v>0</v>
      </c>
      <c r="E135" t="inlineStr">
        <is>
          <t>Graduate</t>
        </is>
      </c>
      <c r="F135" t="inlineStr">
        <is>
          <t>Yes</t>
        </is>
      </c>
      <c r="G135" t="n">
        <v>3459</v>
      </c>
      <c r="H135" t="n">
        <v>0</v>
      </c>
      <c r="I135" t="n">
        <v>25</v>
      </c>
      <c r="J135" t="n">
        <v>120</v>
      </c>
      <c r="K135" t="n">
        <v>1</v>
      </c>
      <c r="L135" t="inlineStr">
        <is>
          <t>Semiurban</t>
        </is>
      </c>
      <c r="M135" t="inlineStr">
        <is>
          <t>Y</t>
        </is>
      </c>
      <c r="N135" t="inlineStr">
        <is>
          <t>Lower Risk</t>
        </is>
      </c>
    </row>
    <row r="136">
      <c r="A136" t="inlineStr">
        <is>
          <t>LP001487</t>
        </is>
      </c>
      <c r="B136" t="inlineStr">
        <is>
          <t>Male</t>
        </is>
      </c>
      <c r="C136" t="inlineStr">
        <is>
          <t>No</t>
        </is>
      </c>
      <c r="D136" t="n">
        <v>0</v>
      </c>
      <c r="E136" t="inlineStr">
        <is>
          <t>Graduate</t>
        </is>
      </c>
      <c r="F136" t="inlineStr">
        <is>
          <t>No</t>
        </is>
      </c>
      <c r="G136" t="n">
        <v>4895</v>
      </c>
      <c r="H136" t="n">
        <v>0</v>
      </c>
      <c r="I136" t="n">
        <v>102</v>
      </c>
      <c r="J136" t="n">
        <v>360</v>
      </c>
      <c r="K136" t="n">
        <v>1</v>
      </c>
      <c r="L136" t="inlineStr">
        <is>
          <t>Semiurban</t>
        </is>
      </c>
      <c r="M136" t="inlineStr">
        <is>
          <t>Y</t>
        </is>
      </c>
      <c r="N136" t="inlineStr">
        <is>
          <t>Lower Risk</t>
        </is>
      </c>
    </row>
    <row r="137">
      <c r="A137" t="inlineStr">
        <is>
          <t>LP001488</t>
        </is>
      </c>
      <c r="B137" t="inlineStr">
        <is>
          <t>Male</t>
        </is>
      </c>
      <c r="C137" t="inlineStr">
        <is>
          <t>Yes</t>
        </is>
      </c>
      <c r="D137" t="inlineStr">
        <is>
          <t>3+</t>
        </is>
      </c>
      <c r="E137" t="inlineStr">
        <is>
          <t>Graduate</t>
        </is>
      </c>
      <c r="F137" t="inlineStr">
        <is>
          <t>No</t>
        </is>
      </c>
      <c r="G137" t="n">
        <v>4000</v>
      </c>
      <c r="H137" t="n">
        <v>7750</v>
      </c>
      <c r="I137" t="n">
        <v>290</v>
      </c>
      <c r="J137" t="n">
        <v>360</v>
      </c>
      <c r="K137" t="n">
        <v>1</v>
      </c>
      <c r="L137" t="inlineStr">
        <is>
          <t>Semiurban</t>
        </is>
      </c>
      <c r="M137" t="inlineStr">
        <is>
          <t>N</t>
        </is>
      </c>
      <c r="N137" t="inlineStr">
        <is>
          <t>Medium Risk</t>
        </is>
      </c>
    </row>
    <row r="138">
      <c r="A138" t="inlineStr">
        <is>
          <t>LP001489</t>
        </is>
      </c>
      <c r="B138" t="inlineStr">
        <is>
          <t>Female</t>
        </is>
      </c>
      <c r="C138" t="inlineStr">
        <is>
          <t>Yes</t>
        </is>
      </c>
      <c r="D138" t="n">
        <v>0</v>
      </c>
      <c r="E138" t="inlineStr">
        <is>
          <t>Graduate</t>
        </is>
      </c>
      <c r="F138" t="inlineStr">
        <is>
          <t>No</t>
        </is>
      </c>
      <c r="G138" t="n">
        <v>4583</v>
      </c>
      <c r="H138" t="n">
        <v>0</v>
      </c>
      <c r="I138" t="n">
        <v>84</v>
      </c>
      <c r="J138" t="n">
        <v>360</v>
      </c>
      <c r="K138" t="n">
        <v>1</v>
      </c>
      <c r="L138" t="inlineStr">
        <is>
          <t>Rural</t>
        </is>
      </c>
      <c r="M138" t="inlineStr">
        <is>
          <t>N</t>
        </is>
      </c>
      <c r="N138" t="inlineStr">
        <is>
          <t>Medium Risk</t>
        </is>
      </c>
    </row>
    <row r="139">
      <c r="A139" t="inlineStr">
        <is>
          <t>LP001491</t>
        </is>
      </c>
      <c r="B139" t="inlineStr">
        <is>
          <t>Male</t>
        </is>
      </c>
      <c r="C139" t="inlineStr">
        <is>
          <t>Yes</t>
        </is>
      </c>
      <c r="D139" t="n">
        <v>2</v>
      </c>
      <c r="E139" t="inlineStr">
        <is>
          <t>Graduate</t>
        </is>
      </c>
      <c r="F139" t="inlineStr">
        <is>
          <t>Yes</t>
        </is>
      </c>
      <c r="G139" t="n">
        <v>3316</v>
      </c>
      <c r="H139" t="n">
        <v>3500</v>
      </c>
      <c r="I139" t="n">
        <v>88</v>
      </c>
      <c r="J139" t="n">
        <v>360</v>
      </c>
      <c r="K139" t="n">
        <v>1</v>
      </c>
      <c r="L139" t="inlineStr">
        <is>
          <t>Urban</t>
        </is>
      </c>
      <c r="M139" t="inlineStr">
        <is>
          <t>Y</t>
        </is>
      </c>
      <c r="N139" t="inlineStr">
        <is>
          <t>Lower Risk</t>
        </is>
      </c>
    </row>
    <row r="140">
      <c r="A140" t="inlineStr">
        <is>
          <t>LP001492</t>
        </is>
      </c>
      <c r="B140" t="inlineStr">
        <is>
          <t>Male</t>
        </is>
      </c>
      <c r="C140" t="inlineStr">
        <is>
          <t>No</t>
        </is>
      </c>
      <c r="D140" t="n">
        <v>0</v>
      </c>
      <c r="E140" t="inlineStr">
        <is>
          <t>Graduate</t>
        </is>
      </c>
      <c r="F140" t="inlineStr">
        <is>
          <t>No</t>
        </is>
      </c>
      <c r="G140" t="n">
        <v>14999</v>
      </c>
      <c r="H140" t="n">
        <v>0</v>
      </c>
      <c r="I140" t="n">
        <v>242</v>
      </c>
      <c r="J140" t="n">
        <v>360</v>
      </c>
      <c r="K140" t="n">
        <v>0</v>
      </c>
      <c r="L140" t="inlineStr">
        <is>
          <t>Semiurban</t>
        </is>
      </c>
      <c r="M140" t="inlineStr">
        <is>
          <t>N</t>
        </is>
      </c>
      <c r="N140" t="inlineStr">
        <is>
          <t>High Risk</t>
        </is>
      </c>
    </row>
    <row r="141">
      <c r="A141" t="inlineStr">
        <is>
          <t>LP001493</t>
        </is>
      </c>
      <c r="B141" t="inlineStr">
        <is>
          <t>Male</t>
        </is>
      </c>
      <c r="C141" t="inlineStr">
        <is>
          <t>Yes</t>
        </is>
      </c>
      <c r="D141" t="n">
        <v>2</v>
      </c>
      <c r="E141" t="inlineStr">
        <is>
          <t>Not Graduate</t>
        </is>
      </c>
      <c r="F141" t="inlineStr">
        <is>
          <t>No</t>
        </is>
      </c>
      <c r="G141" t="n">
        <v>4200</v>
      </c>
      <c r="H141" t="n">
        <v>1430</v>
      </c>
      <c r="I141" t="n">
        <v>129</v>
      </c>
      <c r="J141" t="n">
        <v>360</v>
      </c>
      <c r="K141" t="n">
        <v>1</v>
      </c>
      <c r="L141" t="inlineStr">
        <is>
          <t>Rural</t>
        </is>
      </c>
      <c r="M141" t="inlineStr">
        <is>
          <t>N</t>
        </is>
      </c>
      <c r="N141" t="inlineStr">
        <is>
          <t>Medium Risk</t>
        </is>
      </c>
    </row>
    <row r="142">
      <c r="A142" t="inlineStr">
        <is>
          <t>LP001497</t>
        </is>
      </c>
      <c r="B142" t="inlineStr">
        <is>
          <t>Male</t>
        </is>
      </c>
      <c r="C142" t="inlineStr">
        <is>
          <t>Yes</t>
        </is>
      </c>
      <c r="D142" t="n">
        <v>2</v>
      </c>
      <c r="E142" t="inlineStr">
        <is>
          <t>Graduate</t>
        </is>
      </c>
      <c r="F142" t="inlineStr">
        <is>
          <t>No</t>
        </is>
      </c>
      <c r="G142" t="n">
        <v>5042</v>
      </c>
      <c r="H142" t="n">
        <v>2083</v>
      </c>
      <c r="I142" t="n">
        <v>185</v>
      </c>
      <c r="J142" t="n">
        <v>360</v>
      </c>
      <c r="K142" t="n">
        <v>1</v>
      </c>
      <c r="L142" t="inlineStr">
        <is>
          <t>Rural</t>
        </is>
      </c>
      <c r="M142" t="inlineStr">
        <is>
          <t>N</t>
        </is>
      </c>
      <c r="N142" t="inlineStr">
        <is>
          <t>Medium Risk</t>
        </is>
      </c>
    </row>
    <row r="143">
      <c r="A143" t="inlineStr">
        <is>
          <t>LP001498</t>
        </is>
      </c>
      <c r="B143" t="inlineStr">
        <is>
          <t>Male</t>
        </is>
      </c>
      <c r="C143" t="inlineStr">
        <is>
          <t>No</t>
        </is>
      </c>
      <c r="D143" t="n">
        <v>0</v>
      </c>
      <c r="E143" t="inlineStr">
        <is>
          <t>Graduate</t>
        </is>
      </c>
      <c r="F143" t="inlineStr">
        <is>
          <t>No</t>
        </is>
      </c>
      <c r="G143" t="n">
        <v>5417</v>
      </c>
      <c r="H143" t="n">
        <v>0</v>
      </c>
      <c r="I143" t="n">
        <v>168</v>
      </c>
      <c r="J143" t="n">
        <v>360</v>
      </c>
      <c r="K143" t="n">
        <v>1</v>
      </c>
      <c r="L143" t="inlineStr">
        <is>
          <t>Urban</t>
        </is>
      </c>
      <c r="M143" t="inlineStr">
        <is>
          <t>Y</t>
        </is>
      </c>
      <c r="N143" t="inlineStr">
        <is>
          <t>Lower Risk</t>
        </is>
      </c>
    </row>
    <row r="144">
      <c r="A144" t="inlineStr">
        <is>
          <t>LP001504</t>
        </is>
      </c>
      <c r="B144" t="inlineStr">
        <is>
          <t>Male</t>
        </is>
      </c>
      <c r="C144" t="inlineStr">
        <is>
          <t>No</t>
        </is>
      </c>
      <c r="D144" t="n">
        <v>0</v>
      </c>
      <c r="E144" t="inlineStr">
        <is>
          <t>Graduate</t>
        </is>
      </c>
      <c r="F144" t="inlineStr">
        <is>
          <t>Yes</t>
        </is>
      </c>
      <c r="G144" t="n">
        <v>6950</v>
      </c>
      <c r="H144" t="n">
        <v>0</v>
      </c>
      <c r="I144" t="n">
        <v>175</v>
      </c>
      <c r="J144" t="n">
        <v>180</v>
      </c>
      <c r="K144" t="n">
        <v>1</v>
      </c>
      <c r="L144" t="inlineStr">
        <is>
          <t>Semiurban</t>
        </is>
      </c>
      <c r="M144" t="inlineStr">
        <is>
          <t>Y</t>
        </is>
      </c>
      <c r="N144" t="inlineStr">
        <is>
          <t>Lower Risk</t>
        </is>
      </c>
    </row>
    <row r="145">
      <c r="A145" t="inlineStr">
        <is>
          <t>LP001507</t>
        </is>
      </c>
      <c r="B145" t="inlineStr">
        <is>
          <t>Male</t>
        </is>
      </c>
      <c r="C145" t="inlineStr">
        <is>
          <t>Yes</t>
        </is>
      </c>
      <c r="D145" t="n">
        <v>0</v>
      </c>
      <c r="E145" t="inlineStr">
        <is>
          <t>Graduate</t>
        </is>
      </c>
      <c r="F145" t="inlineStr">
        <is>
          <t>No</t>
        </is>
      </c>
      <c r="G145" t="n">
        <v>2698</v>
      </c>
      <c r="H145" t="n">
        <v>2034</v>
      </c>
      <c r="I145" t="n">
        <v>122</v>
      </c>
      <c r="J145" t="n">
        <v>360</v>
      </c>
      <c r="K145" t="n">
        <v>1</v>
      </c>
      <c r="L145" t="inlineStr">
        <is>
          <t>Semiurban</t>
        </is>
      </c>
      <c r="M145" t="inlineStr">
        <is>
          <t>Y</t>
        </is>
      </c>
      <c r="N145" t="inlineStr">
        <is>
          <t>Lower Risk</t>
        </is>
      </c>
    </row>
    <row r="146">
      <c r="A146" t="inlineStr">
        <is>
          <t>LP001508</t>
        </is>
      </c>
      <c r="B146" t="inlineStr">
        <is>
          <t>Male</t>
        </is>
      </c>
      <c r="C146" t="inlineStr">
        <is>
          <t>Yes</t>
        </is>
      </c>
      <c r="D146" t="n">
        <v>2</v>
      </c>
      <c r="E146" t="inlineStr">
        <is>
          <t>Graduate</t>
        </is>
      </c>
      <c r="F146" t="inlineStr">
        <is>
          <t>No</t>
        </is>
      </c>
      <c r="G146" t="n">
        <v>11757</v>
      </c>
      <c r="H146" t="n">
        <v>0</v>
      </c>
      <c r="I146" t="n">
        <v>187</v>
      </c>
      <c r="J146" t="n">
        <v>180</v>
      </c>
      <c r="K146" t="n">
        <v>1</v>
      </c>
      <c r="L146" t="inlineStr">
        <is>
          <t>Urban</t>
        </is>
      </c>
      <c r="M146" t="inlineStr">
        <is>
          <t>Y</t>
        </is>
      </c>
      <c r="N146" t="inlineStr">
        <is>
          <t>Lower Risk</t>
        </is>
      </c>
    </row>
    <row r="147">
      <c r="A147" t="inlineStr">
        <is>
          <t>LP001514</t>
        </is>
      </c>
      <c r="B147" t="inlineStr">
        <is>
          <t>Female</t>
        </is>
      </c>
      <c r="C147" t="inlineStr">
        <is>
          <t>Yes</t>
        </is>
      </c>
      <c r="D147" t="n">
        <v>0</v>
      </c>
      <c r="E147" t="inlineStr">
        <is>
          <t>Graduate</t>
        </is>
      </c>
      <c r="F147" t="inlineStr">
        <is>
          <t>No</t>
        </is>
      </c>
      <c r="G147" t="n">
        <v>2330</v>
      </c>
      <c r="H147" t="n">
        <v>4486</v>
      </c>
      <c r="I147" t="n">
        <v>100</v>
      </c>
      <c r="J147" t="n">
        <v>360</v>
      </c>
      <c r="K147" t="n">
        <v>1</v>
      </c>
      <c r="L147" t="inlineStr">
        <is>
          <t>Semiurban</t>
        </is>
      </c>
      <c r="M147" t="inlineStr">
        <is>
          <t>Y</t>
        </is>
      </c>
      <c r="N147" t="inlineStr">
        <is>
          <t>Lower Risk</t>
        </is>
      </c>
    </row>
    <row r="148">
      <c r="A148" t="inlineStr">
        <is>
          <t>LP001516</t>
        </is>
      </c>
      <c r="B148" t="inlineStr">
        <is>
          <t>Female</t>
        </is>
      </c>
      <c r="C148" t="inlineStr">
        <is>
          <t>Yes</t>
        </is>
      </c>
      <c r="D148" t="n">
        <v>2</v>
      </c>
      <c r="E148" t="inlineStr">
        <is>
          <t>Graduate</t>
        </is>
      </c>
      <c r="F148" t="inlineStr">
        <is>
          <t>No</t>
        </is>
      </c>
      <c r="G148" t="n">
        <v>14866</v>
      </c>
      <c r="H148" t="n">
        <v>0</v>
      </c>
      <c r="I148" t="n">
        <v>70</v>
      </c>
      <c r="J148" t="n">
        <v>360</v>
      </c>
      <c r="K148" t="n">
        <v>1</v>
      </c>
      <c r="L148" t="inlineStr">
        <is>
          <t>Urban</t>
        </is>
      </c>
      <c r="M148" t="inlineStr">
        <is>
          <t>Y</t>
        </is>
      </c>
      <c r="N148" t="inlineStr">
        <is>
          <t>Lower Risk</t>
        </is>
      </c>
    </row>
    <row r="149">
      <c r="A149" t="inlineStr">
        <is>
          <t>LP001518</t>
        </is>
      </c>
      <c r="B149" t="inlineStr">
        <is>
          <t>Male</t>
        </is>
      </c>
      <c r="C149" t="inlineStr">
        <is>
          <t>Yes</t>
        </is>
      </c>
      <c r="D149" t="n">
        <v>1</v>
      </c>
      <c r="E149" t="inlineStr">
        <is>
          <t>Graduate</t>
        </is>
      </c>
      <c r="F149" t="inlineStr">
        <is>
          <t>No</t>
        </is>
      </c>
      <c r="G149" t="n">
        <v>1538</v>
      </c>
      <c r="H149" t="n">
        <v>1425</v>
      </c>
      <c r="I149" t="n">
        <v>30</v>
      </c>
      <c r="J149" t="n">
        <v>360</v>
      </c>
      <c r="K149" t="n">
        <v>1</v>
      </c>
      <c r="L149" t="inlineStr">
        <is>
          <t>Urban</t>
        </is>
      </c>
      <c r="M149" t="inlineStr">
        <is>
          <t>Y</t>
        </is>
      </c>
      <c r="N149" t="inlineStr">
        <is>
          <t>Lower Risk</t>
        </is>
      </c>
    </row>
    <row r="150">
      <c r="A150" t="inlineStr">
        <is>
          <t>LP001519</t>
        </is>
      </c>
      <c r="B150" t="inlineStr">
        <is>
          <t>Female</t>
        </is>
      </c>
      <c r="C150" t="inlineStr">
        <is>
          <t>No</t>
        </is>
      </c>
      <c r="D150" t="n">
        <v>0</v>
      </c>
      <c r="E150" t="inlineStr">
        <is>
          <t>Graduate</t>
        </is>
      </c>
      <c r="F150" t="inlineStr">
        <is>
          <t>No</t>
        </is>
      </c>
      <c r="G150" t="n">
        <v>10000</v>
      </c>
      <c r="H150" t="n">
        <v>1666</v>
      </c>
      <c r="I150" t="n">
        <v>225</v>
      </c>
      <c r="J150" t="n">
        <v>360</v>
      </c>
      <c r="K150" t="n">
        <v>1</v>
      </c>
      <c r="L150" t="inlineStr">
        <is>
          <t>Rural</t>
        </is>
      </c>
      <c r="M150" t="inlineStr">
        <is>
          <t>N</t>
        </is>
      </c>
      <c r="N150" t="inlineStr">
        <is>
          <t>Medium Risk</t>
        </is>
      </c>
    </row>
    <row r="151">
      <c r="A151" t="inlineStr">
        <is>
          <t>LP001520</t>
        </is>
      </c>
      <c r="B151" t="inlineStr">
        <is>
          <t>Male</t>
        </is>
      </c>
      <c r="C151" t="inlineStr">
        <is>
          <t>Yes</t>
        </is>
      </c>
      <c r="D151" t="n">
        <v>0</v>
      </c>
      <c r="E151" t="inlineStr">
        <is>
          <t>Graduate</t>
        </is>
      </c>
      <c r="F151" t="inlineStr">
        <is>
          <t>No</t>
        </is>
      </c>
      <c r="G151" t="n">
        <v>4860</v>
      </c>
      <c r="H151" t="n">
        <v>830</v>
      </c>
      <c r="I151" t="n">
        <v>125</v>
      </c>
      <c r="J151" t="n">
        <v>360</v>
      </c>
      <c r="K151" t="n">
        <v>1</v>
      </c>
      <c r="L151" t="inlineStr">
        <is>
          <t>Semiurban</t>
        </is>
      </c>
      <c r="M151" t="inlineStr">
        <is>
          <t>Y</t>
        </is>
      </c>
      <c r="N151" t="inlineStr">
        <is>
          <t>Lower Risk</t>
        </is>
      </c>
    </row>
    <row r="152">
      <c r="A152" t="inlineStr">
        <is>
          <t>LP001528</t>
        </is>
      </c>
      <c r="B152" t="inlineStr">
        <is>
          <t>Male</t>
        </is>
      </c>
      <c r="C152" t="inlineStr">
        <is>
          <t>No</t>
        </is>
      </c>
      <c r="D152" t="n">
        <v>0</v>
      </c>
      <c r="E152" t="inlineStr">
        <is>
          <t>Graduate</t>
        </is>
      </c>
      <c r="F152" t="inlineStr">
        <is>
          <t>No</t>
        </is>
      </c>
      <c r="G152" t="n">
        <v>6277</v>
      </c>
      <c r="H152" t="n">
        <v>0</v>
      </c>
      <c r="I152" t="n">
        <v>118</v>
      </c>
      <c r="J152" t="n">
        <v>360</v>
      </c>
      <c r="K152" t="n">
        <v>0</v>
      </c>
      <c r="L152" t="inlineStr">
        <is>
          <t>Rural</t>
        </is>
      </c>
      <c r="M152" t="inlineStr">
        <is>
          <t>N</t>
        </is>
      </c>
      <c r="N152" t="inlineStr">
        <is>
          <t>High Risk</t>
        </is>
      </c>
    </row>
    <row r="153">
      <c r="A153" t="inlineStr">
        <is>
          <t>LP001529</t>
        </is>
      </c>
      <c r="B153" t="inlineStr">
        <is>
          <t>Male</t>
        </is>
      </c>
      <c r="C153" t="inlineStr">
        <is>
          <t>Yes</t>
        </is>
      </c>
      <c r="D153" t="n">
        <v>0</v>
      </c>
      <c r="E153" t="inlineStr">
        <is>
          <t>Graduate</t>
        </is>
      </c>
      <c r="F153" t="inlineStr">
        <is>
          <t>Yes</t>
        </is>
      </c>
      <c r="G153" t="n">
        <v>2577</v>
      </c>
      <c r="H153" t="n">
        <v>3750</v>
      </c>
      <c r="I153" t="n">
        <v>152</v>
      </c>
      <c r="J153" t="n">
        <v>360</v>
      </c>
      <c r="K153" t="n">
        <v>1</v>
      </c>
      <c r="L153" t="inlineStr">
        <is>
          <t>Rural</t>
        </is>
      </c>
      <c r="M153" t="inlineStr">
        <is>
          <t>Y</t>
        </is>
      </c>
      <c r="N153" t="inlineStr">
        <is>
          <t>Lower Risk</t>
        </is>
      </c>
    </row>
    <row r="154">
      <c r="A154" t="inlineStr">
        <is>
          <t>LP001531</t>
        </is>
      </c>
      <c r="B154" t="inlineStr">
        <is>
          <t>Male</t>
        </is>
      </c>
      <c r="C154" t="inlineStr">
        <is>
          <t>No</t>
        </is>
      </c>
      <c r="D154" t="n">
        <v>0</v>
      </c>
      <c r="E154" t="inlineStr">
        <is>
          <t>Graduate</t>
        </is>
      </c>
      <c r="F154" t="inlineStr">
        <is>
          <t>No</t>
        </is>
      </c>
      <c r="G154" t="n">
        <v>9166</v>
      </c>
      <c r="H154" t="n">
        <v>0</v>
      </c>
      <c r="I154" t="n">
        <v>244</v>
      </c>
      <c r="J154" t="n">
        <v>360</v>
      </c>
      <c r="K154" t="n">
        <v>1</v>
      </c>
      <c r="L154" t="inlineStr">
        <is>
          <t>Urban</t>
        </is>
      </c>
      <c r="M154" t="inlineStr">
        <is>
          <t>N</t>
        </is>
      </c>
      <c r="N154" t="inlineStr">
        <is>
          <t>Medium Risk</t>
        </is>
      </c>
    </row>
    <row r="155">
      <c r="A155" t="inlineStr">
        <is>
          <t>LP001532</t>
        </is>
      </c>
      <c r="B155" t="inlineStr">
        <is>
          <t>Male</t>
        </is>
      </c>
      <c r="C155" t="inlineStr">
        <is>
          <t>Yes</t>
        </is>
      </c>
      <c r="D155" t="n">
        <v>2</v>
      </c>
      <c r="E155" t="inlineStr">
        <is>
          <t>Not Graduate</t>
        </is>
      </c>
      <c r="F155" t="inlineStr">
        <is>
          <t>No</t>
        </is>
      </c>
      <c r="G155" t="n">
        <v>2281</v>
      </c>
      <c r="H155" t="n">
        <v>0</v>
      </c>
      <c r="I155" t="n">
        <v>113</v>
      </c>
      <c r="J155" t="n">
        <v>360</v>
      </c>
      <c r="K155" t="n">
        <v>1</v>
      </c>
      <c r="L155" t="inlineStr">
        <is>
          <t>Rural</t>
        </is>
      </c>
      <c r="M155" t="inlineStr">
        <is>
          <t>N</t>
        </is>
      </c>
      <c r="N155" t="inlineStr">
        <is>
          <t>Medium Risk</t>
        </is>
      </c>
    </row>
    <row r="156">
      <c r="A156" t="inlineStr">
        <is>
          <t>LP001535</t>
        </is>
      </c>
      <c r="B156" t="inlineStr">
        <is>
          <t>Male</t>
        </is>
      </c>
      <c r="C156" t="inlineStr">
        <is>
          <t>No</t>
        </is>
      </c>
      <c r="D156" t="n">
        <v>0</v>
      </c>
      <c r="E156" t="inlineStr">
        <is>
          <t>Graduate</t>
        </is>
      </c>
      <c r="F156" t="inlineStr">
        <is>
          <t>No</t>
        </is>
      </c>
      <c r="G156" t="n">
        <v>3254</v>
      </c>
      <c r="H156" t="n">
        <v>0</v>
      </c>
      <c r="I156" t="n">
        <v>50</v>
      </c>
      <c r="J156" t="n">
        <v>360</v>
      </c>
      <c r="K156" t="n">
        <v>1</v>
      </c>
      <c r="L156" t="inlineStr">
        <is>
          <t>Urban</t>
        </is>
      </c>
      <c r="M156" t="inlineStr">
        <is>
          <t>Y</t>
        </is>
      </c>
      <c r="N156" t="inlineStr">
        <is>
          <t>Lower Risk</t>
        </is>
      </c>
    </row>
    <row r="157">
      <c r="A157" t="inlineStr">
        <is>
          <t>LP001536</t>
        </is>
      </c>
      <c r="B157" t="inlineStr">
        <is>
          <t>Male</t>
        </is>
      </c>
      <c r="C157" t="inlineStr">
        <is>
          <t>Yes</t>
        </is>
      </c>
      <c r="D157" t="inlineStr">
        <is>
          <t>3+</t>
        </is>
      </c>
      <c r="E157" t="inlineStr">
        <is>
          <t>Graduate</t>
        </is>
      </c>
      <c r="F157" t="inlineStr">
        <is>
          <t>No</t>
        </is>
      </c>
      <c r="G157" t="n">
        <v>39999</v>
      </c>
      <c r="H157" t="n">
        <v>0</v>
      </c>
      <c r="I157" t="n">
        <v>600</v>
      </c>
      <c r="J157" t="n">
        <v>180</v>
      </c>
      <c r="K157" t="n">
        <v>0</v>
      </c>
      <c r="L157" t="inlineStr">
        <is>
          <t>Semiurban</t>
        </is>
      </c>
      <c r="M157" t="inlineStr">
        <is>
          <t>Y</t>
        </is>
      </c>
      <c r="N157" t="inlineStr">
        <is>
          <t>Medium Risk</t>
        </is>
      </c>
    </row>
    <row r="158">
      <c r="A158" t="inlineStr">
        <is>
          <t>LP001541</t>
        </is>
      </c>
      <c r="B158" t="inlineStr">
        <is>
          <t>Male</t>
        </is>
      </c>
      <c r="C158" t="inlineStr">
        <is>
          <t>Yes</t>
        </is>
      </c>
      <c r="D158" t="n">
        <v>1</v>
      </c>
      <c r="E158" t="inlineStr">
        <is>
          <t>Graduate</t>
        </is>
      </c>
      <c r="F158" t="inlineStr">
        <is>
          <t>No</t>
        </is>
      </c>
      <c r="G158" t="n">
        <v>6000</v>
      </c>
      <c r="H158" t="n">
        <v>0</v>
      </c>
      <c r="I158" t="n">
        <v>160</v>
      </c>
      <c r="J158" t="n">
        <v>360</v>
      </c>
      <c r="K158" t="n">
        <v/>
      </c>
      <c r="L158" t="inlineStr">
        <is>
          <t>Rural</t>
        </is>
      </c>
      <c r="M158" t="inlineStr">
        <is>
          <t>Y</t>
        </is>
      </c>
      <c r="N158" t="inlineStr">
        <is>
          <t>Medium Risk</t>
        </is>
      </c>
    </row>
    <row r="159">
      <c r="A159" t="inlineStr">
        <is>
          <t>LP001543</t>
        </is>
      </c>
      <c r="B159" t="inlineStr">
        <is>
          <t>Male</t>
        </is>
      </c>
      <c r="C159" t="inlineStr">
        <is>
          <t>Yes</t>
        </is>
      </c>
      <c r="D159" t="n">
        <v>1</v>
      </c>
      <c r="E159" t="inlineStr">
        <is>
          <t>Graduate</t>
        </is>
      </c>
      <c r="F159" t="inlineStr">
        <is>
          <t>No</t>
        </is>
      </c>
      <c r="G159" t="n">
        <v>9538</v>
      </c>
      <c r="H159" t="n">
        <v>0</v>
      </c>
      <c r="I159" t="n">
        <v>187</v>
      </c>
      <c r="J159" t="n">
        <v>360</v>
      </c>
      <c r="K159" t="n">
        <v>1</v>
      </c>
      <c r="L159" t="inlineStr">
        <is>
          <t>Urban</t>
        </is>
      </c>
      <c r="M159" t="inlineStr">
        <is>
          <t>Y</t>
        </is>
      </c>
      <c r="N159" t="inlineStr">
        <is>
          <t>Lower Risk</t>
        </is>
      </c>
    </row>
    <row r="160">
      <c r="A160" t="inlineStr">
        <is>
          <t>LP001546</t>
        </is>
      </c>
      <c r="B160" t="inlineStr">
        <is>
          <t>Male</t>
        </is>
      </c>
      <c r="C160" t="inlineStr">
        <is>
          <t>No</t>
        </is>
      </c>
      <c r="D160" t="n">
        <v>0</v>
      </c>
      <c r="E160" t="inlineStr">
        <is>
          <t>Graduate</t>
        </is>
      </c>
      <c r="F160" t="n">
        <v/>
      </c>
      <c r="G160" t="n">
        <v>2980</v>
      </c>
      <c r="H160" t="n">
        <v>2083</v>
      </c>
      <c r="I160" t="n">
        <v>120</v>
      </c>
      <c r="J160" t="n">
        <v>360</v>
      </c>
      <c r="K160" t="n">
        <v>1</v>
      </c>
      <c r="L160" t="inlineStr">
        <is>
          <t>Rural</t>
        </is>
      </c>
      <c r="M160" t="inlineStr">
        <is>
          <t>Y</t>
        </is>
      </c>
      <c r="N160" t="inlineStr">
        <is>
          <t>Lower Risk</t>
        </is>
      </c>
    </row>
    <row r="161">
      <c r="A161" t="inlineStr">
        <is>
          <t>LP001552</t>
        </is>
      </c>
      <c r="B161" t="inlineStr">
        <is>
          <t>Male</t>
        </is>
      </c>
      <c r="C161" t="inlineStr">
        <is>
          <t>Yes</t>
        </is>
      </c>
      <c r="D161" t="n">
        <v>0</v>
      </c>
      <c r="E161" t="inlineStr">
        <is>
          <t>Graduate</t>
        </is>
      </c>
      <c r="F161" t="inlineStr">
        <is>
          <t>No</t>
        </is>
      </c>
      <c r="G161" t="n">
        <v>4583</v>
      </c>
      <c r="H161" t="n">
        <v>5625</v>
      </c>
      <c r="I161" t="n">
        <v>255</v>
      </c>
      <c r="J161" t="n">
        <v>360</v>
      </c>
      <c r="K161" t="n">
        <v>1</v>
      </c>
      <c r="L161" t="inlineStr">
        <is>
          <t>Semiurban</t>
        </is>
      </c>
      <c r="M161" t="inlineStr">
        <is>
          <t>Y</t>
        </is>
      </c>
      <c r="N161" t="inlineStr">
        <is>
          <t>Lower Risk</t>
        </is>
      </c>
    </row>
    <row r="162">
      <c r="A162" t="inlineStr">
        <is>
          <t>LP001560</t>
        </is>
      </c>
      <c r="B162" t="inlineStr">
        <is>
          <t>Male</t>
        </is>
      </c>
      <c r="C162" t="inlineStr">
        <is>
          <t>Yes</t>
        </is>
      </c>
      <c r="D162" t="n">
        <v>0</v>
      </c>
      <c r="E162" t="inlineStr">
        <is>
          <t>Not Graduate</t>
        </is>
      </c>
      <c r="F162" t="inlineStr">
        <is>
          <t>No</t>
        </is>
      </c>
      <c r="G162" t="n">
        <v>1863</v>
      </c>
      <c r="H162" t="n">
        <v>1041</v>
      </c>
      <c r="I162" t="n">
        <v>98</v>
      </c>
      <c r="J162" t="n">
        <v>360</v>
      </c>
      <c r="K162" t="n">
        <v>1</v>
      </c>
      <c r="L162" t="inlineStr">
        <is>
          <t>Semiurban</t>
        </is>
      </c>
      <c r="M162" t="inlineStr">
        <is>
          <t>Y</t>
        </is>
      </c>
      <c r="N162" t="inlineStr">
        <is>
          <t>Lower Risk</t>
        </is>
      </c>
    </row>
    <row r="163">
      <c r="A163" t="inlineStr">
        <is>
          <t>LP001562</t>
        </is>
      </c>
      <c r="B163" t="inlineStr">
        <is>
          <t>Male</t>
        </is>
      </c>
      <c r="C163" t="inlineStr">
        <is>
          <t>Yes</t>
        </is>
      </c>
      <c r="D163" t="n">
        <v>0</v>
      </c>
      <c r="E163" t="inlineStr">
        <is>
          <t>Graduate</t>
        </is>
      </c>
      <c r="F163" t="inlineStr">
        <is>
          <t>No</t>
        </is>
      </c>
      <c r="G163" t="n">
        <v>7933</v>
      </c>
      <c r="H163" t="n">
        <v>0</v>
      </c>
      <c r="I163" t="n">
        <v>275</v>
      </c>
      <c r="J163" t="n">
        <v>360</v>
      </c>
      <c r="K163" t="n">
        <v>1</v>
      </c>
      <c r="L163" t="inlineStr">
        <is>
          <t>Urban</t>
        </is>
      </c>
      <c r="M163" t="inlineStr">
        <is>
          <t>N</t>
        </is>
      </c>
      <c r="N163" t="inlineStr">
        <is>
          <t>Medium Risk</t>
        </is>
      </c>
    </row>
    <row r="164">
      <c r="A164" t="inlineStr">
        <is>
          <t>LP001565</t>
        </is>
      </c>
      <c r="B164" t="inlineStr">
        <is>
          <t>Male</t>
        </is>
      </c>
      <c r="C164" t="inlineStr">
        <is>
          <t>Yes</t>
        </is>
      </c>
      <c r="D164" t="n">
        <v>1</v>
      </c>
      <c r="E164" t="inlineStr">
        <is>
          <t>Graduate</t>
        </is>
      </c>
      <c r="F164" t="inlineStr">
        <is>
          <t>No</t>
        </is>
      </c>
      <c r="G164" t="n">
        <v>3089</v>
      </c>
      <c r="H164" t="n">
        <v>1280</v>
      </c>
      <c r="I164" t="n">
        <v>121</v>
      </c>
      <c r="J164" t="n">
        <v>360</v>
      </c>
      <c r="K164" t="n">
        <v>0</v>
      </c>
      <c r="L164" t="inlineStr">
        <is>
          <t>Semiurban</t>
        </is>
      </c>
      <c r="M164" t="inlineStr">
        <is>
          <t>N</t>
        </is>
      </c>
      <c r="N164" t="inlineStr">
        <is>
          <t>High Risk</t>
        </is>
      </c>
    </row>
    <row r="165">
      <c r="A165" t="inlineStr">
        <is>
          <t>LP001570</t>
        </is>
      </c>
      <c r="B165" t="inlineStr">
        <is>
          <t>Male</t>
        </is>
      </c>
      <c r="C165" t="inlineStr">
        <is>
          <t>Yes</t>
        </is>
      </c>
      <c r="D165" t="n">
        <v>2</v>
      </c>
      <c r="E165" t="inlineStr">
        <is>
          <t>Graduate</t>
        </is>
      </c>
      <c r="F165" t="inlineStr">
        <is>
          <t>No</t>
        </is>
      </c>
      <c r="G165" t="n">
        <v>4167</v>
      </c>
      <c r="H165" t="n">
        <v>1447</v>
      </c>
      <c r="I165" t="n">
        <v>158</v>
      </c>
      <c r="J165" t="n">
        <v>360</v>
      </c>
      <c r="K165" t="n">
        <v>1</v>
      </c>
      <c r="L165" t="inlineStr">
        <is>
          <t>Rural</t>
        </is>
      </c>
      <c r="M165" t="inlineStr">
        <is>
          <t>Y</t>
        </is>
      </c>
      <c r="N165" t="inlineStr">
        <is>
          <t>Lower Risk</t>
        </is>
      </c>
    </row>
    <row r="166">
      <c r="A166" t="inlineStr">
        <is>
          <t>LP001572</t>
        </is>
      </c>
      <c r="B166" t="inlineStr">
        <is>
          <t>Male</t>
        </is>
      </c>
      <c r="C166" t="inlineStr">
        <is>
          <t>Yes</t>
        </is>
      </c>
      <c r="D166" t="n">
        <v>0</v>
      </c>
      <c r="E166" t="inlineStr">
        <is>
          <t>Graduate</t>
        </is>
      </c>
      <c r="F166" t="inlineStr">
        <is>
          <t>No</t>
        </is>
      </c>
      <c r="G166" t="n">
        <v>9323</v>
      </c>
      <c r="H166" t="n">
        <v>0</v>
      </c>
      <c r="I166" t="n">
        <v>75</v>
      </c>
      <c r="J166" t="n">
        <v>180</v>
      </c>
      <c r="K166" t="n">
        <v>1</v>
      </c>
      <c r="L166" t="inlineStr">
        <is>
          <t>Urban</t>
        </is>
      </c>
      <c r="M166" t="inlineStr">
        <is>
          <t>Y</t>
        </is>
      </c>
      <c r="N166" t="inlineStr">
        <is>
          <t>Lower Risk</t>
        </is>
      </c>
    </row>
    <row r="167">
      <c r="A167" t="inlineStr">
        <is>
          <t>LP001574</t>
        </is>
      </c>
      <c r="B167" t="inlineStr">
        <is>
          <t>Male</t>
        </is>
      </c>
      <c r="C167" t="inlineStr">
        <is>
          <t>Yes</t>
        </is>
      </c>
      <c r="D167" t="n">
        <v>0</v>
      </c>
      <c r="E167" t="inlineStr">
        <is>
          <t>Graduate</t>
        </is>
      </c>
      <c r="F167" t="inlineStr">
        <is>
          <t>No</t>
        </is>
      </c>
      <c r="G167" t="n">
        <v>3707</v>
      </c>
      <c r="H167" t="n">
        <v>3166</v>
      </c>
      <c r="I167" t="n">
        <v>182</v>
      </c>
      <c r="J167" t="n">
        <v/>
      </c>
      <c r="K167" t="n">
        <v>1</v>
      </c>
      <c r="L167" t="inlineStr">
        <is>
          <t>Rural</t>
        </is>
      </c>
      <c r="M167" t="inlineStr">
        <is>
          <t>Y</t>
        </is>
      </c>
      <c r="N167" t="inlineStr">
        <is>
          <t>Lower Risk</t>
        </is>
      </c>
    </row>
    <row r="168">
      <c r="A168" t="inlineStr">
        <is>
          <t>LP001577</t>
        </is>
      </c>
      <c r="B168" t="inlineStr">
        <is>
          <t>Female</t>
        </is>
      </c>
      <c r="C168" t="inlineStr">
        <is>
          <t>Yes</t>
        </is>
      </c>
      <c r="D168" t="n">
        <v>0</v>
      </c>
      <c r="E168" t="inlineStr">
        <is>
          <t>Graduate</t>
        </is>
      </c>
      <c r="F168" t="inlineStr">
        <is>
          <t>No</t>
        </is>
      </c>
      <c r="G168" t="n">
        <v>4583</v>
      </c>
      <c r="H168" t="n">
        <v>0</v>
      </c>
      <c r="I168" t="n">
        <v>112</v>
      </c>
      <c r="J168" t="n">
        <v>360</v>
      </c>
      <c r="K168" t="n">
        <v>1</v>
      </c>
      <c r="L168" t="inlineStr">
        <is>
          <t>Rural</t>
        </is>
      </c>
      <c r="M168" t="inlineStr">
        <is>
          <t>N</t>
        </is>
      </c>
      <c r="N168" t="inlineStr">
        <is>
          <t>Medium Risk</t>
        </is>
      </c>
    </row>
    <row r="169">
      <c r="A169" t="inlineStr">
        <is>
          <t>LP001578</t>
        </is>
      </c>
      <c r="B169" t="inlineStr">
        <is>
          <t>Male</t>
        </is>
      </c>
      <c r="C169" t="inlineStr">
        <is>
          <t>Yes</t>
        </is>
      </c>
      <c r="D169" t="n">
        <v>0</v>
      </c>
      <c r="E169" t="inlineStr">
        <is>
          <t>Graduate</t>
        </is>
      </c>
      <c r="F169" t="inlineStr">
        <is>
          <t>No</t>
        </is>
      </c>
      <c r="G169" t="n">
        <v>2439</v>
      </c>
      <c r="H169" t="n">
        <v>3333</v>
      </c>
      <c r="I169" t="n">
        <v>129</v>
      </c>
      <c r="J169" t="n">
        <v>360</v>
      </c>
      <c r="K169" t="n">
        <v>1</v>
      </c>
      <c r="L169" t="inlineStr">
        <is>
          <t>Rural</t>
        </is>
      </c>
      <c r="M169" t="inlineStr">
        <is>
          <t>Y</t>
        </is>
      </c>
      <c r="N169" t="inlineStr">
        <is>
          <t>Lower Risk</t>
        </is>
      </c>
    </row>
    <row r="170">
      <c r="A170" t="inlineStr">
        <is>
          <t>LP001579</t>
        </is>
      </c>
      <c r="B170" t="inlineStr">
        <is>
          <t>Male</t>
        </is>
      </c>
      <c r="C170" t="inlineStr">
        <is>
          <t>No</t>
        </is>
      </c>
      <c r="D170" t="n">
        <v>0</v>
      </c>
      <c r="E170" t="inlineStr">
        <is>
          <t>Graduate</t>
        </is>
      </c>
      <c r="F170" t="inlineStr">
        <is>
          <t>No</t>
        </is>
      </c>
      <c r="G170" t="n">
        <v>2237</v>
      </c>
      <c r="H170" t="n">
        <v>0</v>
      </c>
      <c r="I170" t="n">
        <v>63</v>
      </c>
      <c r="J170" t="n">
        <v>480</v>
      </c>
      <c r="K170" t="n">
        <v>0</v>
      </c>
      <c r="L170" t="inlineStr">
        <is>
          <t>Semiurban</t>
        </is>
      </c>
      <c r="M170" t="inlineStr">
        <is>
          <t>N</t>
        </is>
      </c>
      <c r="N170" t="inlineStr">
        <is>
          <t>High Risk</t>
        </is>
      </c>
    </row>
    <row r="171">
      <c r="A171" t="inlineStr">
        <is>
          <t>LP001580</t>
        </is>
      </c>
      <c r="B171" t="inlineStr">
        <is>
          <t>Male</t>
        </is>
      </c>
      <c r="C171" t="inlineStr">
        <is>
          <t>Yes</t>
        </is>
      </c>
      <c r="D171" t="n">
        <v>2</v>
      </c>
      <c r="E171" t="inlineStr">
        <is>
          <t>Graduate</t>
        </is>
      </c>
      <c r="F171" t="inlineStr">
        <is>
          <t>No</t>
        </is>
      </c>
      <c r="G171" t="n">
        <v>8000</v>
      </c>
      <c r="H171" t="n">
        <v>0</v>
      </c>
      <c r="I171" t="n">
        <v>200</v>
      </c>
      <c r="J171" t="n">
        <v>360</v>
      </c>
      <c r="K171" t="n">
        <v>1</v>
      </c>
      <c r="L171" t="inlineStr">
        <is>
          <t>Semiurban</t>
        </is>
      </c>
      <c r="M171" t="inlineStr">
        <is>
          <t>Y</t>
        </is>
      </c>
      <c r="N171" t="inlineStr">
        <is>
          <t>Lower Risk</t>
        </is>
      </c>
    </row>
    <row r="172">
      <c r="A172" t="inlineStr">
        <is>
          <t>LP001581</t>
        </is>
      </c>
      <c r="B172" t="inlineStr">
        <is>
          <t>Male</t>
        </is>
      </c>
      <c r="C172" t="inlineStr">
        <is>
          <t>Yes</t>
        </is>
      </c>
      <c r="D172" t="n">
        <v>0</v>
      </c>
      <c r="E172" t="inlineStr">
        <is>
          <t>Not Graduate</t>
        </is>
      </c>
      <c r="F172" t="n">
        <v/>
      </c>
      <c r="G172" t="n">
        <v>1820</v>
      </c>
      <c r="H172" t="n">
        <v>1769</v>
      </c>
      <c r="I172" t="n">
        <v>95</v>
      </c>
      <c r="J172" t="n">
        <v>360</v>
      </c>
      <c r="K172" t="n">
        <v>1</v>
      </c>
      <c r="L172" t="inlineStr">
        <is>
          <t>Rural</t>
        </is>
      </c>
      <c r="M172" t="inlineStr">
        <is>
          <t>Y</t>
        </is>
      </c>
      <c r="N172" t="inlineStr">
        <is>
          <t>Lower Risk</t>
        </is>
      </c>
    </row>
    <row r="173">
      <c r="A173" t="inlineStr">
        <is>
          <t>LP001585</t>
        </is>
      </c>
      <c r="B173" t="n">
        <v/>
      </c>
      <c r="C173" t="inlineStr">
        <is>
          <t>Yes</t>
        </is>
      </c>
      <c r="D173" t="inlineStr">
        <is>
          <t>3+</t>
        </is>
      </c>
      <c r="E173" t="inlineStr">
        <is>
          <t>Graduate</t>
        </is>
      </c>
      <c r="F173" t="inlineStr">
        <is>
          <t>No</t>
        </is>
      </c>
      <c r="G173" t="n">
        <v>51763</v>
      </c>
      <c r="H173" t="n">
        <v>0</v>
      </c>
      <c r="I173" t="n">
        <v>700</v>
      </c>
      <c r="J173" t="n">
        <v>300</v>
      </c>
      <c r="K173" t="n">
        <v>1</v>
      </c>
      <c r="L173" t="inlineStr">
        <is>
          <t>Urban</t>
        </is>
      </c>
      <c r="M173" t="inlineStr">
        <is>
          <t>Y</t>
        </is>
      </c>
      <c r="N173" t="inlineStr">
        <is>
          <t>Lower Risk</t>
        </is>
      </c>
    </row>
    <row r="174">
      <c r="A174" t="inlineStr">
        <is>
          <t>LP001586</t>
        </is>
      </c>
      <c r="B174" t="inlineStr">
        <is>
          <t>Male</t>
        </is>
      </c>
      <c r="C174" t="inlineStr">
        <is>
          <t>Yes</t>
        </is>
      </c>
      <c r="D174" t="inlineStr">
        <is>
          <t>3+</t>
        </is>
      </c>
      <c r="E174" t="inlineStr">
        <is>
          <t>Not Graduate</t>
        </is>
      </c>
      <c r="F174" t="inlineStr">
        <is>
          <t>No</t>
        </is>
      </c>
      <c r="G174" t="n">
        <v>3522</v>
      </c>
      <c r="H174" t="n">
        <v>0</v>
      </c>
      <c r="I174" t="n">
        <v>81</v>
      </c>
      <c r="J174" t="n">
        <v>180</v>
      </c>
      <c r="K174" t="n">
        <v>1</v>
      </c>
      <c r="L174" t="inlineStr">
        <is>
          <t>Rural</t>
        </is>
      </c>
      <c r="M174" t="inlineStr">
        <is>
          <t>N</t>
        </is>
      </c>
      <c r="N174" t="inlineStr">
        <is>
          <t>Medium Risk</t>
        </is>
      </c>
    </row>
    <row r="175">
      <c r="A175" t="inlineStr">
        <is>
          <t>LP001594</t>
        </is>
      </c>
      <c r="B175" t="inlineStr">
        <is>
          <t>Male</t>
        </is>
      </c>
      <c r="C175" t="inlineStr">
        <is>
          <t>Yes</t>
        </is>
      </c>
      <c r="D175" t="n">
        <v>0</v>
      </c>
      <c r="E175" t="inlineStr">
        <is>
          <t>Graduate</t>
        </is>
      </c>
      <c r="F175" t="inlineStr">
        <is>
          <t>No</t>
        </is>
      </c>
      <c r="G175" t="n">
        <v>5708</v>
      </c>
      <c r="H175" t="n">
        <v>5625</v>
      </c>
      <c r="I175" t="n">
        <v>187</v>
      </c>
      <c r="J175" t="n">
        <v>360</v>
      </c>
      <c r="K175" t="n">
        <v>1</v>
      </c>
      <c r="L175" t="inlineStr">
        <is>
          <t>Semiurban</t>
        </is>
      </c>
      <c r="M175" t="inlineStr">
        <is>
          <t>Y</t>
        </is>
      </c>
      <c r="N175" t="inlineStr">
        <is>
          <t>Lower Risk</t>
        </is>
      </c>
    </row>
    <row r="176">
      <c r="A176" t="inlineStr">
        <is>
          <t>LP001603</t>
        </is>
      </c>
      <c r="B176" t="inlineStr">
        <is>
          <t>Male</t>
        </is>
      </c>
      <c r="C176" t="inlineStr">
        <is>
          <t>Yes</t>
        </is>
      </c>
      <c r="D176" t="n">
        <v>0</v>
      </c>
      <c r="E176" t="inlineStr">
        <is>
          <t>Not Graduate</t>
        </is>
      </c>
      <c r="F176" t="inlineStr">
        <is>
          <t>Yes</t>
        </is>
      </c>
      <c r="G176" t="n">
        <v>4344</v>
      </c>
      <c r="H176" t="n">
        <v>736</v>
      </c>
      <c r="I176" t="n">
        <v>87</v>
      </c>
      <c r="J176" t="n">
        <v>360</v>
      </c>
      <c r="K176" t="n">
        <v>1</v>
      </c>
      <c r="L176" t="inlineStr">
        <is>
          <t>Semiurban</t>
        </is>
      </c>
      <c r="M176" t="inlineStr">
        <is>
          <t>N</t>
        </is>
      </c>
      <c r="N176" t="inlineStr">
        <is>
          <t>Medium Risk</t>
        </is>
      </c>
    </row>
    <row r="177">
      <c r="A177" t="inlineStr">
        <is>
          <t>LP001606</t>
        </is>
      </c>
      <c r="B177" t="inlineStr">
        <is>
          <t>Male</t>
        </is>
      </c>
      <c r="C177" t="inlineStr">
        <is>
          <t>Yes</t>
        </is>
      </c>
      <c r="D177" t="n">
        <v>0</v>
      </c>
      <c r="E177" t="inlineStr">
        <is>
          <t>Graduate</t>
        </is>
      </c>
      <c r="F177" t="inlineStr">
        <is>
          <t>No</t>
        </is>
      </c>
      <c r="G177" t="n">
        <v>3497</v>
      </c>
      <c r="H177" t="n">
        <v>1964</v>
      </c>
      <c r="I177" t="n">
        <v>116</v>
      </c>
      <c r="J177" t="n">
        <v>360</v>
      </c>
      <c r="K177" t="n">
        <v>1</v>
      </c>
      <c r="L177" t="inlineStr">
        <is>
          <t>Rural</t>
        </is>
      </c>
      <c r="M177" t="inlineStr">
        <is>
          <t>Y</t>
        </is>
      </c>
      <c r="N177" t="inlineStr">
        <is>
          <t>Lower Risk</t>
        </is>
      </c>
    </row>
    <row r="178">
      <c r="A178" t="inlineStr">
        <is>
          <t>LP001608</t>
        </is>
      </c>
      <c r="B178" t="inlineStr">
        <is>
          <t>Male</t>
        </is>
      </c>
      <c r="C178" t="inlineStr">
        <is>
          <t>Yes</t>
        </is>
      </c>
      <c r="D178" t="n">
        <v>2</v>
      </c>
      <c r="E178" t="inlineStr">
        <is>
          <t>Graduate</t>
        </is>
      </c>
      <c r="F178" t="inlineStr">
        <is>
          <t>No</t>
        </is>
      </c>
      <c r="G178" t="n">
        <v>2045</v>
      </c>
      <c r="H178" t="n">
        <v>1619</v>
      </c>
      <c r="I178" t="n">
        <v>101</v>
      </c>
      <c r="J178" t="n">
        <v>360</v>
      </c>
      <c r="K178" t="n">
        <v>1</v>
      </c>
      <c r="L178" t="inlineStr">
        <is>
          <t>Rural</t>
        </is>
      </c>
      <c r="M178" t="inlineStr">
        <is>
          <t>Y</t>
        </is>
      </c>
      <c r="N178" t="inlineStr">
        <is>
          <t>Lower Risk</t>
        </is>
      </c>
    </row>
    <row r="179">
      <c r="A179" t="inlineStr">
        <is>
          <t>LP001610</t>
        </is>
      </c>
      <c r="B179" t="inlineStr">
        <is>
          <t>Male</t>
        </is>
      </c>
      <c r="C179" t="inlineStr">
        <is>
          <t>Yes</t>
        </is>
      </c>
      <c r="D179" t="inlineStr">
        <is>
          <t>3+</t>
        </is>
      </c>
      <c r="E179" t="inlineStr">
        <is>
          <t>Graduate</t>
        </is>
      </c>
      <c r="F179" t="inlineStr">
        <is>
          <t>No</t>
        </is>
      </c>
      <c r="G179" t="n">
        <v>5516</v>
      </c>
      <c r="H179" t="n">
        <v>11300</v>
      </c>
      <c r="I179" t="n">
        <v>495</v>
      </c>
      <c r="J179" t="n">
        <v>360</v>
      </c>
      <c r="K179" t="n">
        <v>0</v>
      </c>
      <c r="L179" t="inlineStr">
        <is>
          <t>Semiurban</t>
        </is>
      </c>
      <c r="M179" t="inlineStr">
        <is>
          <t>N</t>
        </is>
      </c>
      <c r="N179" t="inlineStr">
        <is>
          <t>High Risk</t>
        </is>
      </c>
    </row>
    <row r="180">
      <c r="A180" t="inlineStr">
        <is>
          <t>LP001616</t>
        </is>
      </c>
      <c r="B180" t="inlineStr">
        <is>
          <t>Male</t>
        </is>
      </c>
      <c r="C180" t="inlineStr">
        <is>
          <t>Yes</t>
        </is>
      </c>
      <c r="D180" t="n">
        <v>1</v>
      </c>
      <c r="E180" t="inlineStr">
        <is>
          <t>Graduate</t>
        </is>
      </c>
      <c r="F180" t="inlineStr">
        <is>
          <t>No</t>
        </is>
      </c>
      <c r="G180" t="n">
        <v>3750</v>
      </c>
      <c r="H180" t="n">
        <v>0</v>
      </c>
      <c r="I180" t="n">
        <v>116</v>
      </c>
      <c r="J180" t="n">
        <v>360</v>
      </c>
      <c r="K180" t="n">
        <v>1</v>
      </c>
      <c r="L180" t="inlineStr">
        <is>
          <t>Semiurban</t>
        </is>
      </c>
      <c r="M180" t="inlineStr">
        <is>
          <t>Y</t>
        </is>
      </c>
      <c r="N180" t="inlineStr">
        <is>
          <t>Lower Risk</t>
        </is>
      </c>
    </row>
    <row r="181">
      <c r="A181" t="inlineStr">
        <is>
          <t>LP001630</t>
        </is>
      </c>
      <c r="B181" t="inlineStr">
        <is>
          <t>Male</t>
        </is>
      </c>
      <c r="C181" t="inlineStr">
        <is>
          <t>No</t>
        </is>
      </c>
      <c r="D181" t="n">
        <v>0</v>
      </c>
      <c r="E181" t="inlineStr">
        <is>
          <t>Not Graduate</t>
        </is>
      </c>
      <c r="F181" t="inlineStr">
        <is>
          <t>No</t>
        </is>
      </c>
      <c r="G181" t="n">
        <v>2333</v>
      </c>
      <c r="H181" t="n">
        <v>1451</v>
      </c>
      <c r="I181" t="n">
        <v>102</v>
      </c>
      <c r="J181" t="n">
        <v>480</v>
      </c>
      <c r="K181" t="n">
        <v>0</v>
      </c>
      <c r="L181" t="inlineStr">
        <is>
          <t>Urban</t>
        </is>
      </c>
      <c r="M181" t="inlineStr">
        <is>
          <t>N</t>
        </is>
      </c>
      <c r="N181" t="inlineStr">
        <is>
          <t>High Risk</t>
        </is>
      </c>
    </row>
    <row r="182">
      <c r="A182" t="inlineStr">
        <is>
          <t>LP001633</t>
        </is>
      </c>
      <c r="B182" t="inlineStr">
        <is>
          <t>Male</t>
        </is>
      </c>
      <c r="C182" t="inlineStr">
        <is>
          <t>Yes</t>
        </is>
      </c>
      <c r="D182" t="n">
        <v>1</v>
      </c>
      <c r="E182" t="inlineStr">
        <is>
          <t>Graduate</t>
        </is>
      </c>
      <c r="F182" t="inlineStr">
        <is>
          <t>No</t>
        </is>
      </c>
      <c r="G182" t="n">
        <v>6400</v>
      </c>
      <c r="H182" t="n">
        <v>7250</v>
      </c>
      <c r="I182" t="n">
        <v>180</v>
      </c>
      <c r="J182" t="n">
        <v>360</v>
      </c>
      <c r="K182" t="n">
        <v>0</v>
      </c>
      <c r="L182" t="inlineStr">
        <is>
          <t>Urban</t>
        </is>
      </c>
      <c r="M182" t="inlineStr">
        <is>
          <t>N</t>
        </is>
      </c>
      <c r="N182" t="inlineStr">
        <is>
          <t>High Risk</t>
        </is>
      </c>
    </row>
    <row r="183">
      <c r="A183" t="inlineStr">
        <is>
          <t>LP001634</t>
        </is>
      </c>
      <c r="B183" t="inlineStr">
        <is>
          <t>Male</t>
        </is>
      </c>
      <c r="C183" t="inlineStr">
        <is>
          <t>No</t>
        </is>
      </c>
      <c r="D183" t="n">
        <v>0</v>
      </c>
      <c r="E183" t="inlineStr">
        <is>
          <t>Graduate</t>
        </is>
      </c>
      <c r="F183" t="inlineStr">
        <is>
          <t>No</t>
        </is>
      </c>
      <c r="G183" t="n">
        <v>1916</v>
      </c>
      <c r="H183" t="n">
        <v>5063</v>
      </c>
      <c r="I183" t="n">
        <v>67</v>
      </c>
      <c r="J183" t="n">
        <v>360</v>
      </c>
      <c r="K183" t="n">
        <v/>
      </c>
      <c r="L183" t="inlineStr">
        <is>
          <t>Rural</t>
        </is>
      </c>
      <c r="M183" t="inlineStr">
        <is>
          <t>N</t>
        </is>
      </c>
      <c r="N183" t="inlineStr">
        <is>
          <t>High Risk</t>
        </is>
      </c>
    </row>
    <row r="184">
      <c r="A184" t="inlineStr">
        <is>
          <t>LP001636</t>
        </is>
      </c>
      <c r="B184" t="inlineStr">
        <is>
          <t>Male</t>
        </is>
      </c>
      <c r="C184" t="inlineStr">
        <is>
          <t>Yes</t>
        </is>
      </c>
      <c r="D184" t="n">
        <v>0</v>
      </c>
      <c r="E184" t="inlineStr">
        <is>
          <t>Graduate</t>
        </is>
      </c>
      <c r="F184" t="inlineStr">
        <is>
          <t>No</t>
        </is>
      </c>
      <c r="G184" t="n">
        <v>4600</v>
      </c>
      <c r="H184" t="n">
        <v>0</v>
      </c>
      <c r="I184" t="n">
        <v>73</v>
      </c>
      <c r="J184" t="n">
        <v>180</v>
      </c>
      <c r="K184" t="n">
        <v>1</v>
      </c>
      <c r="L184" t="inlineStr">
        <is>
          <t>Semiurban</t>
        </is>
      </c>
      <c r="M184" t="inlineStr">
        <is>
          <t>Y</t>
        </is>
      </c>
      <c r="N184" t="inlineStr">
        <is>
          <t>Lower Risk</t>
        </is>
      </c>
    </row>
    <row r="185">
      <c r="A185" t="inlineStr">
        <is>
          <t>LP001637</t>
        </is>
      </c>
      <c r="B185" t="inlineStr">
        <is>
          <t>Male</t>
        </is>
      </c>
      <c r="C185" t="inlineStr">
        <is>
          <t>Yes</t>
        </is>
      </c>
      <c r="D185" t="n">
        <v>1</v>
      </c>
      <c r="E185" t="inlineStr">
        <is>
          <t>Graduate</t>
        </is>
      </c>
      <c r="F185" t="inlineStr">
        <is>
          <t>No</t>
        </is>
      </c>
      <c r="G185" t="n">
        <v>33846</v>
      </c>
      <c r="H185" t="n">
        <v>0</v>
      </c>
      <c r="I185" t="n">
        <v>260</v>
      </c>
      <c r="J185" t="n">
        <v>360</v>
      </c>
      <c r="K185" t="n">
        <v>1</v>
      </c>
      <c r="L185" t="inlineStr">
        <is>
          <t>Semiurban</t>
        </is>
      </c>
      <c r="M185" t="inlineStr">
        <is>
          <t>N</t>
        </is>
      </c>
      <c r="N185" t="inlineStr">
        <is>
          <t>Medium Risk</t>
        </is>
      </c>
    </row>
    <row r="186">
      <c r="A186" t="inlineStr">
        <is>
          <t>LP001639</t>
        </is>
      </c>
      <c r="B186" t="inlineStr">
        <is>
          <t>Female</t>
        </is>
      </c>
      <c r="C186" t="inlineStr">
        <is>
          <t>Yes</t>
        </is>
      </c>
      <c r="D186" t="n">
        <v>0</v>
      </c>
      <c r="E186" t="inlineStr">
        <is>
          <t>Graduate</t>
        </is>
      </c>
      <c r="F186" t="inlineStr">
        <is>
          <t>No</t>
        </is>
      </c>
      <c r="G186" t="n">
        <v>3625</v>
      </c>
      <c r="H186" t="n">
        <v>0</v>
      </c>
      <c r="I186" t="n">
        <v>108</v>
      </c>
      <c r="J186" t="n">
        <v>360</v>
      </c>
      <c r="K186" t="n">
        <v>1</v>
      </c>
      <c r="L186" t="inlineStr">
        <is>
          <t>Semiurban</t>
        </is>
      </c>
      <c r="M186" t="inlineStr">
        <is>
          <t>Y</t>
        </is>
      </c>
      <c r="N186" t="inlineStr">
        <is>
          <t>Lower Risk</t>
        </is>
      </c>
    </row>
    <row r="187">
      <c r="A187" t="inlineStr">
        <is>
          <t>LP001640</t>
        </is>
      </c>
      <c r="B187" t="inlineStr">
        <is>
          <t>Male</t>
        </is>
      </c>
      <c r="C187" t="inlineStr">
        <is>
          <t>Yes</t>
        </is>
      </c>
      <c r="D187" t="n">
        <v>0</v>
      </c>
      <c r="E187" t="inlineStr">
        <is>
          <t>Graduate</t>
        </is>
      </c>
      <c r="F187" t="inlineStr">
        <is>
          <t>Yes</t>
        </is>
      </c>
      <c r="G187" t="n">
        <v>39147</v>
      </c>
      <c r="H187" t="n">
        <v>4750</v>
      </c>
      <c r="I187" t="n">
        <v>120</v>
      </c>
      <c r="J187" t="n">
        <v>360</v>
      </c>
      <c r="K187" t="n">
        <v>1</v>
      </c>
      <c r="L187" t="inlineStr">
        <is>
          <t>Semiurban</t>
        </is>
      </c>
      <c r="M187" t="inlineStr">
        <is>
          <t>Y</t>
        </is>
      </c>
      <c r="N187" t="inlineStr">
        <is>
          <t>Lower Risk</t>
        </is>
      </c>
    </row>
    <row r="188">
      <c r="A188" t="inlineStr">
        <is>
          <t>LP001641</t>
        </is>
      </c>
      <c r="B188" t="inlineStr">
        <is>
          <t>Male</t>
        </is>
      </c>
      <c r="C188" t="inlineStr">
        <is>
          <t>Yes</t>
        </is>
      </c>
      <c r="D188" t="n">
        <v>1</v>
      </c>
      <c r="E188" t="inlineStr">
        <is>
          <t>Graduate</t>
        </is>
      </c>
      <c r="F188" t="inlineStr">
        <is>
          <t>Yes</t>
        </is>
      </c>
      <c r="G188" t="n">
        <v>2178</v>
      </c>
      <c r="H188" t="n">
        <v>0</v>
      </c>
      <c r="I188" t="n">
        <v>66</v>
      </c>
      <c r="J188" t="n">
        <v>300</v>
      </c>
      <c r="K188" t="n">
        <v>0</v>
      </c>
      <c r="L188" t="inlineStr">
        <is>
          <t>Rural</t>
        </is>
      </c>
      <c r="M188" t="inlineStr">
        <is>
          <t>N</t>
        </is>
      </c>
      <c r="N188" t="inlineStr">
        <is>
          <t>High Risk</t>
        </is>
      </c>
    </row>
    <row r="189">
      <c r="A189" t="inlineStr">
        <is>
          <t>LP001643</t>
        </is>
      </c>
      <c r="B189" t="inlineStr">
        <is>
          <t>Male</t>
        </is>
      </c>
      <c r="C189" t="inlineStr">
        <is>
          <t>Yes</t>
        </is>
      </c>
      <c r="D189" t="n">
        <v>0</v>
      </c>
      <c r="E189" t="inlineStr">
        <is>
          <t>Graduate</t>
        </is>
      </c>
      <c r="F189" t="inlineStr">
        <is>
          <t>No</t>
        </is>
      </c>
      <c r="G189" t="n">
        <v>2383</v>
      </c>
      <c r="H189" t="n">
        <v>2138</v>
      </c>
      <c r="I189" t="n">
        <v>58</v>
      </c>
      <c r="J189" t="n">
        <v>360</v>
      </c>
      <c r="K189" t="n">
        <v/>
      </c>
      <c r="L189" t="inlineStr">
        <is>
          <t>Rural</t>
        </is>
      </c>
      <c r="M189" t="inlineStr">
        <is>
          <t>Y</t>
        </is>
      </c>
      <c r="N189" t="inlineStr">
        <is>
          <t>Medium Risk</t>
        </is>
      </c>
    </row>
    <row r="190">
      <c r="A190" t="inlineStr">
        <is>
          <t>LP001644</t>
        </is>
      </c>
      <c r="B190" t="n">
        <v/>
      </c>
      <c r="C190" t="inlineStr">
        <is>
          <t>Yes</t>
        </is>
      </c>
      <c r="D190" t="n">
        <v>0</v>
      </c>
      <c r="E190" t="inlineStr">
        <is>
          <t>Graduate</t>
        </is>
      </c>
      <c r="F190" t="inlineStr">
        <is>
          <t>Yes</t>
        </is>
      </c>
      <c r="G190" t="n">
        <v>674</v>
      </c>
      <c r="H190" t="n">
        <v>5296</v>
      </c>
      <c r="I190" t="n">
        <v>168</v>
      </c>
      <c r="J190" t="n">
        <v>360</v>
      </c>
      <c r="K190" t="n">
        <v>1</v>
      </c>
      <c r="L190" t="inlineStr">
        <is>
          <t>Rural</t>
        </is>
      </c>
      <c r="M190" t="inlineStr">
        <is>
          <t>Y</t>
        </is>
      </c>
      <c r="N190" t="inlineStr">
        <is>
          <t>Lower Risk</t>
        </is>
      </c>
    </row>
    <row r="191">
      <c r="A191" t="inlineStr">
        <is>
          <t>LP001647</t>
        </is>
      </c>
      <c r="B191" t="inlineStr">
        <is>
          <t>Male</t>
        </is>
      </c>
      <c r="C191" t="inlineStr">
        <is>
          <t>Yes</t>
        </is>
      </c>
      <c r="D191" t="n">
        <v>0</v>
      </c>
      <c r="E191" t="inlineStr">
        <is>
          <t>Graduate</t>
        </is>
      </c>
      <c r="F191" t="inlineStr">
        <is>
          <t>No</t>
        </is>
      </c>
      <c r="G191" t="n">
        <v>9328</v>
      </c>
      <c r="H191" t="n">
        <v>0</v>
      </c>
      <c r="I191" t="n">
        <v>188</v>
      </c>
      <c r="J191" t="n">
        <v>180</v>
      </c>
      <c r="K191" t="n">
        <v>1</v>
      </c>
      <c r="L191" t="inlineStr">
        <is>
          <t>Rural</t>
        </is>
      </c>
      <c r="M191" t="inlineStr">
        <is>
          <t>Y</t>
        </is>
      </c>
      <c r="N191" t="inlineStr">
        <is>
          <t>Lower Risk</t>
        </is>
      </c>
    </row>
    <row r="192">
      <c r="A192" t="inlineStr">
        <is>
          <t>LP001653</t>
        </is>
      </c>
      <c r="B192" t="inlineStr">
        <is>
          <t>Male</t>
        </is>
      </c>
      <c r="C192" t="inlineStr">
        <is>
          <t>No</t>
        </is>
      </c>
      <c r="D192" t="n">
        <v>0</v>
      </c>
      <c r="E192" t="inlineStr">
        <is>
          <t>Not Graduate</t>
        </is>
      </c>
      <c r="F192" t="inlineStr">
        <is>
          <t>No</t>
        </is>
      </c>
      <c r="G192" t="n">
        <v>4885</v>
      </c>
      <c r="H192" t="n">
        <v>0</v>
      </c>
      <c r="I192" t="n">
        <v>48</v>
      </c>
      <c r="J192" t="n">
        <v>360</v>
      </c>
      <c r="K192" t="n">
        <v>1</v>
      </c>
      <c r="L192" t="inlineStr">
        <is>
          <t>Rural</t>
        </is>
      </c>
      <c r="M192" t="inlineStr">
        <is>
          <t>Y</t>
        </is>
      </c>
      <c r="N192" t="inlineStr">
        <is>
          <t>Lower Risk</t>
        </is>
      </c>
    </row>
    <row r="193">
      <c r="A193" t="inlineStr">
        <is>
          <t>LP001656</t>
        </is>
      </c>
      <c r="B193" t="inlineStr">
        <is>
          <t>Male</t>
        </is>
      </c>
      <c r="C193" t="inlineStr">
        <is>
          <t>No</t>
        </is>
      </c>
      <c r="D193" t="n">
        <v>0</v>
      </c>
      <c r="E193" t="inlineStr">
        <is>
          <t>Graduate</t>
        </is>
      </c>
      <c r="F193" t="inlineStr">
        <is>
          <t>No</t>
        </is>
      </c>
      <c r="G193" t="n">
        <v>12000</v>
      </c>
      <c r="H193" t="n">
        <v>0</v>
      </c>
      <c r="I193" t="n">
        <v>164</v>
      </c>
      <c r="J193" t="n">
        <v>360</v>
      </c>
      <c r="K193" t="n">
        <v>1</v>
      </c>
      <c r="L193" t="inlineStr">
        <is>
          <t>Semiurban</t>
        </is>
      </c>
      <c r="M193" t="inlineStr">
        <is>
          <t>N</t>
        </is>
      </c>
      <c r="N193" t="inlineStr">
        <is>
          <t>Medium Risk</t>
        </is>
      </c>
    </row>
    <row r="194">
      <c r="A194" t="inlineStr">
        <is>
          <t>LP001657</t>
        </is>
      </c>
      <c r="B194" t="inlineStr">
        <is>
          <t>Male</t>
        </is>
      </c>
      <c r="C194" t="inlineStr">
        <is>
          <t>Yes</t>
        </is>
      </c>
      <c r="D194" t="n">
        <v>0</v>
      </c>
      <c r="E194" t="inlineStr">
        <is>
          <t>Not Graduate</t>
        </is>
      </c>
      <c r="F194" t="inlineStr">
        <is>
          <t>No</t>
        </is>
      </c>
      <c r="G194" t="n">
        <v>6033</v>
      </c>
      <c r="H194" t="n">
        <v>0</v>
      </c>
      <c r="I194" t="n">
        <v>160</v>
      </c>
      <c r="J194" t="n">
        <v>360</v>
      </c>
      <c r="K194" t="n">
        <v>1</v>
      </c>
      <c r="L194" t="inlineStr">
        <is>
          <t>Urban</t>
        </is>
      </c>
      <c r="M194" t="inlineStr">
        <is>
          <t>N</t>
        </is>
      </c>
      <c r="N194" t="inlineStr">
        <is>
          <t>Medium Risk</t>
        </is>
      </c>
    </row>
    <row r="195">
      <c r="A195" t="inlineStr">
        <is>
          <t>LP001658</t>
        </is>
      </c>
      <c r="B195" t="inlineStr">
        <is>
          <t>Male</t>
        </is>
      </c>
      <c r="C195" t="inlineStr">
        <is>
          <t>No</t>
        </is>
      </c>
      <c r="D195" t="n">
        <v>0</v>
      </c>
      <c r="E195" t="inlineStr">
        <is>
          <t>Graduate</t>
        </is>
      </c>
      <c r="F195" t="inlineStr">
        <is>
          <t>No</t>
        </is>
      </c>
      <c r="G195" t="n">
        <v>3858</v>
      </c>
      <c r="H195" t="n">
        <v>0</v>
      </c>
      <c r="I195" t="n">
        <v>76</v>
      </c>
      <c r="J195" t="n">
        <v>360</v>
      </c>
      <c r="K195" t="n">
        <v>1</v>
      </c>
      <c r="L195" t="inlineStr">
        <is>
          <t>Semiurban</t>
        </is>
      </c>
      <c r="M195" t="inlineStr">
        <is>
          <t>Y</t>
        </is>
      </c>
      <c r="N195" t="inlineStr">
        <is>
          <t>Lower Risk</t>
        </is>
      </c>
    </row>
    <row r="196">
      <c r="A196" t="inlineStr">
        <is>
          <t>LP001664</t>
        </is>
      </c>
      <c r="B196" t="inlineStr">
        <is>
          <t>Male</t>
        </is>
      </c>
      <c r="C196" t="inlineStr">
        <is>
          <t>No</t>
        </is>
      </c>
      <c r="D196" t="n">
        <v>0</v>
      </c>
      <c r="E196" t="inlineStr">
        <is>
          <t>Graduate</t>
        </is>
      </c>
      <c r="F196" t="inlineStr">
        <is>
          <t>No</t>
        </is>
      </c>
      <c r="G196" t="n">
        <v>4191</v>
      </c>
      <c r="H196" t="n">
        <v>0</v>
      </c>
      <c r="I196" t="n">
        <v>120</v>
      </c>
      <c r="J196" t="n">
        <v>360</v>
      </c>
      <c r="K196" t="n">
        <v>1</v>
      </c>
      <c r="L196" t="inlineStr">
        <is>
          <t>Rural</t>
        </is>
      </c>
      <c r="M196" t="inlineStr">
        <is>
          <t>Y</t>
        </is>
      </c>
      <c r="N196" t="inlineStr">
        <is>
          <t>Lower Risk</t>
        </is>
      </c>
    </row>
    <row r="197">
      <c r="A197" t="inlineStr">
        <is>
          <t>LP001665</t>
        </is>
      </c>
      <c r="B197" t="inlineStr">
        <is>
          <t>Male</t>
        </is>
      </c>
      <c r="C197" t="inlineStr">
        <is>
          <t>Yes</t>
        </is>
      </c>
      <c r="D197" t="n">
        <v>1</v>
      </c>
      <c r="E197" t="inlineStr">
        <is>
          <t>Graduate</t>
        </is>
      </c>
      <c r="F197" t="inlineStr">
        <is>
          <t>No</t>
        </is>
      </c>
      <c r="G197" t="n">
        <v>3125</v>
      </c>
      <c r="H197" t="n">
        <v>2583</v>
      </c>
      <c r="I197" t="n">
        <v>170</v>
      </c>
      <c r="J197" t="n">
        <v>360</v>
      </c>
      <c r="K197" t="n">
        <v>1</v>
      </c>
      <c r="L197" t="inlineStr">
        <is>
          <t>Semiurban</t>
        </is>
      </c>
      <c r="M197" t="inlineStr">
        <is>
          <t>N</t>
        </is>
      </c>
      <c r="N197" t="inlineStr">
        <is>
          <t>Medium Risk</t>
        </is>
      </c>
    </row>
    <row r="198">
      <c r="A198" t="inlineStr">
        <is>
          <t>LP001666</t>
        </is>
      </c>
      <c r="B198" t="inlineStr">
        <is>
          <t>Male</t>
        </is>
      </c>
      <c r="C198" t="inlineStr">
        <is>
          <t>No</t>
        </is>
      </c>
      <c r="D198" t="n">
        <v>0</v>
      </c>
      <c r="E198" t="inlineStr">
        <is>
          <t>Graduate</t>
        </is>
      </c>
      <c r="F198" t="inlineStr">
        <is>
          <t>No</t>
        </is>
      </c>
      <c r="G198" t="n">
        <v>8333</v>
      </c>
      <c r="H198" t="n">
        <v>3750</v>
      </c>
      <c r="I198" t="n">
        <v>187</v>
      </c>
      <c r="J198" t="n">
        <v>360</v>
      </c>
      <c r="K198" t="n">
        <v>1</v>
      </c>
      <c r="L198" t="inlineStr">
        <is>
          <t>Rural</t>
        </is>
      </c>
      <c r="M198" t="inlineStr">
        <is>
          <t>Y</t>
        </is>
      </c>
      <c r="N198" t="inlineStr">
        <is>
          <t>Lower Risk</t>
        </is>
      </c>
    </row>
    <row r="199">
      <c r="A199" t="inlineStr">
        <is>
          <t>LP001669</t>
        </is>
      </c>
      <c r="B199" t="inlineStr">
        <is>
          <t>Female</t>
        </is>
      </c>
      <c r="C199" t="inlineStr">
        <is>
          <t>No</t>
        </is>
      </c>
      <c r="D199" t="n">
        <v>0</v>
      </c>
      <c r="E199" t="inlineStr">
        <is>
          <t>Not Graduate</t>
        </is>
      </c>
      <c r="F199" t="inlineStr">
        <is>
          <t>No</t>
        </is>
      </c>
      <c r="G199" t="n">
        <v>1907</v>
      </c>
      <c r="H199" t="n">
        <v>2365</v>
      </c>
      <c r="I199" t="n">
        <v>120</v>
      </c>
      <c r="J199" t="n">
        <v/>
      </c>
      <c r="K199" t="n">
        <v>1</v>
      </c>
      <c r="L199" t="inlineStr">
        <is>
          <t>Urban</t>
        </is>
      </c>
      <c r="M199" t="inlineStr">
        <is>
          <t>Y</t>
        </is>
      </c>
      <c r="N199" t="inlineStr">
        <is>
          <t>Lower Risk</t>
        </is>
      </c>
    </row>
    <row r="200">
      <c r="A200" t="inlineStr">
        <is>
          <t>LP001671</t>
        </is>
      </c>
      <c r="B200" t="inlineStr">
        <is>
          <t>Female</t>
        </is>
      </c>
      <c r="C200" t="inlineStr">
        <is>
          <t>Yes</t>
        </is>
      </c>
      <c r="D200" t="n">
        <v>0</v>
      </c>
      <c r="E200" t="inlineStr">
        <is>
          <t>Graduate</t>
        </is>
      </c>
      <c r="F200" t="inlineStr">
        <is>
          <t>No</t>
        </is>
      </c>
      <c r="G200" t="n">
        <v>3416</v>
      </c>
      <c r="H200" t="n">
        <v>2816</v>
      </c>
      <c r="I200" t="n">
        <v>113</v>
      </c>
      <c r="J200" t="n">
        <v>360</v>
      </c>
      <c r="K200" t="n">
        <v/>
      </c>
      <c r="L200" t="inlineStr">
        <is>
          <t>Semiurban</t>
        </is>
      </c>
      <c r="M200" t="inlineStr">
        <is>
          <t>Y</t>
        </is>
      </c>
      <c r="N200" t="inlineStr">
        <is>
          <t>Medium Risk</t>
        </is>
      </c>
    </row>
    <row r="201">
      <c r="A201" t="inlineStr">
        <is>
          <t>LP001673</t>
        </is>
      </c>
      <c r="B201" t="inlineStr">
        <is>
          <t>Male</t>
        </is>
      </c>
      <c r="C201" t="inlineStr">
        <is>
          <t>No</t>
        </is>
      </c>
      <c r="D201" t="n">
        <v>0</v>
      </c>
      <c r="E201" t="inlineStr">
        <is>
          <t>Graduate</t>
        </is>
      </c>
      <c r="F201" t="inlineStr">
        <is>
          <t>Yes</t>
        </is>
      </c>
      <c r="G201" t="n">
        <v>11000</v>
      </c>
      <c r="H201" t="n">
        <v>0</v>
      </c>
      <c r="I201" t="n">
        <v>83</v>
      </c>
      <c r="J201" t="n">
        <v>360</v>
      </c>
      <c r="K201" t="n">
        <v>1</v>
      </c>
      <c r="L201" t="inlineStr">
        <is>
          <t>Urban</t>
        </is>
      </c>
      <c r="M201" t="inlineStr">
        <is>
          <t>N</t>
        </is>
      </c>
      <c r="N201" t="inlineStr">
        <is>
          <t>Medium Risk</t>
        </is>
      </c>
    </row>
    <row r="202">
      <c r="A202" t="inlineStr">
        <is>
          <t>LP001674</t>
        </is>
      </c>
      <c r="B202" t="inlineStr">
        <is>
          <t>Male</t>
        </is>
      </c>
      <c r="C202" t="inlineStr">
        <is>
          <t>Yes</t>
        </is>
      </c>
      <c r="D202" t="n">
        <v>1</v>
      </c>
      <c r="E202" t="inlineStr">
        <is>
          <t>Not Graduate</t>
        </is>
      </c>
      <c r="F202" t="inlineStr">
        <is>
          <t>No</t>
        </is>
      </c>
      <c r="G202" t="n">
        <v>2600</v>
      </c>
      <c r="H202" t="n">
        <v>2500</v>
      </c>
      <c r="I202" t="n">
        <v>90</v>
      </c>
      <c r="J202" t="n">
        <v>360</v>
      </c>
      <c r="K202" t="n">
        <v>1</v>
      </c>
      <c r="L202" t="inlineStr">
        <is>
          <t>Semiurban</t>
        </is>
      </c>
      <c r="M202" t="inlineStr">
        <is>
          <t>Y</t>
        </is>
      </c>
      <c r="N202" t="inlineStr">
        <is>
          <t>Lower Risk</t>
        </is>
      </c>
    </row>
    <row r="203">
      <c r="A203" t="inlineStr">
        <is>
          <t>LP001677</t>
        </is>
      </c>
      <c r="B203" t="inlineStr">
        <is>
          <t>Male</t>
        </is>
      </c>
      <c r="C203" t="inlineStr">
        <is>
          <t>No</t>
        </is>
      </c>
      <c r="D203" t="n">
        <v>2</v>
      </c>
      <c r="E203" t="inlineStr">
        <is>
          <t>Graduate</t>
        </is>
      </c>
      <c r="F203" t="inlineStr">
        <is>
          <t>No</t>
        </is>
      </c>
      <c r="G203" t="n">
        <v>4923</v>
      </c>
      <c r="H203" t="n">
        <v>0</v>
      </c>
      <c r="I203" t="n">
        <v>166</v>
      </c>
      <c r="J203" t="n">
        <v>360</v>
      </c>
      <c r="K203" t="n">
        <v>0</v>
      </c>
      <c r="L203" t="inlineStr">
        <is>
          <t>Semiurban</t>
        </is>
      </c>
      <c r="M203" t="inlineStr">
        <is>
          <t>Y</t>
        </is>
      </c>
      <c r="N203" t="inlineStr">
        <is>
          <t>Medium Risk</t>
        </is>
      </c>
    </row>
    <row r="204">
      <c r="A204" t="inlineStr">
        <is>
          <t>LP001682</t>
        </is>
      </c>
      <c r="B204" t="inlineStr">
        <is>
          <t>Male</t>
        </is>
      </c>
      <c r="C204" t="inlineStr">
        <is>
          <t>Yes</t>
        </is>
      </c>
      <c r="D204" t="inlineStr">
        <is>
          <t>3+</t>
        </is>
      </c>
      <c r="E204" t="inlineStr">
        <is>
          <t>Not Graduate</t>
        </is>
      </c>
      <c r="F204" t="inlineStr">
        <is>
          <t>No</t>
        </is>
      </c>
      <c r="G204" t="n">
        <v>3992</v>
      </c>
      <c r="H204" t="n">
        <v>0</v>
      </c>
      <c r="I204" t="n">
        <v/>
      </c>
      <c r="J204" t="n">
        <v>180</v>
      </c>
      <c r="K204" t="n">
        <v>1</v>
      </c>
      <c r="L204" t="inlineStr">
        <is>
          <t>Urban</t>
        </is>
      </c>
      <c r="M204" t="inlineStr">
        <is>
          <t>N</t>
        </is>
      </c>
      <c r="N204" t="inlineStr">
        <is>
          <t>Medium Risk</t>
        </is>
      </c>
    </row>
    <row r="205">
      <c r="A205" t="inlineStr">
        <is>
          <t>LP001688</t>
        </is>
      </c>
      <c r="B205" t="inlineStr">
        <is>
          <t>Male</t>
        </is>
      </c>
      <c r="C205" t="inlineStr">
        <is>
          <t>Yes</t>
        </is>
      </c>
      <c r="D205" t="n">
        <v>1</v>
      </c>
      <c r="E205" t="inlineStr">
        <is>
          <t>Not Graduate</t>
        </is>
      </c>
      <c r="F205" t="inlineStr">
        <is>
          <t>No</t>
        </is>
      </c>
      <c r="G205" t="n">
        <v>3500</v>
      </c>
      <c r="H205" t="n">
        <v>1083</v>
      </c>
      <c r="I205" t="n">
        <v>135</v>
      </c>
      <c r="J205" t="n">
        <v>360</v>
      </c>
      <c r="K205" t="n">
        <v>1</v>
      </c>
      <c r="L205" t="inlineStr">
        <is>
          <t>Urban</t>
        </is>
      </c>
      <c r="M205" t="inlineStr">
        <is>
          <t>Y</t>
        </is>
      </c>
      <c r="N205" t="inlineStr">
        <is>
          <t>Lower Risk</t>
        </is>
      </c>
    </row>
    <row r="206">
      <c r="A206" t="inlineStr">
        <is>
          <t>LP001691</t>
        </is>
      </c>
      <c r="B206" t="inlineStr">
        <is>
          <t>Male</t>
        </is>
      </c>
      <c r="C206" t="inlineStr">
        <is>
          <t>Yes</t>
        </is>
      </c>
      <c r="D206" t="n">
        <v>2</v>
      </c>
      <c r="E206" t="inlineStr">
        <is>
          <t>Not Graduate</t>
        </is>
      </c>
      <c r="F206" t="inlineStr">
        <is>
          <t>No</t>
        </is>
      </c>
      <c r="G206" t="n">
        <v>3917</v>
      </c>
      <c r="H206" t="n">
        <v>0</v>
      </c>
      <c r="I206" t="n">
        <v>124</v>
      </c>
      <c r="J206" t="n">
        <v>360</v>
      </c>
      <c r="K206" t="n">
        <v>1</v>
      </c>
      <c r="L206" t="inlineStr">
        <is>
          <t>Semiurban</t>
        </is>
      </c>
      <c r="M206" t="inlineStr">
        <is>
          <t>Y</t>
        </is>
      </c>
      <c r="N206" t="inlineStr">
        <is>
          <t>Lower Risk</t>
        </is>
      </c>
    </row>
    <row r="207">
      <c r="A207" t="inlineStr">
        <is>
          <t>LP001692</t>
        </is>
      </c>
      <c r="B207" t="inlineStr">
        <is>
          <t>Female</t>
        </is>
      </c>
      <c r="C207" t="inlineStr">
        <is>
          <t>No</t>
        </is>
      </c>
      <c r="D207" t="n">
        <v>0</v>
      </c>
      <c r="E207" t="inlineStr">
        <is>
          <t>Not Graduate</t>
        </is>
      </c>
      <c r="F207" t="inlineStr">
        <is>
          <t>No</t>
        </is>
      </c>
      <c r="G207" t="n">
        <v>4408</v>
      </c>
      <c r="H207" t="n">
        <v>0</v>
      </c>
      <c r="I207" t="n">
        <v>120</v>
      </c>
      <c r="J207" t="n">
        <v>360</v>
      </c>
      <c r="K207" t="n">
        <v>1</v>
      </c>
      <c r="L207" t="inlineStr">
        <is>
          <t>Semiurban</t>
        </is>
      </c>
      <c r="M207" t="inlineStr">
        <is>
          <t>Y</t>
        </is>
      </c>
      <c r="N207" t="inlineStr">
        <is>
          <t>Lower Risk</t>
        </is>
      </c>
    </row>
    <row r="208">
      <c r="A208" t="inlineStr">
        <is>
          <t>LP001693</t>
        </is>
      </c>
      <c r="B208" t="inlineStr">
        <is>
          <t>Female</t>
        </is>
      </c>
      <c r="C208" t="inlineStr">
        <is>
          <t>No</t>
        </is>
      </c>
      <c r="D208" t="n">
        <v>0</v>
      </c>
      <c r="E208" t="inlineStr">
        <is>
          <t>Graduate</t>
        </is>
      </c>
      <c r="F208" t="inlineStr">
        <is>
          <t>No</t>
        </is>
      </c>
      <c r="G208" t="n">
        <v>3244</v>
      </c>
      <c r="H208" t="n">
        <v>0</v>
      </c>
      <c r="I208" t="n">
        <v>80</v>
      </c>
      <c r="J208" t="n">
        <v>360</v>
      </c>
      <c r="K208" t="n">
        <v>1</v>
      </c>
      <c r="L208" t="inlineStr">
        <is>
          <t>Urban</t>
        </is>
      </c>
      <c r="M208" t="inlineStr">
        <is>
          <t>Y</t>
        </is>
      </c>
      <c r="N208" t="inlineStr">
        <is>
          <t>Lower Risk</t>
        </is>
      </c>
    </row>
    <row r="209">
      <c r="A209" t="inlineStr">
        <is>
          <t>LP001698</t>
        </is>
      </c>
      <c r="B209" t="inlineStr">
        <is>
          <t>Male</t>
        </is>
      </c>
      <c r="C209" t="inlineStr">
        <is>
          <t>No</t>
        </is>
      </c>
      <c r="D209" t="n">
        <v>0</v>
      </c>
      <c r="E209" t="inlineStr">
        <is>
          <t>Not Graduate</t>
        </is>
      </c>
      <c r="F209" t="inlineStr">
        <is>
          <t>No</t>
        </is>
      </c>
      <c r="G209" t="n">
        <v>3975</v>
      </c>
      <c r="H209" t="n">
        <v>2531</v>
      </c>
      <c r="I209" t="n">
        <v>55</v>
      </c>
      <c r="J209" t="n">
        <v>360</v>
      </c>
      <c r="K209" t="n">
        <v>1</v>
      </c>
      <c r="L209" t="inlineStr">
        <is>
          <t>Rural</t>
        </is>
      </c>
      <c r="M209" t="inlineStr">
        <is>
          <t>Y</t>
        </is>
      </c>
      <c r="N209" t="inlineStr">
        <is>
          <t>Lower Risk</t>
        </is>
      </c>
    </row>
    <row r="210">
      <c r="A210" t="inlineStr">
        <is>
          <t>LP001699</t>
        </is>
      </c>
      <c r="B210" t="inlineStr">
        <is>
          <t>Male</t>
        </is>
      </c>
      <c r="C210" t="inlineStr">
        <is>
          <t>No</t>
        </is>
      </c>
      <c r="D210" t="n">
        <v>0</v>
      </c>
      <c r="E210" t="inlineStr">
        <is>
          <t>Graduate</t>
        </is>
      </c>
      <c r="F210" t="inlineStr">
        <is>
          <t>No</t>
        </is>
      </c>
      <c r="G210" t="n">
        <v>2479</v>
      </c>
      <c r="H210" t="n">
        <v>0</v>
      </c>
      <c r="I210" t="n">
        <v>59</v>
      </c>
      <c r="J210" t="n">
        <v>360</v>
      </c>
      <c r="K210" t="n">
        <v>1</v>
      </c>
      <c r="L210" t="inlineStr">
        <is>
          <t>Urban</t>
        </is>
      </c>
      <c r="M210" t="inlineStr">
        <is>
          <t>Y</t>
        </is>
      </c>
      <c r="N210" t="inlineStr">
        <is>
          <t>Lower Risk</t>
        </is>
      </c>
    </row>
    <row r="211">
      <c r="A211" t="inlineStr">
        <is>
          <t>LP001702</t>
        </is>
      </c>
      <c r="B211" t="inlineStr">
        <is>
          <t>Male</t>
        </is>
      </c>
      <c r="C211" t="inlineStr">
        <is>
          <t>No</t>
        </is>
      </c>
      <c r="D211" t="n">
        <v>0</v>
      </c>
      <c r="E211" t="inlineStr">
        <is>
          <t>Graduate</t>
        </is>
      </c>
      <c r="F211" t="inlineStr">
        <is>
          <t>No</t>
        </is>
      </c>
      <c r="G211" t="n">
        <v>3418</v>
      </c>
      <c r="H211" t="n">
        <v>0</v>
      </c>
      <c r="I211" t="n">
        <v>127</v>
      </c>
      <c r="J211" t="n">
        <v>360</v>
      </c>
      <c r="K211" t="n">
        <v>1</v>
      </c>
      <c r="L211" t="inlineStr">
        <is>
          <t>Semiurban</t>
        </is>
      </c>
      <c r="M211" t="inlineStr">
        <is>
          <t>N</t>
        </is>
      </c>
      <c r="N211" t="inlineStr">
        <is>
          <t>Medium Risk</t>
        </is>
      </c>
    </row>
    <row r="212">
      <c r="A212" t="inlineStr">
        <is>
          <t>LP001708</t>
        </is>
      </c>
      <c r="B212" t="inlineStr">
        <is>
          <t>Female</t>
        </is>
      </c>
      <c r="C212" t="inlineStr">
        <is>
          <t>No</t>
        </is>
      </c>
      <c r="D212" t="n">
        <v>0</v>
      </c>
      <c r="E212" t="inlineStr">
        <is>
          <t>Graduate</t>
        </is>
      </c>
      <c r="F212" t="inlineStr">
        <is>
          <t>No</t>
        </is>
      </c>
      <c r="G212" t="n">
        <v>10000</v>
      </c>
      <c r="H212" t="n">
        <v>0</v>
      </c>
      <c r="I212" t="n">
        <v>214</v>
      </c>
      <c r="J212" t="n">
        <v>360</v>
      </c>
      <c r="K212" t="n">
        <v>1</v>
      </c>
      <c r="L212" t="inlineStr">
        <is>
          <t>Semiurban</t>
        </is>
      </c>
      <c r="M212" t="inlineStr">
        <is>
          <t>N</t>
        </is>
      </c>
      <c r="N212" t="inlineStr">
        <is>
          <t>Medium Risk</t>
        </is>
      </c>
    </row>
    <row r="213">
      <c r="A213" t="inlineStr">
        <is>
          <t>LP001711</t>
        </is>
      </c>
      <c r="B213" t="inlineStr">
        <is>
          <t>Male</t>
        </is>
      </c>
      <c r="C213" t="inlineStr">
        <is>
          <t>Yes</t>
        </is>
      </c>
      <c r="D213" t="inlineStr">
        <is>
          <t>3+</t>
        </is>
      </c>
      <c r="E213" t="inlineStr">
        <is>
          <t>Graduate</t>
        </is>
      </c>
      <c r="F213" t="inlineStr">
        <is>
          <t>No</t>
        </is>
      </c>
      <c r="G213" t="n">
        <v>3430</v>
      </c>
      <c r="H213" t="n">
        <v>1250</v>
      </c>
      <c r="I213" t="n">
        <v>128</v>
      </c>
      <c r="J213" t="n">
        <v>360</v>
      </c>
      <c r="K213" t="n">
        <v>0</v>
      </c>
      <c r="L213" t="inlineStr">
        <is>
          <t>Semiurban</t>
        </is>
      </c>
      <c r="M213" t="inlineStr">
        <is>
          <t>N</t>
        </is>
      </c>
      <c r="N213" t="inlineStr">
        <is>
          <t>High Risk</t>
        </is>
      </c>
    </row>
    <row r="214">
      <c r="A214" t="inlineStr">
        <is>
          <t>LP001713</t>
        </is>
      </c>
      <c r="B214" t="inlineStr">
        <is>
          <t>Male</t>
        </is>
      </c>
      <c r="C214" t="inlineStr">
        <is>
          <t>Yes</t>
        </is>
      </c>
      <c r="D214" t="n">
        <v>1</v>
      </c>
      <c r="E214" t="inlineStr">
        <is>
          <t>Graduate</t>
        </is>
      </c>
      <c r="F214" t="inlineStr">
        <is>
          <t>Yes</t>
        </is>
      </c>
      <c r="G214" t="n">
        <v>7787</v>
      </c>
      <c r="H214" t="n">
        <v>0</v>
      </c>
      <c r="I214" t="n">
        <v>240</v>
      </c>
      <c r="J214" t="n">
        <v>360</v>
      </c>
      <c r="K214" t="n">
        <v>1</v>
      </c>
      <c r="L214" t="inlineStr">
        <is>
          <t>Urban</t>
        </is>
      </c>
      <c r="M214" t="inlineStr">
        <is>
          <t>Y</t>
        </is>
      </c>
      <c r="N214" t="inlineStr">
        <is>
          <t>Lower Risk</t>
        </is>
      </c>
    </row>
    <row r="215">
      <c r="A215" t="inlineStr">
        <is>
          <t>LP001715</t>
        </is>
      </c>
      <c r="B215" t="inlineStr">
        <is>
          <t>Male</t>
        </is>
      </c>
      <c r="C215" t="inlineStr">
        <is>
          <t>Yes</t>
        </is>
      </c>
      <c r="D215" t="inlineStr">
        <is>
          <t>3+</t>
        </is>
      </c>
      <c r="E215" t="inlineStr">
        <is>
          <t>Not Graduate</t>
        </is>
      </c>
      <c r="F215" t="inlineStr">
        <is>
          <t>Yes</t>
        </is>
      </c>
      <c r="G215" t="n">
        <v>5703</v>
      </c>
      <c r="H215" t="n">
        <v>0</v>
      </c>
      <c r="I215" t="n">
        <v>130</v>
      </c>
      <c r="J215" t="n">
        <v>360</v>
      </c>
      <c r="K215" t="n">
        <v>1</v>
      </c>
      <c r="L215" t="inlineStr">
        <is>
          <t>Rural</t>
        </is>
      </c>
      <c r="M215" t="inlineStr">
        <is>
          <t>Y</t>
        </is>
      </c>
      <c r="N215" t="inlineStr">
        <is>
          <t>Lower Risk</t>
        </is>
      </c>
    </row>
    <row r="216">
      <c r="A216" t="inlineStr">
        <is>
          <t>LP001716</t>
        </is>
      </c>
      <c r="B216" t="inlineStr">
        <is>
          <t>Male</t>
        </is>
      </c>
      <c r="C216" t="inlineStr">
        <is>
          <t>Yes</t>
        </is>
      </c>
      <c r="D216" t="n">
        <v>0</v>
      </c>
      <c r="E216" t="inlineStr">
        <is>
          <t>Graduate</t>
        </is>
      </c>
      <c r="F216" t="inlineStr">
        <is>
          <t>No</t>
        </is>
      </c>
      <c r="G216" t="n">
        <v>3173</v>
      </c>
      <c r="H216" t="n">
        <v>3021</v>
      </c>
      <c r="I216" t="n">
        <v>137</v>
      </c>
      <c r="J216" t="n">
        <v>360</v>
      </c>
      <c r="K216" t="n">
        <v>1</v>
      </c>
      <c r="L216" t="inlineStr">
        <is>
          <t>Urban</t>
        </is>
      </c>
      <c r="M216" t="inlineStr">
        <is>
          <t>Y</t>
        </is>
      </c>
      <c r="N216" t="inlineStr">
        <is>
          <t>Lower Risk</t>
        </is>
      </c>
    </row>
    <row r="217">
      <c r="A217" t="inlineStr">
        <is>
          <t>LP001720</t>
        </is>
      </c>
      <c r="B217" t="inlineStr">
        <is>
          <t>Male</t>
        </is>
      </c>
      <c r="C217" t="inlineStr">
        <is>
          <t>Yes</t>
        </is>
      </c>
      <c r="D217" t="inlineStr">
        <is>
          <t>3+</t>
        </is>
      </c>
      <c r="E217" t="inlineStr">
        <is>
          <t>Not Graduate</t>
        </is>
      </c>
      <c r="F217" t="inlineStr">
        <is>
          <t>No</t>
        </is>
      </c>
      <c r="G217" t="n">
        <v>3850</v>
      </c>
      <c r="H217" t="n">
        <v>983</v>
      </c>
      <c r="I217" t="n">
        <v>100</v>
      </c>
      <c r="J217" t="n">
        <v>360</v>
      </c>
      <c r="K217" t="n">
        <v>1</v>
      </c>
      <c r="L217" t="inlineStr">
        <is>
          <t>Semiurban</t>
        </is>
      </c>
      <c r="M217" t="inlineStr">
        <is>
          <t>Y</t>
        </is>
      </c>
      <c r="N217" t="inlineStr">
        <is>
          <t>Lower Risk</t>
        </is>
      </c>
    </row>
    <row r="218">
      <c r="A218" t="inlineStr">
        <is>
          <t>LP001722</t>
        </is>
      </c>
      <c r="B218" t="inlineStr">
        <is>
          <t>Male</t>
        </is>
      </c>
      <c r="C218" t="inlineStr">
        <is>
          <t>Yes</t>
        </is>
      </c>
      <c r="D218" t="n">
        <v>0</v>
      </c>
      <c r="E218" t="inlineStr">
        <is>
          <t>Graduate</t>
        </is>
      </c>
      <c r="F218" t="inlineStr">
        <is>
          <t>No</t>
        </is>
      </c>
      <c r="G218" t="n">
        <v>150</v>
      </c>
      <c r="H218" t="n">
        <v>1800</v>
      </c>
      <c r="I218" t="n">
        <v>135</v>
      </c>
      <c r="J218" t="n">
        <v>360</v>
      </c>
      <c r="K218" t="n">
        <v>1</v>
      </c>
      <c r="L218" t="inlineStr">
        <is>
          <t>Rural</t>
        </is>
      </c>
      <c r="M218" t="inlineStr">
        <is>
          <t>N</t>
        </is>
      </c>
      <c r="N218" t="inlineStr">
        <is>
          <t>Medium Risk</t>
        </is>
      </c>
    </row>
    <row r="219">
      <c r="A219" t="inlineStr">
        <is>
          <t>LP001726</t>
        </is>
      </c>
      <c r="B219" t="inlineStr">
        <is>
          <t>Male</t>
        </is>
      </c>
      <c r="C219" t="inlineStr">
        <is>
          <t>Yes</t>
        </is>
      </c>
      <c r="D219" t="n">
        <v>0</v>
      </c>
      <c r="E219" t="inlineStr">
        <is>
          <t>Graduate</t>
        </is>
      </c>
      <c r="F219" t="inlineStr">
        <is>
          <t>No</t>
        </is>
      </c>
      <c r="G219" t="n">
        <v>3727</v>
      </c>
      <c r="H219" t="n">
        <v>1775</v>
      </c>
      <c r="I219" t="n">
        <v>131</v>
      </c>
      <c r="J219" t="n">
        <v>360</v>
      </c>
      <c r="K219" t="n">
        <v>1</v>
      </c>
      <c r="L219" t="inlineStr">
        <is>
          <t>Semiurban</t>
        </is>
      </c>
      <c r="M219" t="inlineStr">
        <is>
          <t>Y</t>
        </is>
      </c>
      <c r="N219" t="inlineStr">
        <is>
          <t>Lower Risk</t>
        </is>
      </c>
    </row>
    <row r="220">
      <c r="A220" t="inlineStr">
        <is>
          <t>LP001732</t>
        </is>
      </c>
      <c r="B220" t="inlineStr">
        <is>
          <t>Male</t>
        </is>
      </c>
      <c r="C220" t="inlineStr">
        <is>
          <t>Yes</t>
        </is>
      </c>
      <c r="D220" t="n">
        <v>2</v>
      </c>
      <c r="E220" t="inlineStr">
        <is>
          <t>Graduate</t>
        </is>
      </c>
      <c r="F220" t="n">
        <v/>
      </c>
      <c r="G220" t="n">
        <v>5000</v>
      </c>
      <c r="H220" t="n">
        <v>0</v>
      </c>
      <c r="I220" t="n">
        <v>72</v>
      </c>
      <c r="J220" t="n">
        <v>360</v>
      </c>
      <c r="K220" t="n">
        <v>0</v>
      </c>
      <c r="L220" t="inlineStr">
        <is>
          <t>Semiurban</t>
        </is>
      </c>
      <c r="M220" t="inlineStr">
        <is>
          <t>N</t>
        </is>
      </c>
      <c r="N220" t="inlineStr">
        <is>
          <t>High Risk</t>
        </is>
      </c>
    </row>
    <row r="221">
      <c r="A221" t="inlineStr">
        <is>
          <t>LP001734</t>
        </is>
      </c>
      <c r="B221" t="inlineStr">
        <is>
          <t>Female</t>
        </is>
      </c>
      <c r="C221" t="inlineStr">
        <is>
          <t>Yes</t>
        </is>
      </c>
      <c r="D221" t="n">
        <v>2</v>
      </c>
      <c r="E221" t="inlineStr">
        <is>
          <t>Graduate</t>
        </is>
      </c>
      <c r="F221" t="inlineStr">
        <is>
          <t>No</t>
        </is>
      </c>
      <c r="G221" t="n">
        <v>4283</v>
      </c>
      <c r="H221" t="n">
        <v>2383</v>
      </c>
      <c r="I221" t="n">
        <v>127</v>
      </c>
      <c r="J221" t="n">
        <v>360</v>
      </c>
      <c r="K221" t="n">
        <v/>
      </c>
      <c r="L221" t="inlineStr">
        <is>
          <t>Semiurban</t>
        </is>
      </c>
      <c r="M221" t="inlineStr">
        <is>
          <t>Y</t>
        </is>
      </c>
      <c r="N221" t="inlineStr">
        <is>
          <t>Medium Risk</t>
        </is>
      </c>
    </row>
    <row r="222">
      <c r="A222" t="inlineStr">
        <is>
          <t>LP001736</t>
        </is>
      </c>
      <c r="B222" t="inlineStr">
        <is>
          <t>Male</t>
        </is>
      </c>
      <c r="C222" t="inlineStr">
        <is>
          <t>Yes</t>
        </is>
      </c>
      <c r="D222" t="n">
        <v>0</v>
      </c>
      <c r="E222" t="inlineStr">
        <is>
          <t>Graduate</t>
        </is>
      </c>
      <c r="F222" t="inlineStr">
        <is>
          <t>No</t>
        </is>
      </c>
      <c r="G222" t="n">
        <v>2221</v>
      </c>
      <c r="H222" t="n">
        <v>0</v>
      </c>
      <c r="I222" t="n">
        <v>60</v>
      </c>
      <c r="J222" t="n">
        <v>360</v>
      </c>
      <c r="K222" t="n">
        <v>0</v>
      </c>
      <c r="L222" t="inlineStr">
        <is>
          <t>Urban</t>
        </is>
      </c>
      <c r="M222" t="inlineStr">
        <is>
          <t>N</t>
        </is>
      </c>
      <c r="N222" t="inlineStr">
        <is>
          <t>High Risk</t>
        </is>
      </c>
    </row>
    <row r="223">
      <c r="A223" t="inlineStr">
        <is>
          <t>LP001743</t>
        </is>
      </c>
      <c r="B223" t="inlineStr">
        <is>
          <t>Male</t>
        </is>
      </c>
      <c r="C223" t="inlineStr">
        <is>
          <t>Yes</t>
        </is>
      </c>
      <c r="D223" t="n">
        <v>2</v>
      </c>
      <c r="E223" t="inlineStr">
        <is>
          <t>Graduate</t>
        </is>
      </c>
      <c r="F223" t="inlineStr">
        <is>
          <t>No</t>
        </is>
      </c>
      <c r="G223" t="n">
        <v>4009</v>
      </c>
      <c r="H223" t="n">
        <v>1717</v>
      </c>
      <c r="I223" t="n">
        <v>116</v>
      </c>
      <c r="J223" t="n">
        <v>360</v>
      </c>
      <c r="K223" t="n">
        <v>1</v>
      </c>
      <c r="L223" t="inlineStr">
        <is>
          <t>Semiurban</t>
        </is>
      </c>
      <c r="M223" t="inlineStr">
        <is>
          <t>Y</t>
        </is>
      </c>
      <c r="N223" t="inlineStr">
        <is>
          <t>Lower Risk</t>
        </is>
      </c>
    </row>
    <row r="224">
      <c r="A224" t="inlineStr">
        <is>
          <t>LP001744</t>
        </is>
      </c>
      <c r="B224" t="inlineStr">
        <is>
          <t>Male</t>
        </is>
      </c>
      <c r="C224" t="inlineStr">
        <is>
          <t>No</t>
        </is>
      </c>
      <c r="D224" t="n">
        <v>0</v>
      </c>
      <c r="E224" t="inlineStr">
        <is>
          <t>Graduate</t>
        </is>
      </c>
      <c r="F224" t="inlineStr">
        <is>
          <t>No</t>
        </is>
      </c>
      <c r="G224" t="n">
        <v>2971</v>
      </c>
      <c r="H224" t="n">
        <v>2791</v>
      </c>
      <c r="I224" t="n">
        <v>144</v>
      </c>
      <c r="J224" t="n">
        <v>360</v>
      </c>
      <c r="K224" t="n">
        <v>1</v>
      </c>
      <c r="L224" t="inlineStr">
        <is>
          <t>Semiurban</t>
        </is>
      </c>
      <c r="M224" t="inlineStr">
        <is>
          <t>Y</t>
        </is>
      </c>
      <c r="N224" t="inlineStr">
        <is>
          <t>Lower Risk</t>
        </is>
      </c>
    </row>
    <row r="225">
      <c r="A225" t="inlineStr">
        <is>
          <t>LP001749</t>
        </is>
      </c>
      <c r="B225" t="inlineStr">
        <is>
          <t>Male</t>
        </is>
      </c>
      <c r="C225" t="inlineStr">
        <is>
          <t>Yes</t>
        </is>
      </c>
      <c r="D225" t="n">
        <v>0</v>
      </c>
      <c r="E225" t="inlineStr">
        <is>
          <t>Graduate</t>
        </is>
      </c>
      <c r="F225" t="inlineStr">
        <is>
          <t>No</t>
        </is>
      </c>
      <c r="G225" t="n">
        <v>7578</v>
      </c>
      <c r="H225" t="n">
        <v>1010</v>
      </c>
      <c r="I225" t="n">
        <v>175</v>
      </c>
      <c r="J225" t="n">
        <v/>
      </c>
      <c r="K225" t="n">
        <v>1</v>
      </c>
      <c r="L225" t="inlineStr">
        <is>
          <t>Semiurban</t>
        </is>
      </c>
      <c r="M225" t="inlineStr">
        <is>
          <t>Y</t>
        </is>
      </c>
      <c r="N225" t="inlineStr">
        <is>
          <t>Lower Risk</t>
        </is>
      </c>
    </row>
    <row r="226">
      <c r="A226" t="inlineStr">
        <is>
          <t>LP001750</t>
        </is>
      </c>
      <c r="B226" t="inlineStr">
        <is>
          <t>Male</t>
        </is>
      </c>
      <c r="C226" t="inlineStr">
        <is>
          <t>Yes</t>
        </is>
      </c>
      <c r="D226" t="n">
        <v>0</v>
      </c>
      <c r="E226" t="inlineStr">
        <is>
          <t>Graduate</t>
        </is>
      </c>
      <c r="F226" t="inlineStr">
        <is>
          <t>No</t>
        </is>
      </c>
      <c r="G226" t="n">
        <v>6250</v>
      </c>
      <c r="H226" t="n">
        <v>0</v>
      </c>
      <c r="I226" t="n">
        <v>128</v>
      </c>
      <c r="J226" t="n">
        <v>360</v>
      </c>
      <c r="K226" t="n">
        <v>1</v>
      </c>
      <c r="L226" t="inlineStr">
        <is>
          <t>Semiurban</t>
        </is>
      </c>
      <c r="M226" t="inlineStr">
        <is>
          <t>Y</t>
        </is>
      </c>
      <c r="N226" t="inlineStr">
        <is>
          <t>Lower Risk</t>
        </is>
      </c>
    </row>
    <row r="227">
      <c r="A227" t="inlineStr">
        <is>
          <t>LP001751</t>
        </is>
      </c>
      <c r="B227" t="inlineStr">
        <is>
          <t>Male</t>
        </is>
      </c>
      <c r="C227" t="inlineStr">
        <is>
          <t>Yes</t>
        </is>
      </c>
      <c r="D227" t="n">
        <v>0</v>
      </c>
      <c r="E227" t="inlineStr">
        <is>
          <t>Graduate</t>
        </is>
      </c>
      <c r="F227" t="inlineStr">
        <is>
          <t>No</t>
        </is>
      </c>
      <c r="G227" t="n">
        <v>3250</v>
      </c>
      <c r="H227" t="n">
        <v>0</v>
      </c>
      <c r="I227" t="n">
        <v>170</v>
      </c>
      <c r="J227" t="n">
        <v>360</v>
      </c>
      <c r="K227" t="n">
        <v>1</v>
      </c>
      <c r="L227" t="inlineStr">
        <is>
          <t>Rural</t>
        </is>
      </c>
      <c r="M227" t="inlineStr">
        <is>
          <t>N</t>
        </is>
      </c>
      <c r="N227" t="inlineStr">
        <is>
          <t>Medium Risk</t>
        </is>
      </c>
    </row>
    <row r="228">
      <c r="A228" t="inlineStr">
        <is>
          <t>LP001754</t>
        </is>
      </c>
      <c r="B228" t="inlineStr">
        <is>
          <t>Male</t>
        </is>
      </c>
      <c r="C228" t="inlineStr">
        <is>
          <t>Yes</t>
        </is>
      </c>
      <c r="D228" t="n">
        <v/>
      </c>
      <c r="E228" t="inlineStr">
        <is>
          <t>Not Graduate</t>
        </is>
      </c>
      <c r="F228" t="inlineStr">
        <is>
          <t>Yes</t>
        </is>
      </c>
      <c r="G228" t="n">
        <v>4735</v>
      </c>
      <c r="H228" t="n">
        <v>0</v>
      </c>
      <c r="I228" t="n">
        <v>138</v>
      </c>
      <c r="J228" t="n">
        <v>360</v>
      </c>
      <c r="K228" t="n">
        <v>1</v>
      </c>
      <c r="L228" t="inlineStr">
        <is>
          <t>Urban</t>
        </is>
      </c>
      <c r="M228" t="inlineStr">
        <is>
          <t>N</t>
        </is>
      </c>
      <c r="N228" t="inlineStr">
        <is>
          <t>Medium Risk</t>
        </is>
      </c>
    </row>
    <row r="229">
      <c r="A229" t="inlineStr">
        <is>
          <t>LP001758</t>
        </is>
      </c>
      <c r="B229" t="inlineStr">
        <is>
          <t>Male</t>
        </is>
      </c>
      <c r="C229" t="inlineStr">
        <is>
          <t>Yes</t>
        </is>
      </c>
      <c r="D229" t="n">
        <v>2</v>
      </c>
      <c r="E229" t="inlineStr">
        <is>
          <t>Graduate</t>
        </is>
      </c>
      <c r="F229" t="inlineStr">
        <is>
          <t>No</t>
        </is>
      </c>
      <c r="G229" t="n">
        <v>6250</v>
      </c>
      <c r="H229" t="n">
        <v>1695</v>
      </c>
      <c r="I229" t="n">
        <v>210</v>
      </c>
      <c r="J229" t="n">
        <v>360</v>
      </c>
      <c r="K229" t="n">
        <v>1</v>
      </c>
      <c r="L229" t="inlineStr">
        <is>
          <t>Semiurban</t>
        </is>
      </c>
      <c r="M229" t="inlineStr">
        <is>
          <t>Y</t>
        </is>
      </c>
      <c r="N229" t="inlineStr">
        <is>
          <t>Lower Risk</t>
        </is>
      </c>
    </row>
    <row r="230">
      <c r="A230" t="inlineStr">
        <is>
          <t>LP001760</t>
        </is>
      </c>
      <c r="B230" t="inlineStr">
        <is>
          <t>Male</t>
        </is>
      </c>
      <c r="C230" t="n">
        <v/>
      </c>
      <c r="D230" t="n">
        <v/>
      </c>
      <c r="E230" t="inlineStr">
        <is>
          <t>Graduate</t>
        </is>
      </c>
      <c r="F230" t="inlineStr">
        <is>
          <t>No</t>
        </is>
      </c>
      <c r="G230" t="n">
        <v>4758</v>
      </c>
      <c r="H230" t="n">
        <v>0</v>
      </c>
      <c r="I230" t="n">
        <v>158</v>
      </c>
      <c r="J230" t="n">
        <v>480</v>
      </c>
      <c r="K230" t="n">
        <v>1</v>
      </c>
      <c r="L230" t="inlineStr">
        <is>
          <t>Semiurban</t>
        </is>
      </c>
      <c r="M230" t="inlineStr">
        <is>
          <t>Y</t>
        </is>
      </c>
      <c r="N230" t="inlineStr">
        <is>
          <t>Lower Risk</t>
        </is>
      </c>
    </row>
    <row r="231">
      <c r="A231" t="inlineStr">
        <is>
          <t>LP001761</t>
        </is>
      </c>
      <c r="B231" t="inlineStr">
        <is>
          <t>Male</t>
        </is>
      </c>
      <c r="C231" t="inlineStr">
        <is>
          <t>No</t>
        </is>
      </c>
      <c r="D231" t="n">
        <v>0</v>
      </c>
      <c r="E231" t="inlineStr">
        <is>
          <t>Graduate</t>
        </is>
      </c>
      <c r="F231" t="inlineStr">
        <is>
          <t>Yes</t>
        </is>
      </c>
      <c r="G231" t="n">
        <v>6400</v>
      </c>
      <c r="H231" t="n">
        <v>0</v>
      </c>
      <c r="I231" t="n">
        <v>200</v>
      </c>
      <c r="J231" t="n">
        <v>360</v>
      </c>
      <c r="K231" t="n">
        <v>1</v>
      </c>
      <c r="L231" t="inlineStr">
        <is>
          <t>Rural</t>
        </is>
      </c>
      <c r="M231" t="inlineStr">
        <is>
          <t>Y</t>
        </is>
      </c>
      <c r="N231" t="inlineStr">
        <is>
          <t>Lower Risk</t>
        </is>
      </c>
    </row>
    <row r="232">
      <c r="A232" t="inlineStr">
        <is>
          <t>LP001765</t>
        </is>
      </c>
      <c r="B232" t="inlineStr">
        <is>
          <t>Male</t>
        </is>
      </c>
      <c r="C232" t="inlineStr">
        <is>
          <t>Yes</t>
        </is>
      </c>
      <c r="D232" t="n">
        <v>1</v>
      </c>
      <c r="E232" t="inlineStr">
        <is>
          <t>Graduate</t>
        </is>
      </c>
      <c r="F232" t="inlineStr">
        <is>
          <t>No</t>
        </is>
      </c>
      <c r="G232" t="n">
        <v>2491</v>
      </c>
      <c r="H232" t="n">
        <v>2054</v>
      </c>
      <c r="I232" t="n">
        <v>104</v>
      </c>
      <c r="J232" t="n">
        <v>360</v>
      </c>
      <c r="K232" t="n">
        <v>1</v>
      </c>
      <c r="L232" t="inlineStr">
        <is>
          <t>Semiurban</t>
        </is>
      </c>
      <c r="M232" t="inlineStr">
        <is>
          <t>Y</t>
        </is>
      </c>
      <c r="N232" t="inlineStr">
        <is>
          <t>Lower Risk</t>
        </is>
      </c>
    </row>
    <row r="233">
      <c r="A233" t="inlineStr">
        <is>
          <t>LP001768</t>
        </is>
      </c>
      <c r="B233" t="inlineStr">
        <is>
          <t>Male</t>
        </is>
      </c>
      <c r="C233" t="inlineStr">
        <is>
          <t>Yes</t>
        </is>
      </c>
      <c r="D233" t="n">
        <v>0</v>
      </c>
      <c r="E233" t="inlineStr">
        <is>
          <t>Graduate</t>
        </is>
      </c>
      <c r="F233" t="n">
        <v/>
      </c>
      <c r="G233" t="n">
        <v>3716</v>
      </c>
      <c r="H233" t="n">
        <v>0</v>
      </c>
      <c r="I233" t="n">
        <v>42</v>
      </c>
      <c r="J233" t="n">
        <v>180</v>
      </c>
      <c r="K233" t="n">
        <v>1</v>
      </c>
      <c r="L233" t="inlineStr">
        <is>
          <t>Rural</t>
        </is>
      </c>
      <c r="M233" t="inlineStr">
        <is>
          <t>Y</t>
        </is>
      </c>
      <c r="N233" t="inlineStr">
        <is>
          <t>Lower Risk</t>
        </is>
      </c>
    </row>
    <row r="234">
      <c r="A234" t="inlineStr">
        <is>
          <t>LP001770</t>
        </is>
      </c>
      <c r="B234" t="inlineStr">
        <is>
          <t>Male</t>
        </is>
      </c>
      <c r="C234" t="inlineStr">
        <is>
          <t>No</t>
        </is>
      </c>
      <c r="D234" t="n">
        <v>0</v>
      </c>
      <c r="E234" t="inlineStr">
        <is>
          <t>Not Graduate</t>
        </is>
      </c>
      <c r="F234" t="inlineStr">
        <is>
          <t>No</t>
        </is>
      </c>
      <c r="G234" t="n">
        <v>3189</v>
      </c>
      <c r="H234" t="n">
        <v>2598</v>
      </c>
      <c r="I234" t="n">
        <v>120</v>
      </c>
      <c r="J234" t="n">
        <v/>
      </c>
      <c r="K234" t="n">
        <v>1</v>
      </c>
      <c r="L234" t="inlineStr">
        <is>
          <t>Rural</t>
        </is>
      </c>
      <c r="M234" t="inlineStr">
        <is>
          <t>Y</t>
        </is>
      </c>
      <c r="N234" t="inlineStr">
        <is>
          <t>Lower Risk</t>
        </is>
      </c>
    </row>
    <row r="235">
      <c r="A235" t="inlineStr">
        <is>
          <t>LP001776</t>
        </is>
      </c>
      <c r="B235" t="inlineStr">
        <is>
          <t>Female</t>
        </is>
      </c>
      <c r="C235" t="inlineStr">
        <is>
          <t>No</t>
        </is>
      </c>
      <c r="D235" t="n">
        <v>0</v>
      </c>
      <c r="E235" t="inlineStr">
        <is>
          <t>Graduate</t>
        </is>
      </c>
      <c r="F235" t="inlineStr">
        <is>
          <t>No</t>
        </is>
      </c>
      <c r="G235" t="n">
        <v>8333</v>
      </c>
      <c r="H235" t="n">
        <v>0</v>
      </c>
      <c r="I235" t="n">
        <v>280</v>
      </c>
      <c r="J235" t="n">
        <v>360</v>
      </c>
      <c r="K235" t="n">
        <v>1</v>
      </c>
      <c r="L235" t="inlineStr">
        <is>
          <t>Semiurban</t>
        </is>
      </c>
      <c r="M235" t="inlineStr">
        <is>
          <t>Y</t>
        </is>
      </c>
      <c r="N235" t="inlineStr">
        <is>
          <t>Lower Risk</t>
        </is>
      </c>
    </row>
    <row r="236">
      <c r="A236" t="inlineStr">
        <is>
          <t>LP001778</t>
        </is>
      </c>
      <c r="B236" t="inlineStr">
        <is>
          <t>Male</t>
        </is>
      </c>
      <c r="C236" t="inlineStr">
        <is>
          <t>Yes</t>
        </is>
      </c>
      <c r="D236" t="n">
        <v>1</v>
      </c>
      <c r="E236" t="inlineStr">
        <is>
          <t>Graduate</t>
        </is>
      </c>
      <c r="F236" t="inlineStr">
        <is>
          <t>No</t>
        </is>
      </c>
      <c r="G236" t="n">
        <v>3155</v>
      </c>
      <c r="H236" t="n">
        <v>1779</v>
      </c>
      <c r="I236" t="n">
        <v>140</v>
      </c>
      <c r="J236" t="n">
        <v>360</v>
      </c>
      <c r="K236" t="n">
        <v>1</v>
      </c>
      <c r="L236" t="inlineStr">
        <is>
          <t>Semiurban</t>
        </is>
      </c>
      <c r="M236" t="inlineStr">
        <is>
          <t>Y</t>
        </is>
      </c>
      <c r="N236" t="inlineStr">
        <is>
          <t>Lower Risk</t>
        </is>
      </c>
    </row>
    <row r="237">
      <c r="A237" t="inlineStr">
        <is>
          <t>LP001784</t>
        </is>
      </c>
      <c r="B237" t="inlineStr">
        <is>
          <t>Male</t>
        </is>
      </c>
      <c r="C237" t="inlineStr">
        <is>
          <t>Yes</t>
        </is>
      </c>
      <c r="D237" t="n">
        <v>1</v>
      </c>
      <c r="E237" t="inlineStr">
        <is>
          <t>Graduate</t>
        </is>
      </c>
      <c r="F237" t="inlineStr">
        <is>
          <t>No</t>
        </is>
      </c>
      <c r="G237" t="n">
        <v>5500</v>
      </c>
      <c r="H237" t="n">
        <v>1260</v>
      </c>
      <c r="I237" t="n">
        <v>170</v>
      </c>
      <c r="J237" t="n">
        <v>360</v>
      </c>
      <c r="K237" t="n">
        <v>1</v>
      </c>
      <c r="L237" t="inlineStr">
        <is>
          <t>Rural</t>
        </is>
      </c>
      <c r="M237" t="inlineStr">
        <is>
          <t>Y</t>
        </is>
      </c>
      <c r="N237" t="inlineStr">
        <is>
          <t>Lower Risk</t>
        </is>
      </c>
    </row>
    <row r="238">
      <c r="A238" t="inlineStr">
        <is>
          <t>LP001786</t>
        </is>
      </c>
      <c r="B238" t="inlineStr">
        <is>
          <t>Male</t>
        </is>
      </c>
      <c r="C238" t="inlineStr">
        <is>
          <t>Yes</t>
        </is>
      </c>
      <c r="D238" t="n">
        <v>0</v>
      </c>
      <c r="E238" t="inlineStr">
        <is>
          <t>Graduate</t>
        </is>
      </c>
      <c r="F238" t="n">
        <v/>
      </c>
      <c r="G238" t="n">
        <v>5746</v>
      </c>
      <c r="H238" t="n">
        <v>0</v>
      </c>
      <c r="I238" t="n">
        <v>255</v>
      </c>
      <c r="J238" t="n">
        <v>360</v>
      </c>
      <c r="K238" t="n">
        <v/>
      </c>
      <c r="L238" t="inlineStr">
        <is>
          <t>Urban</t>
        </is>
      </c>
      <c r="M238" t="inlineStr">
        <is>
          <t>N</t>
        </is>
      </c>
      <c r="N238" t="inlineStr">
        <is>
          <t>High Risk</t>
        </is>
      </c>
    </row>
    <row r="239">
      <c r="A239" t="inlineStr">
        <is>
          <t>LP001788</t>
        </is>
      </c>
      <c r="B239" t="inlineStr">
        <is>
          <t>Female</t>
        </is>
      </c>
      <c r="C239" t="inlineStr">
        <is>
          <t>No</t>
        </is>
      </c>
      <c r="D239" t="n">
        <v>0</v>
      </c>
      <c r="E239" t="inlineStr">
        <is>
          <t>Graduate</t>
        </is>
      </c>
      <c r="F239" t="inlineStr">
        <is>
          <t>Yes</t>
        </is>
      </c>
      <c r="G239" t="n">
        <v>3463</v>
      </c>
      <c r="H239" t="n">
        <v>0</v>
      </c>
      <c r="I239" t="n">
        <v>122</v>
      </c>
      <c r="J239" t="n">
        <v>360</v>
      </c>
      <c r="K239" t="n">
        <v/>
      </c>
      <c r="L239" t="inlineStr">
        <is>
          <t>Urban</t>
        </is>
      </c>
      <c r="M239" t="inlineStr">
        <is>
          <t>Y</t>
        </is>
      </c>
      <c r="N239" t="inlineStr">
        <is>
          <t>Medium Risk</t>
        </is>
      </c>
    </row>
    <row r="240">
      <c r="A240" t="inlineStr">
        <is>
          <t>LP001790</t>
        </is>
      </c>
      <c r="B240" t="inlineStr">
        <is>
          <t>Female</t>
        </is>
      </c>
      <c r="C240" t="inlineStr">
        <is>
          <t>No</t>
        </is>
      </c>
      <c r="D240" t="n">
        <v>1</v>
      </c>
      <c r="E240" t="inlineStr">
        <is>
          <t>Graduate</t>
        </is>
      </c>
      <c r="F240" t="inlineStr">
        <is>
          <t>No</t>
        </is>
      </c>
      <c r="G240" t="n">
        <v>3812</v>
      </c>
      <c r="H240" t="n">
        <v>0</v>
      </c>
      <c r="I240" t="n">
        <v>112</v>
      </c>
      <c r="J240" t="n">
        <v>360</v>
      </c>
      <c r="K240" t="n">
        <v>1</v>
      </c>
      <c r="L240" t="inlineStr">
        <is>
          <t>Rural</t>
        </is>
      </c>
      <c r="M240" t="inlineStr">
        <is>
          <t>Y</t>
        </is>
      </c>
      <c r="N240" t="inlineStr">
        <is>
          <t>Lower Risk</t>
        </is>
      </c>
    </row>
    <row r="241">
      <c r="A241" t="inlineStr">
        <is>
          <t>LP001792</t>
        </is>
      </c>
      <c r="B241" t="inlineStr">
        <is>
          <t>Male</t>
        </is>
      </c>
      <c r="C241" t="inlineStr">
        <is>
          <t>Yes</t>
        </is>
      </c>
      <c r="D241" t="n">
        <v>1</v>
      </c>
      <c r="E241" t="inlineStr">
        <is>
          <t>Graduate</t>
        </is>
      </c>
      <c r="F241" t="inlineStr">
        <is>
          <t>No</t>
        </is>
      </c>
      <c r="G241" t="n">
        <v>3315</v>
      </c>
      <c r="H241" t="n">
        <v>0</v>
      </c>
      <c r="I241" t="n">
        <v>96</v>
      </c>
      <c r="J241" t="n">
        <v>360</v>
      </c>
      <c r="K241" t="n">
        <v>1</v>
      </c>
      <c r="L241" t="inlineStr">
        <is>
          <t>Semiurban</t>
        </is>
      </c>
      <c r="M241" t="inlineStr">
        <is>
          <t>Y</t>
        </is>
      </c>
      <c r="N241" t="inlineStr">
        <is>
          <t>Lower Risk</t>
        </is>
      </c>
    </row>
    <row r="242">
      <c r="A242" t="inlineStr">
        <is>
          <t>LP001798</t>
        </is>
      </c>
      <c r="B242" t="inlineStr">
        <is>
          <t>Male</t>
        </is>
      </c>
      <c r="C242" t="inlineStr">
        <is>
          <t>Yes</t>
        </is>
      </c>
      <c r="D242" t="n">
        <v>2</v>
      </c>
      <c r="E242" t="inlineStr">
        <is>
          <t>Graduate</t>
        </is>
      </c>
      <c r="F242" t="inlineStr">
        <is>
          <t>No</t>
        </is>
      </c>
      <c r="G242" t="n">
        <v>5819</v>
      </c>
      <c r="H242" t="n">
        <v>5000</v>
      </c>
      <c r="I242" t="n">
        <v>120</v>
      </c>
      <c r="J242" t="n">
        <v>360</v>
      </c>
      <c r="K242" t="n">
        <v>1</v>
      </c>
      <c r="L242" t="inlineStr">
        <is>
          <t>Rural</t>
        </is>
      </c>
      <c r="M242" t="inlineStr">
        <is>
          <t>Y</t>
        </is>
      </c>
      <c r="N242" t="inlineStr">
        <is>
          <t>Lower Risk</t>
        </is>
      </c>
    </row>
    <row r="243">
      <c r="A243" t="inlineStr">
        <is>
          <t>LP001800</t>
        </is>
      </c>
      <c r="B243" t="inlineStr">
        <is>
          <t>Male</t>
        </is>
      </c>
      <c r="C243" t="inlineStr">
        <is>
          <t>Yes</t>
        </is>
      </c>
      <c r="D243" t="n">
        <v>1</v>
      </c>
      <c r="E243" t="inlineStr">
        <is>
          <t>Not Graduate</t>
        </is>
      </c>
      <c r="F243" t="inlineStr">
        <is>
          <t>No</t>
        </is>
      </c>
      <c r="G243" t="n">
        <v>2510</v>
      </c>
      <c r="H243" t="n">
        <v>1983</v>
      </c>
      <c r="I243" t="n">
        <v>140</v>
      </c>
      <c r="J243" t="n">
        <v>180</v>
      </c>
      <c r="K243" t="n">
        <v>1</v>
      </c>
      <c r="L243" t="inlineStr">
        <is>
          <t>Urban</t>
        </is>
      </c>
      <c r="M243" t="inlineStr">
        <is>
          <t>N</t>
        </is>
      </c>
      <c r="N243" t="inlineStr">
        <is>
          <t>Medium Risk</t>
        </is>
      </c>
    </row>
    <row r="244">
      <c r="A244" t="inlineStr">
        <is>
          <t>LP001806</t>
        </is>
      </c>
      <c r="B244" t="inlineStr">
        <is>
          <t>Male</t>
        </is>
      </c>
      <c r="C244" t="inlineStr">
        <is>
          <t>No</t>
        </is>
      </c>
      <c r="D244" t="n">
        <v>0</v>
      </c>
      <c r="E244" t="inlineStr">
        <is>
          <t>Graduate</t>
        </is>
      </c>
      <c r="F244" t="inlineStr">
        <is>
          <t>No</t>
        </is>
      </c>
      <c r="G244" t="n">
        <v>2965</v>
      </c>
      <c r="H244" t="n">
        <v>5701</v>
      </c>
      <c r="I244" t="n">
        <v>155</v>
      </c>
      <c r="J244" t="n">
        <v>60</v>
      </c>
      <c r="K244" t="n">
        <v>1</v>
      </c>
      <c r="L244" t="inlineStr">
        <is>
          <t>Urban</t>
        </is>
      </c>
      <c r="M244" t="inlineStr">
        <is>
          <t>Y</t>
        </is>
      </c>
      <c r="N244" t="inlineStr">
        <is>
          <t>Lower Risk</t>
        </is>
      </c>
    </row>
    <row r="245">
      <c r="A245" t="inlineStr">
        <is>
          <t>LP001807</t>
        </is>
      </c>
      <c r="B245" t="inlineStr">
        <is>
          <t>Male</t>
        </is>
      </c>
      <c r="C245" t="inlineStr">
        <is>
          <t>Yes</t>
        </is>
      </c>
      <c r="D245" t="n">
        <v>2</v>
      </c>
      <c r="E245" t="inlineStr">
        <is>
          <t>Graduate</t>
        </is>
      </c>
      <c r="F245" t="inlineStr">
        <is>
          <t>Yes</t>
        </is>
      </c>
      <c r="G245" t="n">
        <v>6250</v>
      </c>
      <c r="H245" t="n">
        <v>1300</v>
      </c>
      <c r="I245" t="n">
        <v>108</v>
      </c>
      <c r="J245" t="n">
        <v>360</v>
      </c>
      <c r="K245" t="n">
        <v>1</v>
      </c>
      <c r="L245" t="inlineStr">
        <is>
          <t>Rural</t>
        </is>
      </c>
      <c r="M245" t="inlineStr">
        <is>
          <t>Y</t>
        </is>
      </c>
      <c r="N245" t="inlineStr">
        <is>
          <t>Lower Risk</t>
        </is>
      </c>
    </row>
    <row r="246">
      <c r="A246" t="inlineStr">
        <is>
          <t>LP001811</t>
        </is>
      </c>
      <c r="B246" t="inlineStr">
        <is>
          <t>Male</t>
        </is>
      </c>
      <c r="C246" t="inlineStr">
        <is>
          <t>Yes</t>
        </is>
      </c>
      <c r="D246" t="n">
        <v>0</v>
      </c>
      <c r="E246" t="inlineStr">
        <is>
          <t>Not Graduate</t>
        </is>
      </c>
      <c r="F246" t="inlineStr">
        <is>
          <t>No</t>
        </is>
      </c>
      <c r="G246" t="n">
        <v>3406</v>
      </c>
      <c r="H246" t="n">
        <v>4417</v>
      </c>
      <c r="I246" t="n">
        <v>123</v>
      </c>
      <c r="J246" t="n">
        <v>360</v>
      </c>
      <c r="K246" t="n">
        <v>1</v>
      </c>
      <c r="L246" t="inlineStr">
        <is>
          <t>Semiurban</t>
        </is>
      </c>
      <c r="M246" t="inlineStr">
        <is>
          <t>Y</t>
        </is>
      </c>
      <c r="N246" t="inlineStr">
        <is>
          <t>Lower Risk</t>
        </is>
      </c>
    </row>
    <row r="247">
      <c r="A247" t="inlineStr">
        <is>
          <t>LP001813</t>
        </is>
      </c>
      <c r="B247" t="inlineStr">
        <is>
          <t>Male</t>
        </is>
      </c>
      <c r="C247" t="inlineStr">
        <is>
          <t>No</t>
        </is>
      </c>
      <c r="D247" t="n">
        <v>0</v>
      </c>
      <c r="E247" t="inlineStr">
        <is>
          <t>Graduate</t>
        </is>
      </c>
      <c r="F247" t="inlineStr">
        <is>
          <t>Yes</t>
        </is>
      </c>
      <c r="G247" t="n">
        <v>6050</v>
      </c>
      <c r="H247" t="n">
        <v>4333</v>
      </c>
      <c r="I247" t="n">
        <v>120</v>
      </c>
      <c r="J247" t="n">
        <v>180</v>
      </c>
      <c r="K247" t="n">
        <v>1</v>
      </c>
      <c r="L247" t="inlineStr">
        <is>
          <t>Urban</t>
        </is>
      </c>
      <c r="M247" t="inlineStr">
        <is>
          <t>N</t>
        </is>
      </c>
      <c r="N247" t="inlineStr">
        <is>
          <t>Medium Risk</t>
        </is>
      </c>
    </row>
    <row r="248">
      <c r="A248" t="inlineStr">
        <is>
          <t>LP001814</t>
        </is>
      </c>
      <c r="B248" t="inlineStr">
        <is>
          <t>Male</t>
        </is>
      </c>
      <c r="C248" t="inlineStr">
        <is>
          <t>Yes</t>
        </is>
      </c>
      <c r="D248" t="n">
        <v>2</v>
      </c>
      <c r="E248" t="inlineStr">
        <is>
          <t>Graduate</t>
        </is>
      </c>
      <c r="F248" t="inlineStr">
        <is>
          <t>No</t>
        </is>
      </c>
      <c r="G248" t="n">
        <v>9703</v>
      </c>
      <c r="H248" t="n">
        <v>0</v>
      </c>
      <c r="I248" t="n">
        <v>112</v>
      </c>
      <c r="J248" t="n">
        <v>360</v>
      </c>
      <c r="K248" t="n">
        <v>1</v>
      </c>
      <c r="L248" t="inlineStr">
        <is>
          <t>Urban</t>
        </is>
      </c>
      <c r="M248" t="inlineStr">
        <is>
          <t>Y</t>
        </is>
      </c>
      <c r="N248" t="inlineStr">
        <is>
          <t>Lower Risk</t>
        </is>
      </c>
    </row>
    <row r="249">
      <c r="A249" t="inlineStr">
        <is>
          <t>LP001819</t>
        </is>
      </c>
      <c r="B249" t="inlineStr">
        <is>
          <t>Male</t>
        </is>
      </c>
      <c r="C249" t="inlineStr">
        <is>
          <t>Yes</t>
        </is>
      </c>
      <c r="D249" t="n">
        <v>1</v>
      </c>
      <c r="E249" t="inlineStr">
        <is>
          <t>Not Graduate</t>
        </is>
      </c>
      <c r="F249" t="inlineStr">
        <is>
          <t>No</t>
        </is>
      </c>
      <c r="G249" t="n">
        <v>6608</v>
      </c>
      <c r="H249" t="n">
        <v>0</v>
      </c>
      <c r="I249" t="n">
        <v>137</v>
      </c>
      <c r="J249" t="n">
        <v>180</v>
      </c>
      <c r="K249" t="n">
        <v>1</v>
      </c>
      <c r="L249" t="inlineStr">
        <is>
          <t>Urban</t>
        </is>
      </c>
      <c r="M249" t="inlineStr">
        <is>
          <t>Y</t>
        </is>
      </c>
      <c r="N249" t="inlineStr">
        <is>
          <t>Lower Risk</t>
        </is>
      </c>
    </row>
    <row r="250">
      <c r="A250" t="inlineStr">
        <is>
          <t>LP001824</t>
        </is>
      </c>
      <c r="B250" t="inlineStr">
        <is>
          <t>Male</t>
        </is>
      </c>
      <c r="C250" t="inlineStr">
        <is>
          <t>Yes</t>
        </is>
      </c>
      <c r="D250" t="n">
        <v>1</v>
      </c>
      <c r="E250" t="inlineStr">
        <is>
          <t>Graduate</t>
        </is>
      </c>
      <c r="F250" t="inlineStr">
        <is>
          <t>No</t>
        </is>
      </c>
      <c r="G250" t="n">
        <v>2882</v>
      </c>
      <c r="H250" t="n">
        <v>1843</v>
      </c>
      <c r="I250" t="n">
        <v>123</v>
      </c>
      <c r="J250" t="n">
        <v>480</v>
      </c>
      <c r="K250" t="n">
        <v>1</v>
      </c>
      <c r="L250" t="inlineStr">
        <is>
          <t>Semiurban</t>
        </is>
      </c>
      <c r="M250" t="inlineStr">
        <is>
          <t>Y</t>
        </is>
      </c>
      <c r="N250" t="inlineStr">
        <is>
          <t>Lower Risk</t>
        </is>
      </c>
    </row>
    <row r="251">
      <c r="A251" t="inlineStr">
        <is>
          <t>LP001825</t>
        </is>
      </c>
      <c r="B251" t="inlineStr">
        <is>
          <t>Male</t>
        </is>
      </c>
      <c r="C251" t="inlineStr">
        <is>
          <t>Yes</t>
        </is>
      </c>
      <c r="D251" t="n">
        <v>0</v>
      </c>
      <c r="E251" t="inlineStr">
        <is>
          <t>Graduate</t>
        </is>
      </c>
      <c r="F251" t="inlineStr">
        <is>
          <t>No</t>
        </is>
      </c>
      <c r="G251" t="n">
        <v>1809</v>
      </c>
      <c r="H251" t="n">
        <v>1868</v>
      </c>
      <c r="I251" t="n">
        <v>90</v>
      </c>
      <c r="J251" t="n">
        <v>360</v>
      </c>
      <c r="K251" t="n">
        <v>1</v>
      </c>
      <c r="L251" t="inlineStr">
        <is>
          <t>Urban</t>
        </is>
      </c>
      <c r="M251" t="inlineStr">
        <is>
          <t>Y</t>
        </is>
      </c>
      <c r="N251" t="inlineStr">
        <is>
          <t>Lower Risk</t>
        </is>
      </c>
    </row>
    <row r="252">
      <c r="A252" t="inlineStr">
        <is>
          <t>LP001835</t>
        </is>
      </c>
      <c r="B252" t="inlineStr">
        <is>
          <t>Male</t>
        </is>
      </c>
      <c r="C252" t="inlineStr">
        <is>
          <t>Yes</t>
        </is>
      </c>
      <c r="D252" t="n">
        <v>0</v>
      </c>
      <c r="E252" t="inlineStr">
        <is>
          <t>Not Graduate</t>
        </is>
      </c>
      <c r="F252" t="inlineStr">
        <is>
          <t>No</t>
        </is>
      </c>
      <c r="G252" t="n">
        <v>1668</v>
      </c>
      <c r="H252" t="n">
        <v>3890</v>
      </c>
      <c r="I252" t="n">
        <v>201</v>
      </c>
      <c r="J252" t="n">
        <v>360</v>
      </c>
      <c r="K252" t="n">
        <v>0</v>
      </c>
      <c r="L252" t="inlineStr">
        <is>
          <t>Semiurban</t>
        </is>
      </c>
      <c r="M252" t="inlineStr">
        <is>
          <t>N</t>
        </is>
      </c>
      <c r="N252" t="inlineStr">
        <is>
          <t>High Risk</t>
        </is>
      </c>
    </row>
    <row r="253">
      <c r="A253" t="inlineStr">
        <is>
          <t>LP001836</t>
        </is>
      </c>
      <c r="B253" t="inlineStr">
        <is>
          <t>Female</t>
        </is>
      </c>
      <c r="C253" t="inlineStr">
        <is>
          <t>No</t>
        </is>
      </c>
      <c r="D253" t="n">
        <v>2</v>
      </c>
      <c r="E253" t="inlineStr">
        <is>
          <t>Graduate</t>
        </is>
      </c>
      <c r="F253" t="inlineStr">
        <is>
          <t>No</t>
        </is>
      </c>
      <c r="G253" t="n">
        <v>3427</v>
      </c>
      <c r="H253" t="n">
        <v>0</v>
      </c>
      <c r="I253" t="n">
        <v>138</v>
      </c>
      <c r="J253" t="n">
        <v>360</v>
      </c>
      <c r="K253" t="n">
        <v>1</v>
      </c>
      <c r="L253" t="inlineStr">
        <is>
          <t>Urban</t>
        </is>
      </c>
      <c r="M253" t="inlineStr">
        <is>
          <t>N</t>
        </is>
      </c>
      <c r="N253" t="inlineStr">
        <is>
          <t>Medium Risk</t>
        </is>
      </c>
    </row>
    <row r="254">
      <c r="A254" t="inlineStr">
        <is>
          <t>LP001841</t>
        </is>
      </c>
      <c r="B254" t="inlineStr">
        <is>
          <t>Male</t>
        </is>
      </c>
      <c r="C254" t="inlineStr">
        <is>
          <t>No</t>
        </is>
      </c>
      <c r="D254" t="n">
        <v>0</v>
      </c>
      <c r="E254" t="inlineStr">
        <is>
          <t>Not Graduate</t>
        </is>
      </c>
      <c r="F254" t="inlineStr">
        <is>
          <t>Yes</t>
        </is>
      </c>
      <c r="G254" t="n">
        <v>2583</v>
      </c>
      <c r="H254" t="n">
        <v>2167</v>
      </c>
      <c r="I254" t="n">
        <v>104</v>
      </c>
      <c r="J254" t="n">
        <v>360</v>
      </c>
      <c r="K254" t="n">
        <v>1</v>
      </c>
      <c r="L254" t="inlineStr">
        <is>
          <t>Rural</t>
        </is>
      </c>
      <c r="M254" t="inlineStr">
        <is>
          <t>Y</t>
        </is>
      </c>
      <c r="N254" t="inlineStr">
        <is>
          <t>Lower Risk</t>
        </is>
      </c>
    </row>
    <row r="255">
      <c r="A255" t="inlineStr">
        <is>
          <t>LP001843</t>
        </is>
      </c>
      <c r="B255" t="inlineStr">
        <is>
          <t>Male</t>
        </is>
      </c>
      <c r="C255" t="inlineStr">
        <is>
          <t>Yes</t>
        </is>
      </c>
      <c r="D255" t="n">
        <v>1</v>
      </c>
      <c r="E255" t="inlineStr">
        <is>
          <t>Not Graduate</t>
        </is>
      </c>
      <c r="F255" t="inlineStr">
        <is>
          <t>No</t>
        </is>
      </c>
      <c r="G255" t="n">
        <v>2661</v>
      </c>
      <c r="H255" t="n">
        <v>7101</v>
      </c>
      <c r="I255" t="n">
        <v>279</v>
      </c>
      <c r="J255" t="n">
        <v>180</v>
      </c>
      <c r="K255" t="n">
        <v>1</v>
      </c>
      <c r="L255" t="inlineStr">
        <is>
          <t>Semiurban</t>
        </is>
      </c>
      <c r="M255" t="inlineStr">
        <is>
          <t>Y</t>
        </is>
      </c>
      <c r="N255" t="inlineStr">
        <is>
          <t>Lower Risk</t>
        </is>
      </c>
    </row>
    <row r="256">
      <c r="A256" t="inlineStr">
        <is>
          <t>LP001844</t>
        </is>
      </c>
      <c r="B256" t="inlineStr">
        <is>
          <t>Male</t>
        </is>
      </c>
      <c r="C256" t="inlineStr">
        <is>
          <t>No</t>
        </is>
      </c>
      <c r="D256" t="n">
        <v>0</v>
      </c>
      <c r="E256" t="inlineStr">
        <is>
          <t>Graduate</t>
        </is>
      </c>
      <c r="F256" t="inlineStr">
        <is>
          <t>Yes</t>
        </is>
      </c>
      <c r="G256" t="n">
        <v>16250</v>
      </c>
      <c r="H256" t="n">
        <v>0</v>
      </c>
      <c r="I256" t="n">
        <v>192</v>
      </c>
      <c r="J256" t="n">
        <v>360</v>
      </c>
      <c r="K256" t="n">
        <v>0</v>
      </c>
      <c r="L256" t="inlineStr">
        <is>
          <t>Urban</t>
        </is>
      </c>
      <c r="M256" t="inlineStr">
        <is>
          <t>N</t>
        </is>
      </c>
      <c r="N256" t="inlineStr">
        <is>
          <t>High Risk</t>
        </is>
      </c>
    </row>
    <row r="257">
      <c r="A257" t="inlineStr">
        <is>
          <t>LP001846</t>
        </is>
      </c>
      <c r="B257" t="inlineStr">
        <is>
          <t>Female</t>
        </is>
      </c>
      <c r="C257" t="inlineStr">
        <is>
          <t>No</t>
        </is>
      </c>
      <c r="D257" t="inlineStr">
        <is>
          <t>3+</t>
        </is>
      </c>
      <c r="E257" t="inlineStr">
        <is>
          <t>Graduate</t>
        </is>
      </c>
      <c r="F257" t="inlineStr">
        <is>
          <t>No</t>
        </is>
      </c>
      <c r="G257" t="n">
        <v>3083</v>
      </c>
      <c r="H257" t="n">
        <v>0</v>
      </c>
      <c r="I257" t="n">
        <v>255</v>
      </c>
      <c r="J257" t="n">
        <v>360</v>
      </c>
      <c r="K257" t="n">
        <v>1</v>
      </c>
      <c r="L257" t="inlineStr">
        <is>
          <t>Rural</t>
        </is>
      </c>
      <c r="M257" t="inlineStr">
        <is>
          <t>Y</t>
        </is>
      </c>
      <c r="N257" t="inlineStr">
        <is>
          <t>Lower Risk</t>
        </is>
      </c>
    </row>
    <row r="258">
      <c r="A258" t="inlineStr">
        <is>
          <t>LP001849</t>
        </is>
      </c>
      <c r="B258" t="inlineStr">
        <is>
          <t>Male</t>
        </is>
      </c>
      <c r="C258" t="inlineStr">
        <is>
          <t>No</t>
        </is>
      </c>
      <c r="D258" t="n">
        <v>0</v>
      </c>
      <c r="E258" t="inlineStr">
        <is>
          <t>Not Graduate</t>
        </is>
      </c>
      <c r="F258" t="inlineStr">
        <is>
          <t>No</t>
        </is>
      </c>
      <c r="G258" t="n">
        <v>6045</v>
      </c>
      <c r="H258" t="n">
        <v>0</v>
      </c>
      <c r="I258" t="n">
        <v>115</v>
      </c>
      <c r="J258" t="n">
        <v>360</v>
      </c>
      <c r="K258" t="n">
        <v>0</v>
      </c>
      <c r="L258" t="inlineStr">
        <is>
          <t>Rural</t>
        </is>
      </c>
      <c r="M258" t="inlineStr">
        <is>
          <t>N</t>
        </is>
      </c>
      <c r="N258" t="inlineStr">
        <is>
          <t>High Risk</t>
        </is>
      </c>
    </row>
    <row r="259">
      <c r="A259" t="inlineStr">
        <is>
          <t>LP001854</t>
        </is>
      </c>
      <c r="B259" t="inlineStr">
        <is>
          <t>Male</t>
        </is>
      </c>
      <c r="C259" t="inlineStr">
        <is>
          <t>Yes</t>
        </is>
      </c>
      <c r="D259" t="inlineStr">
        <is>
          <t>3+</t>
        </is>
      </c>
      <c r="E259" t="inlineStr">
        <is>
          <t>Graduate</t>
        </is>
      </c>
      <c r="F259" t="inlineStr">
        <is>
          <t>No</t>
        </is>
      </c>
      <c r="G259" t="n">
        <v>5250</v>
      </c>
      <c r="H259" t="n">
        <v>0</v>
      </c>
      <c r="I259" t="n">
        <v>94</v>
      </c>
      <c r="J259" t="n">
        <v>360</v>
      </c>
      <c r="K259" t="n">
        <v>1</v>
      </c>
      <c r="L259" t="inlineStr">
        <is>
          <t>Urban</t>
        </is>
      </c>
      <c r="M259" t="inlineStr">
        <is>
          <t>N</t>
        </is>
      </c>
      <c r="N259" t="inlineStr">
        <is>
          <t>Medium Risk</t>
        </is>
      </c>
    </row>
    <row r="260">
      <c r="A260" t="inlineStr">
        <is>
          <t>LP001859</t>
        </is>
      </c>
      <c r="B260" t="inlineStr">
        <is>
          <t>Male</t>
        </is>
      </c>
      <c r="C260" t="inlineStr">
        <is>
          <t>Yes</t>
        </is>
      </c>
      <c r="D260" t="n">
        <v>0</v>
      </c>
      <c r="E260" t="inlineStr">
        <is>
          <t>Graduate</t>
        </is>
      </c>
      <c r="F260" t="inlineStr">
        <is>
          <t>No</t>
        </is>
      </c>
      <c r="G260" t="n">
        <v>14683</v>
      </c>
      <c r="H260" t="n">
        <v>2100</v>
      </c>
      <c r="I260" t="n">
        <v>304</v>
      </c>
      <c r="J260" t="n">
        <v>360</v>
      </c>
      <c r="K260" t="n">
        <v>1</v>
      </c>
      <c r="L260" t="inlineStr">
        <is>
          <t>Rural</t>
        </is>
      </c>
      <c r="M260" t="inlineStr">
        <is>
          <t>N</t>
        </is>
      </c>
      <c r="N260" t="inlineStr">
        <is>
          <t>Medium Risk</t>
        </is>
      </c>
    </row>
    <row r="261">
      <c r="A261" t="inlineStr">
        <is>
          <t>LP001864</t>
        </is>
      </c>
      <c r="B261" t="inlineStr">
        <is>
          <t>Male</t>
        </is>
      </c>
      <c r="C261" t="inlineStr">
        <is>
          <t>Yes</t>
        </is>
      </c>
      <c r="D261" t="inlineStr">
        <is>
          <t>3+</t>
        </is>
      </c>
      <c r="E261" t="inlineStr">
        <is>
          <t>Not Graduate</t>
        </is>
      </c>
      <c r="F261" t="inlineStr">
        <is>
          <t>No</t>
        </is>
      </c>
      <c r="G261" t="n">
        <v>4931</v>
      </c>
      <c r="H261" t="n">
        <v>0</v>
      </c>
      <c r="I261" t="n">
        <v>128</v>
      </c>
      <c r="J261" t="n">
        <v>360</v>
      </c>
      <c r="K261" t="n">
        <v/>
      </c>
      <c r="L261" t="inlineStr">
        <is>
          <t>Semiurban</t>
        </is>
      </c>
      <c r="M261" t="inlineStr">
        <is>
          <t>N</t>
        </is>
      </c>
      <c r="N261" t="inlineStr">
        <is>
          <t>High Risk</t>
        </is>
      </c>
    </row>
    <row r="262">
      <c r="A262" t="inlineStr">
        <is>
          <t>LP001865</t>
        </is>
      </c>
      <c r="B262" t="inlineStr">
        <is>
          <t>Male</t>
        </is>
      </c>
      <c r="C262" t="inlineStr">
        <is>
          <t>Yes</t>
        </is>
      </c>
      <c r="D262" t="n">
        <v>1</v>
      </c>
      <c r="E262" t="inlineStr">
        <is>
          <t>Graduate</t>
        </is>
      </c>
      <c r="F262" t="inlineStr">
        <is>
          <t>No</t>
        </is>
      </c>
      <c r="G262" t="n">
        <v>6083</v>
      </c>
      <c r="H262" t="n">
        <v>4250</v>
      </c>
      <c r="I262" t="n">
        <v>330</v>
      </c>
      <c r="J262" t="n">
        <v>360</v>
      </c>
      <c r="K262" t="n">
        <v/>
      </c>
      <c r="L262" t="inlineStr">
        <is>
          <t>Urban</t>
        </is>
      </c>
      <c r="M262" t="inlineStr">
        <is>
          <t>Y</t>
        </is>
      </c>
      <c r="N262" t="inlineStr">
        <is>
          <t>Medium Risk</t>
        </is>
      </c>
    </row>
    <row r="263">
      <c r="A263" t="inlineStr">
        <is>
          <t>LP001868</t>
        </is>
      </c>
      <c r="B263" t="inlineStr">
        <is>
          <t>Male</t>
        </is>
      </c>
      <c r="C263" t="inlineStr">
        <is>
          <t>No</t>
        </is>
      </c>
      <c r="D263" t="n">
        <v>0</v>
      </c>
      <c r="E263" t="inlineStr">
        <is>
          <t>Graduate</t>
        </is>
      </c>
      <c r="F263" t="inlineStr">
        <is>
          <t>No</t>
        </is>
      </c>
      <c r="G263" t="n">
        <v>2060</v>
      </c>
      <c r="H263" t="n">
        <v>2209</v>
      </c>
      <c r="I263" t="n">
        <v>134</v>
      </c>
      <c r="J263" t="n">
        <v>360</v>
      </c>
      <c r="K263" t="n">
        <v>1</v>
      </c>
      <c r="L263" t="inlineStr">
        <is>
          <t>Semiurban</t>
        </is>
      </c>
      <c r="M263" t="inlineStr">
        <is>
          <t>Y</t>
        </is>
      </c>
      <c r="N263" t="inlineStr">
        <is>
          <t>Lower Risk</t>
        </is>
      </c>
    </row>
    <row r="264">
      <c r="A264" t="inlineStr">
        <is>
          <t>LP001870</t>
        </is>
      </c>
      <c r="B264" t="inlineStr">
        <is>
          <t>Female</t>
        </is>
      </c>
      <c r="C264" t="inlineStr">
        <is>
          <t>No</t>
        </is>
      </c>
      <c r="D264" t="n">
        <v>1</v>
      </c>
      <c r="E264" t="inlineStr">
        <is>
          <t>Graduate</t>
        </is>
      </c>
      <c r="F264" t="inlineStr">
        <is>
          <t>No</t>
        </is>
      </c>
      <c r="G264" t="n">
        <v>3481</v>
      </c>
      <c r="H264" t="n">
        <v>0</v>
      </c>
      <c r="I264" t="n">
        <v>155</v>
      </c>
      <c r="J264" t="n">
        <v>36</v>
      </c>
      <c r="K264" t="n">
        <v>1</v>
      </c>
      <c r="L264" t="inlineStr">
        <is>
          <t>Semiurban</t>
        </is>
      </c>
      <c r="M264" t="inlineStr">
        <is>
          <t>N</t>
        </is>
      </c>
      <c r="N264" t="inlineStr">
        <is>
          <t>Medium Risk</t>
        </is>
      </c>
    </row>
    <row r="265">
      <c r="A265" t="inlineStr">
        <is>
          <t>LP001871</t>
        </is>
      </c>
      <c r="B265" t="inlineStr">
        <is>
          <t>Female</t>
        </is>
      </c>
      <c r="C265" t="inlineStr">
        <is>
          <t>No</t>
        </is>
      </c>
      <c r="D265" t="n">
        <v>0</v>
      </c>
      <c r="E265" t="inlineStr">
        <is>
          <t>Graduate</t>
        </is>
      </c>
      <c r="F265" t="inlineStr">
        <is>
          <t>No</t>
        </is>
      </c>
      <c r="G265" t="n">
        <v>7200</v>
      </c>
      <c r="H265" t="n">
        <v>0</v>
      </c>
      <c r="I265" t="n">
        <v>120</v>
      </c>
      <c r="J265" t="n">
        <v>360</v>
      </c>
      <c r="K265" t="n">
        <v>1</v>
      </c>
      <c r="L265" t="inlineStr">
        <is>
          <t>Rural</t>
        </is>
      </c>
      <c r="M265" t="inlineStr">
        <is>
          <t>Y</t>
        </is>
      </c>
      <c r="N265" t="inlineStr">
        <is>
          <t>Lower Risk</t>
        </is>
      </c>
    </row>
    <row r="266">
      <c r="A266" t="inlineStr">
        <is>
          <t>LP001872</t>
        </is>
      </c>
      <c r="B266" t="inlineStr">
        <is>
          <t>Male</t>
        </is>
      </c>
      <c r="C266" t="inlineStr">
        <is>
          <t>No</t>
        </is>
      </c>
      <c r="D266" t="n">
        <v>0</v>
      </c>
      <c r="E266" t="inlineStr">
        <is>
          <t>Graduate</t>
        </is>
      </c>
      <c r="F266" t="inlineStr">
        <is>
          <t>Yes</t>
        </is>
      </c>
      <c r="G266" t="n">
        <v>5166</v>
      </c>
      <c r="H266" t="n">
        <v>0</v>
      </c>
      <c r="I266" t="n">
        <v>128</v>
      </c>
      <c r="J266" t="n">
        <v>360</v>
      </c>
      <c r="K266" t="n">
        <v>1</v>
      </c>
      <c r="L266" t="inlineStr">
        <is>
          <t>Semiurban</t>
        </is>
      </c>
      <c r="M266" t="inlineStr">
        <is>
          <t>Y</t>
        </is>
      </c>
      <c r="N266" t="inlineStr">
        <is>
          <t>Lower Risk</t>
        </is>
      </c>
    </row>
    <row r="267">
      <c r="A267" t="inlineStr">
        <is>
          <t>LP001875</t>
        </is>
      </c>
      <c r="B267" t="inlineStr">
        <is>
          <t>Male</t>
        </is>
      </c>
      <c r="C267" t="inlineStr">
        <is>
          <t>No</t>
        </is>
      </c>
      <c r="D267" t="n">
        <v>0</v>
      </c>
      <c r="E267" t="inlineStr">
        <is>
          <t>Graduate</t>
        </is>
      </c>
      <c r="F267" t="inlineStr">
        <is>
          <t>No</t>
        </is>
      </c>
      <c r="G267" t="n">
        <v>4095</v>
      </c>
      <c r="H267" t="n">
        <v>3447</v>
      </c>
      <c r="I267" t="n">
        <v>151</v>
      </c>
      <c r="J267" t="n">
        <v>360</v>
      </c>
      <c r="K267" t="n">
        <v>1</v>
      </c>
      <c r="L267" t="inlineStr">
        <is>
          <t>Rural</t>
        </is>
      </c>
      <c r="M267" t="inlineStr">
        <is>
          <t>Y</t>
        </is>
      </c>
      <c r="N267" t="inlineStr">
        <is>
          <t>Lower Risk</t>
        </is>
      </c>
    </row>
    <row r="268">
      <c r="A268" t="inlineStr">
        <is>
          <t>LP001877</t>
        </is>
      </c>
      <c r="B268" t="inlineStr">
        <is>
          <t>Male</t>
        </is>
      </c>
      <c r="C268" t="inlineStr">
        <is>
          <t>Yes</t>
        </is>
      </c>
      <c r="D268" t="n">
        <v>2</v>
      </c>
      <c r="E268" t="inlineStr">
        <is>
          <t>Graduate</t>
        </is>
      </c>
      <c r="F268" t="inlineStr">
        <is>
          <t>No</t>
        </is>
      </c>
      <c r="G268" t="n">
        <v>4708</v>
      </c>
      <c r="H268" t="n">
        <v>1387</v>
      </c>
      <c r="I268" t="n">
        <v>150</v>
      </c>
      <c r="J268" t="n">
        <v>360</v>
      </c>
      <c r="K268" t="n">
        <v>1</v>
      </c>
      <c r="L268" t="inlineStr">
        <is>
          <t>Semiurban</t>
        </is>
      </c>
      <c r="M268" t="inlineStr">
        <is>
          <t>Y</t>
        </is>
      </c>
      <c r="N268" t="inlineStr">
        <is>
          <t>Lower Risk</t>
        </is>
      </c>
    </row>
    <row r="269">
      <c r="A269" t="inlineStr">
        <is>
          <t>LP001882</t>
        </is>
      </c>
      <c r="B269" t="inlineStr">
        <is>
          <t>Male</t>
        </is>
      </c>
      <c r="C269" t="inlineStr">
        <is>
          <t>Yes</t>
        </is>
      </c>
      <c r="D269" t="inlineStr">
        <is>
          <t>3+</t>
        </is>
      </c>
      <c r="E269" t="inlineStr">
        <is>
          <t>Graduate</t>
        </is>
      </c>
      <c r="F269" t="inlineStr">
        <is>
          <t>No</t>
        </is>
      </c>
      <c r="G269" t="n">
        <v>4333</v>
      </c>
      <c r="H269" t="n">
        <v>1811</v>
      </c>
      <c r="I269" t="n">
        <v>160</v>
      </c>
      <c r="J269" t="n">
        <v>360</v>
      </c>
      <c r="K269" t="n">
        <v>0</v>
      </c>
      <c r="L269" t="inlineStr">
        <is>
          <t>Urban</t>
        </is>
      </c>
      <c r="M269" t="inlineStr">
        <is>
          <t>Y</t>
        </is>
      </c>
      <c r="N269" t="inlineStr">
        <is>
          <t>Medium Risk</t>
        </is>
      </c>
    </row>
    <row r="270">
      <c r="A270" t="inlineStr">
        <is>
          <t>LP001883</t>
        </is>
      </c>
      <c r="B270" t="inlineStr">
        <is>
          <t>Female</t>
        </is>
      </c>
      <c r="C270" t="inlineStr">
        <is>
          <t>No</t>
        </is>
      </c>
      <c r="D270" t="n">
        <v>0</v>
      </c>
      <c r="E270" t="inlineStr">
        <is>
          <t>Graduate</t>
        </is>
      </c>
      <c r="F270" t="n">
        <v/>
      </c>
      <c r="G270" t="n">
        <v>3418</v>
      </c>
      <c r="H270" t="n">
        <v>0</v>
      </c>
      <c r="I270" t="n">
        <v>135</v>
      </c>
      <c r="J270" t="n">
        <v>360</v>
      </c>
      <c r="K270" t="n">
        <v>1</v>
      </c>
      <c r="L270" t="inlineStr">
        <is>
          <t>Rural</t>
        </is>
      </c>
      <c r="M270" t="inlineStr">
        <is>
          <t>N</t>
        </is>
      </c>
      <c r="N270" t="inlineStr">
        <is>
          <t>Medium Risk</t>
        </is>
      </c>
    </row>
    <row r="271">
      <c r="A271" t="inlineStr">
        <is>
          <t>LP001884</t>
        </is>
      </c>
      <c r="B271" t="inlineStr">
        <is>
          <t>Female</t>
        </is>
      </c>
      <c r="C271" t="inlineStr">
        <is>
          <t>No</t>
        </is>
      </c>
      <c r="D271" t="n">
        <v>1</v>
      </c>
      <c r="E271" t="inlineStr">
        <is>
          <t>Graduate</t>
        </is>
      </c>
      <c r="F271" t="inlineStr">
        <is>
          <t>No</t>
        </is>
      </c>
      <c r="G271" t="n">
        <v>2876</v>
      </c>
      <c r="H271" t="n">
        <v>1560</v>
      </c>
      <c r="I271" t="n">
        <v>90</v>
      </c>
      <c r="J271" t="n">
        <v>360</v>
      </c>
      <c r="K271" t="n">
        <v>1</v>
      </c>
      <c r="L271" t="inlineStr">
        <is>
          <t>Urban</t>
        </is>
      </c>
      <c r="M271" t="inlineStr">
        <is>
          <t>Y</t>
        </is>
      </c>
      <c r="N271" t="inlineStr">
        <is>
          <t>Lower Risk</t>
        </is>
      </c>
    </row>
    <row r="272">
      <c r="A272" t="inlineStr">
        <is>
          <t>LP001888</t>
        </is>
      </c>
      <c r="B272" t="inlineStr">
        <is>
          <t>Female</t>
        </is>
      </c>
      <c r="C272" t="inlineStr">
        <is>
          <t>No</t>
        </is>
      </c>
      <c r="D272" t="n">
        <v>0</v>
      </c>
      <c r="E272" t="inlineStr">
        <is>
          <t>Graduate</t>
        </is>
      </c>
      <c r="F272" t="inlineStr">
        <is>
          <t>No</t>
        </is>
      </c>
      <c r="G272" t="n">
        <v>3237</v>
      </c>
      <c r="H272" t="n">
        <v>0</v>
      </c>
      <c r="I272" t="n">
        <v>30</v>
      </c>
      <c r="J272" t="n">
        <v>360</v>
      </c>
      <c r="K272" t="n">
        <v>1</v>
      </c>
      <c r="L272" t="inlineStr">
        <is>
          <t>Urban</t>
        </is>
      </c>
      <c r="M272" t="inlineStr">
        <is>
          <t>Y</t>
        </is>
      </c>
      <c r="N272" t="inlineStr">
        <is>
          <t>Lower Risk</t>
        </is>
      </c>
    </row>
    <row r="273">
      <c r="A273" t="inlineStr">
        <is>
          <t>LP001891</t>
        </is>
      </c>
      <c r="B273" t="inlineStr">
        <is>
          <t>Male</t>
        </is>
      </c>
      <c r="C273" t="inlineStr">
        <is>
          <t>Yes</t>
        </is>
      </c>
      <c r="D273" t="n">
        <v>0</v>
      </c>
      <c r="E273" t="inlineStr">
        <is>
          <t>Graduate</t>
        </is>
      </c>
      <c r="F273" t="inlineStr">
        <is>
          <t>No</t>
        </is>
      </c>
      <c r="G273" t="n">
        <v>11146</v>
      </c>
      <c r="H273" t="n">
        <v>0</v>
      </c>
      <c r="I273" t="n">
        <v>136</v>
      </c>
      <c r="J273" t="n">
        <v>360</v>
      </c>
      <c r="K273" t="n">
        <v>1</v>
      </c>
      <c r="L273" t="inlineStr">
        <is>
          <t>Urban</t>
        </is>
      </c>
      <c r="M273" t="inlineStr">
        <is>
          <t>Y</t>
        </is>
      </c>
      <c r="N273" t="inlineStr">
        <is>
          <t>Lower Risk</t>
        </is>
      </c>
    </row>
    <row r="274">
      <c r="A274" t="inlineStr">
        <is>
          <t>LP001892</t>
        </is>
      </c>
      <c r="B274" t="inlineStr">
        <is>
          <t>Male</t>
        </is>
      </c>
      <c r="C274" t="inlineStr">
        <is>
          <t>No</t>
        </is>
      </c>
      <c r="D274" t="n">
        <v>0</v>
      </c>
      <c r="E274" t="inlineStr">
        <is>
          <t>Graduate</t>
        </is>
      </c>
      <c r="F274" t="inlineStr">
        <is>
          <t>No</t>
        </is>
      </c>
      <c r="G274" t="n">
        <v>2833</v>
      </c>
      <c r="H274" t="n">
        <v>1857</v>
      </c>
      <c r="I274" t="n">
        <v>126</v>
      </c>
      <c r="J274" t="n">
        <v>360</v>
      </c>
      <c r="K274" t="n">
        <v>1</v>
      </c>
      <c r="L274" t="inlineStr">
        <is>
          <t>Rural</t>
        </is>
      </c>
      <c r="M274" t="inlineStr">
        <is>
          <t>Y</t>
        </is>
      </c>
      <c r="N274" t="inlineStr">
        <is>
          <t>Lower Risk</t>
        </is>
      </c>
    </row>
    <row r="275">
      <c r="A275" t="inlineStr">
        <is>
          <t>LP001894</t>
        </is>
      </c>
      <c r="B275" t="inlineStr">
        <is>
          <t>Male</t>
        </is>
      </c>
      <c r="C275" t="inlineStr">
        <is>
          <t>Yes</t>
        </is>
      </c>
      <c r="D275" t="n">
        <v>0</v>
      </c>
      <c r="E275" t="inlineStr">
        <is>
          <t>Graduate</t>
        </is>
      </c>
      <c r="F275" t="inlineStr">
        <is>
          <t>No</t>
        </is>
      </c>
      <c r="G275" t="n">
        <v>2620</v>
      </c>
      <c r="H275" t="n">
        <v>2223</v>
      </c>
      <c r="I275" t="n">
        <v>150</v>
      </c>
      <c r="J275" t="n">
        <v>360</v>
      </c>
      <c r="K275" t="n">
        <v>1</v>
      </c>
      <c r="L275" t="inlineStr">
        <is>
          <t>Semiurban</t>
        </is>
      </c>
      <c r="M275" t="inlineStr">
        <is>
          <t>Y</t>
        </is>
      </c>
      <c r="N275" t="inlineStr">
        <is>
          <t>Lower Risk</t>
        </is>
      </c>
    </row>
    <row r="276">
      <c r="A276" t="inlineStr">
        <is>
          <t>LP001896</t>
        </is>
      </c>
      <c r="B276" t="inlineStr">
        <is>
          <t>Male</t>
        </is>
      </c>
      <c r="C276" t="inlineStr">
        <is>
          <t>Yes</t>
        </is>
      </c>
      <c r="D276" t="n">
        <v>2</v>
      </c>
      <c r="E276" t="inlineStr">
        <is>
          <t>Graduate</t>
        </is>
      </c>
      <c r="F276" t="inlineStr">
        <is>
          <t>No</t>
        </is>
      </c>
      <c r="G276" t="n">
        <v>3900</v>
      </c>
      <c r="H276" t="n">
        <v>0</v>
      </c>
      <c r="I276" t="n">
        <v>90</v>
      </c>
      <c r="J276" t="n">
        <v>360</v>
      </c>
      <c r="K276" t="n">
        <v>1</v>
      </c>
      <c r="L276" t="inlineStr">
        <is>
          <t>Semiurban</t>
        </is>
      </c>
      <c r="M276" t="inlineStr">
        <is>
          <t>Y</t>
        </is>
      </c>
      <c r="N276" t="inlineStr">
        <is>
          <t>Lower Risk</t>
        </is>
      </c>
    </row>
    <row r="277">
      <c r="A277" t="inlineStr">
        <is>
          <t>LP001900</t>
        </is>
      </c>
      <c r="B277" t="inlineStr">
        <is>
          <t>Male</t>
        </is>
      </c>
      <c r="C277" t="inlineStr">
        <is>
          <t>Yes</t>
        </is>
      </c>
      <c r="D277" t="n">
        <v>1</v>
      </c>
      <c r="E277" t="inlineStr">
        <is>
          <t>Graduate</t>
        </is>
      </c>
      <c r="F277" t="inlineStr">
        <is>
          <t>No</t>
        </is>
      </c>
      <c r="G277" t="n">
        <v>2750</v>
      </c>
      <c r="H277" t="n">
        <v>1842</v>
      </c>
      <c r="I277" t="n">
        <v>115</v>
      </c>
      <c r="J277" t="n">
        <v>360</v>
      </c>
      <c r="K277" t="n">
        <v>1</v>
      </c>
      <c r="L277" t="inlineStr">
        <is>
          <t>Semiurban</t>
        </is>
      </c>
      <c r="M277" t="inlineStr">
        <is>
          <t>Y</t>
        </is>
      </c>
      <c r="N277" t="inlineStr">
        <is>
          <t>Lower Risk</t>
        </is>
      </c>
    </row>
    <row r="278">
      <c r="A278" t="inlineStr">
        <is>
          <t>LP001903</t>
        </is>
      </c>
      <c r="B278" t="inlineStr">
        <is>
          <t>Male</t>
        </is>
      </c>
      <c r="C278" t="inlineStr">
        <is>
          <t>Yes</t>
        </is>
      </c>
      <c r="D278" t="n">
        <v>0</v>
      </c>
      <c r="E278" t="inlineStr">
        <is>
          <t>Graduate</t>
        </is>
      </c>
      <c r="F278" t="inlineStr">
        <is>
          <t>No</t>
        </is>
      </c>
      <c r="G278" t="n">
        <v>3993</v>
      </c>
      <c r="H278" t="n">
        <v>3274</v>
      </c>
      <c r="I278" t="n">
        <v>207</v>
      </c>
      <c r="J278" t="n">
        <v>360</v>
      </c>
      <c r="K278" t="n">
        <v>1</v>
      </c>
      <c r="L278" t="inlineStr">
        <is>
          <t>Semiurban</t>
        </is>
      </c>
      <c r="M278" t="inlineStr">
        <is>
          <t>Y</t>
        </is>
      </c>
      <c r="N278" t="inlineStr">
        <is>
          <t>Lower Risk</t>
        </is>
      </c>
    </row>
    <row r="279">
      <c r="A279" t="inlineStr">
        <is>
          <t>LP001904</t>
        </is>
      </c>
      <c r="B279" t="inlineStr">
        <is>
          <t>Male</t>
        </is>
      </c>
      <c r="C279" t="inlineStr">
        <is>
          <t>Yes</t>
        </is>
      </c>
      <c r="D279" t="n">
        <v>0</v>
      </c>
      <c r="E279" t="inlineStr">
        <is>
          <t>Graduate</t>
        </is>
      </c>
      <c r="F279" t="inlineStr">
        <is>
          <t>No</t>
        </is>
      </c>
      <c r="G279" t="n">
        <v>3103</v>
      </c>
      <c r="H279" t="n">
        <v>1300</v>
      </c>
      <c r="I279" t="n">
        <v>80</v>
      </c>
      <c r="J279" t="n">
        <v>360</v>
      </c>
      <c r="K279" t="n">
        <v>1</v>
      </c>
      <c r="L279" t="inlineStr">
        <is>
          <t>Urban</t>
        </is>
      </c>
      <c r="M279" t="inlineStr">
        <is>
          <t>Y</t>
        </is>
      </c>
      <c r="N279" t="inlineStr">
        <is>
          <t>Lower Risk</t>
        </is>
      </c>
    </row>
    <row r="280">
      <c r="A280" t="inlineStr">
        <is>
          <t>LP001907</t>
        </is>
      </c>
      <c r="B280" t="inlineStr">
        <is>
          <t>Male</t>
        </is>
      </c>
      <c r="C280" t="inlineStr">
        <is>
          <t>Yes</t>
        </is>
      </c>
      <c r="D280" t="n">
        <v>0</v>
      </c>
      <c r="E280" t="inlineStr">
        <is>
          <t>Graduate</t>
        </is>
      </c>
      <c r="F280" t="inlineStr">
        <is>
          <t>No</t>
        </is>
      </c>
      <c r="G280" t="n">
        <v>14583</v>
      </c>
      <c r="H280" t="n">
        <v>0</v>
      </c>
      <c r="I280" t="n">
        <v>436</v>
      </c>
      <c r="J280" t="n">
        <v>360</v>
      </c>
      <c r="K280" t="n">
        <v>1</v>
      </c>
      <c r="L280" t="inlineStr">
        <is>
          <t>Semiurban</t>
        </is>
      </c>
      <c r="M280" t="inlineStr">
        <is>
          <t>Y</t>
        </is>
      </c>
      <c r="N280" t="inlineStr">
        <is>
          <t>Lower Risk</t>
        </is>
      </c>
    </row>
    <row r="281">
      <c r="A281" t="inlineStr">
        <is>
          <t>LP001908</t>
        </is>
      </c>
      <c r="B281" t="inlineStr">
        <is>
          <t>Female</t>
        </is>
      </c>
      <c r="C281" t="inlineStr">
        <is>
          <t>Yes</t>
        </is>
      </c>
      <c r="D281" t="n">
        <v>0</v>
      </c>
      <c r="E281" t="inlineStr">
        <is>
          <t>Not Graduate</t>
        </is>
      </c>
      <c r="F281" t="inlineStr">
        <is>
          <t>No</t>
        </is>
      </c>
      <c r="G281" t="n">
        <v>4100</v>
      </c>
      <c r="H281" t="n">
        <v>0</v>
      </c>
      <c r="I281" t="n">
        <v>124</v>
      </c>
      <c r="J281" t="n">
        <v>360</v>
      </c>
      <c r="K281" t="n">
        <v/>
      </c>
      <c r="L281" t="inlineStr">
        <is>
          <t>Rural</t>
        </is>
      </c>
      <c r="M281" t="inlineStr">
        <is>
          <t>Y</t>
        </is>
      </c>
      <c r="N281" t="inlineStr">
        <is>
          <t>Medium Risk</t>
        </is>
      </c>
    </row>
    <row r="282">
      <c r="A282" t="inlineStr">
        <is>
          <t>LP001910</t>
        </is>
      </c>
      <c r="B282" t="inlineStr">
        <is>
          <t>Male</t>
        </is>
      </c>
      <c r="C282" t="inlineStr">
        <is>
          <t>No</t>
        </is>
      </c>
      <c r="D282" t="n">
        <v>1</v>
      </c>
      <c r="E282" t="inlineStr">
        <is>
          <t>Not Graduate</t>
        </is>
      </c>
      <c r="F282" t="inlineStr">
        <is>
          <t>Yes</t>
        </is>
      </c>
      <c r="G282" t="n">
        <v>4053</v>
      </c>
      <c r="H282" t="n">
        <v>2426</v>
      </c>
      <c r="I282" t="n">
        <v>158</v>
      </c>
      <c r="J282" t="n">
        <v>360</v>
      </c>
      <c r="K282" t="n">
        <v>0</v>
      </c>
      <c r="L282" t="inlineStr">
        <is>
          <t>Urban</t>
        </is>
      </c>
      <c r="M282" t="inlineStr">
        <is>
          <t>N</t>
        </is>
      </c>
      <c r="N282" t="inlineStr">
        <is>
          <t>High Risk</t>
        </is>
      </c>
    </row>
    <row r="283">
      <c r="A283" t="inlineStr">
        <is>
          <t>LP001914</t>
        </is>
      </c>
      <c r="B283" t="inlineStr">
        <is>
          <t>Male</t>
        </is>
      </c>
      <c r="C283" t="inlineStr">
        <is>
          <t>Yes</t>
        </is>
      </c>
      <c r="D283" t="n">
        <v>0</v>
      </c>
      <c r="E283" t="inlineStr">
        <is>
          <t>Graduate</t>
        </is>
      </c>
      <c r="F283" t="inlineStr">
        <is>
          <t>No</t>
        </is>
      </c>
      <c r="G283" t="n">
        <v>3927</v>
      </c>
      <c r="H283" t="n">
        <v>800</v>
      </c>
      <c r="I283" t="n">
        <v>112</v>
      </c>
      <c r="J283" t="n">
        <v>360</v>
      </c>
      <c r="K283" t="n">
        <v>1</v>
      </c>
      <c r="L283" t="inlineStr">
        <is>
          <t>Semiurban</t>
        </is>
      </c>
      <c r="M283" t="inlineStr">
        <is>
          <t>Y</t>
        </is>
      </c>
      <c r="N283" t="inlineStr">
        <is>
          <t>Lower Risk</t>
        </is>
      </c>
    </row>
    <row r="284">
      <c r="A284" t="inlineStr">
        <is>
          <t>LP001915</t>
        </is>
      </c>
      <c r="B284" t="inlineStr">
        <is>
          <t>Male</t>
        </is>
      </c>
      <c r="C284" t="inlineStr">
        <is>
          <t>Yes</t>
        </is>
      </c>
      <c r="D284" t="n">
        <v>2</v>
      </c>
      <c r="E284" t="inlineStr">
        <is>
          <t>Graduate</t>
        </is>
      </c>
      <c r="F284" t="inlineStr">
        <is>
          <t>No</t>
        </is>
      </c>
      <c r="G284" t="n">
        <v>2301</v>
      </c>
      <c r="H284" t="n">
        <v>985.7999878000001</v>
      </c>
      <c r="I284" t="n">
        <v>78</v>
      </c>
      <c r="J284" t="n">
        <v>180</v>
      </c>
      <c r="K284" t="n">
        <v>1</v>
      </c>
      <c r="L284" t="inlineStr">
        <is>
          <t>Urban</t>
        </is>
      </c>
      <c r="M284" t="inlineStr">
        <is>
          <t>Y</t>
        </is>
      </c>
      <c r="N284" t="inlineStr">
        <is>
          <t>Lower Risk</t>
        </is>
      </c>
    </row>
    <row r="285">
      <c r="A285" t="inlineStr">
        <is>
          <t>LP001917</t>
        </is>
      </c>
      <c r="B285" t="inlineStr">
        <is>
          <t>Female</t>
        </is>
      </c>
      <c r="C285" t="inlineStr">
        <is>
          <t>No</t>
        </is>
      </c>
      <c r="D285" t="n">
        <v>0</v>
      </c>
      <c r="E285" t="inlineStr">
        <is>
          <t>Graduate</t>
        </is>
      </c>
      <c r="F285" t="inlineStr">
        <is>
          <t>No</t>
        </is>
      </c>
      <c r="G285" t="n">
        <v>1811</v>
      </c>
      <c r="H285" t="n">
        <v>1666</v>
      </c>
      <c r="I285" t="n">
        <v>54</v>
      </c>
      <c r="J285" t="n">
        <v>360</v>
      </c>
      <c r="K285" t="n">
        <v>1</v>
      </c>
      <c r="L285" t="inlineStr">
        <is>
          <t>Urban</t>
        </is>
      </c>
      <c r="M285" t="inlineStr">
        <is>
          <t>Y</t>
        </is>
      </c>
      <c r="N285" t="inlineStr">
        <is>
          <t>Lower Risk</t>
        </is>
      </c>
    </row>
    <row r="286">
      <c r="A286" t="inlineStr">
        <is>
          <t>LP001922</t>
        </is>
      </c>
      <c r="B286" t="inlineStr">
        <is>
          <t>Male</t>
        </is>
      </c>
      <c r="C286" t="inlineStr">
        <is>
          <t>Yes</t>
        </is>
      </c>
      <c r="D286" t="n">
        <v>0</v>
      </c>
      <c r="E286" t="inlineStr">
        <is>
          <t>Graduate</t>
        </is>
      </c>
      <c r="F286" t="inlineStr">
        <is>
          <t>No</t>
        </is>
      </c>
      <c r="G286" t="n">
        <v>20667</v>
      </c>
      <c r="H286" t="n">
        <v>0</v>
      </c>
      <c r="I286" t="n">
        <v/>
      </c>
      <c r="J286" t="n">
        <v>360</v>
      </c>
      <c r="K286" t="n">
        <v>1</v>
      </c>
      <c r="L286" t="inlineStr">
        <is>
          <t>Rural</t>
        </is>
      </c>
      <c r="M286" t="inlineStr">
        <is>
          <t>N</t>
        </is>
      </c>
      <c r="N286" t="inlineStr">
        <is>
          <t>Medium Risk</t>
        </is>
      </c>
    </row>
    <row r="287">
      <c r="A287" t="inlineStr">
        <is>
          <t>LP001924</t>
        </is>
      </c>
      <c r="B287" t="inlineStr">
        <is>
          <t>Male</t>
        </is>
      </c>
      <c r="C287" t="inlineStr">
        <is>
          <t>No</t>
        </is>
      </c>
      <c r="D287" t="n">
        <v>0</v>
      </c>
      <c r="E287" t="inlineStr">
        <is>
          <t>Graduate</t>
        </is>
      </c>
      <c r="F287" t="inlineStr">
        <is>
          <t>No</t>
        </is>
      </c>
      <c r="G287" t="n">
        <v>3158</v>
      </c>
      <c r="H287" t="n">
        <v>3053</v>
      </c>
      <c r="I287" t="n">
        <v>89</v>
      </c>
      <c r="J287" t="n">
        <v>360</v>
      </c>
      <c r="K287" t="n">
        <v>1</v>
      </c>
      <c r="L287" t="inlineStr">
        <is>
          <t>Rural</t>
        </is>
      </c>
      <c r="M287" t="inlineStr">
        <is>
          <t>Y</t>
        </is>
      </c>
      <c r="N287" t="inlineStr">
        <is>
          <t>Lower Risk</t>
        </is>
      </c>
    </row>
    <row r="288">
      <c r="A288" t="inlineStr">
        <is>
          <t>LP001925</t>
        </is>
      </c>
      <c r="B288" t="inlineStr">
        <is>
          <t>Female</t>
        </is>
      </c>
      <c r="C288" t="inlineStr">
        <is>
          <t>No</t>
        </is>
      </c>
      <c r="D288" t="n">
        <v>0</v>
      </c>
      <c r="E288" t="inlineStr">
        <is>
          <t>Graduate</t>
        </is>
      </c>
      <c r="F288" t="inlineStr">
        <is>
          <t>Yes</t>
        </is>
      </c>
      <c r="G288" t="n">
        <v>2600</v>
      </c>
      <c r="H288" t="n">
        <v>1717</v>
      </c>
      <c r="I288" t="n">
        <v>99</v>
      </c>
      <c r="J288" t="n">
        <v>300</v>
      </c>
      <c r="K288" t="n">
        <v>1</v>
      </c>
      <c r="L288" t="inlineStr">
        <is>
          <t>Semiurban</t>
        </is>
      </c>
      <c r="M288" t="inlineStr">
        <is>
          <t>N</t>
        </is>
      </c>
      <c r="N288" t="inlineStr">
        <is>
          <t>Medium Risk</t>
        </is>
      </c>
    </row>
    <row r="289">
      <c r="A289" t="inlineStr">
        <is>
          <t>LP001926</t>
        </is>
      </c>
      <c r="B289" t="inlineStr">
        <is>
          <t>Male</t>
        </is>
      </c>
      <c r="C289" t="inlineStr">
        <is>
          <t>Yes</t>
        </is>
      </c>
      <c r="D289" t="n">
        <v>0</v>
      </c>
      <c r="E289" t="inlineStr">
        <is>
          <t>Graduate</t>
        </is>
      </c>
      <c r="F289" t="inlineStr">
        <is>
          <t>No</t>
        </is>
      </c>
      <c r="G289" t="n">
        <v>3704</v>
      </c>
      <c r="H289" t="n">
        <v>2000</v>
      </c>
      <c r="I289" t="n">
        <v>120</v>
      </c>
      <c r="J289" t="n">
        <v>360</v>
      </c>
      <c r="K289" t="n">
        <v>1</v>
      </c>
      <c r="L289" t="inlineStr">
        <is>
          <t>Rural</t>
        </is>
      </c>
      <c r="M289" t="inlineStr">
        <is>
          <t>Y</t>
        </is>
      </c>
      <c r="N289" t="inlineStr">
        <is>
          <t>Lower Risk</t>
        </is>
      </c>
    </row>
    <row r="290">
      <c r="A290" t="inlineStr">
        <is>
          <t>LP001931</t>
        </is>
      </c>
      <c r="B290" t="inlineStr">
        <is>
          <t>Female</t>
        </is>
      </c>
      <c r="C290" t="inlineStr">
        <is>
          <t>No</t>
        </is>
      </c>
      <c r="D290" t="n">
        <v>0</v>
      </c>
      <c r="E290" t="inlineStr">
        <is>
          <t>Graduate</t>
        </is>
      </c>
      <c r="F290" t="inlineStr">
        <is>
          <t>No</t>
        </is>
      </c>
      <c r="G290" t="n">
        <v>4124</v>
      </c>
      <c r="H290" t="n">
        <v>0</v>
      </c>
      <c r="I290" t="n">
        <v>115</v>
      </c>
      <c r="J290" t="n">
        <v>360</v>
      </c>
      <c r="K290" t="n">
        <v>1</v>
      </c>
      <c r="L290" t="inlineStr">
        <is>
          <t>Semiurban</t>
        </is>
      </c>
      <c r="M290" t="inlineStr">
        <is>
          <t>Y</t>
        </is>
      </c>
      <c r="N290" t="inlineStr">
        <is>
          <t>Lower Risk</t>
        </is>
      </c>
    </row>
    <row r="291">
      <c r="A291" t="inlineStr">
        <is>
          <t>LP001935</t>
        </is>
      </c>
      <c r="B291" t="inlineStr">
        <is>
          <t>Male</t>
        </is>
      </c>
      <c r="C291" t="inlineStr">
        <is>
          <t>No</t>
        </is>
      </c>
      <c r="D291" t="n">
        <v>0</v>
      </c>
      <c r="E291" t="inlineStr">
        <is>
          <t>Graduate</t>
        </is>
      </c>
      <c r="F291" t="inlineStr">
        <is>
          <t>No</t>
        </is>
      </c>
      <c r="G291" t="n">
        <v>9508</v>
      </c>
      <c r="H291" t="n">
        <v>0</v>
      </c>
      <c r="I291" t="n">
        <v>187</v>
      </c>
      <c r="J291" t="n">
        <v>360</v>
      </c>
      <c r="K291" t="n">
        <v>1</v>
      </c>
      <c r="L291" t="inlineStr">
        <is>
          <t>Rural</t>
        </is>
      </c>
      <c r="M291" t="inlineStr">
        <is>
          <t>Y</t>
        </is>
      </c>
      <c r="N291" t="inlineStr">
        <is>
          <t>Lower Risk</t>
        </is>
      </c>
    </row>
    <row r="292">
      <c r="A292" t="inlineStr">
        <is>
          <t>LP001936</t>
        </is>
      </c>
      <c r="B292" t="inlineStr">
        <is>
          <t>Male</t>
        </is>
      </c>
      <c r="C292" t="inlineStr">
        <is>
          <t>Yes</t>
        </is>
      </c>
      <c r="D292" t="n">
        <v>0</v>
      </c>
      <c r="E292" t="inlineStr">
        <is>
          <t>Graduate</t>
        </is>
      </c>
      <c r="F292" t="inlineStr">
        <is>
          <t>No</t>
        </is>
      </c>
      <c r="G292" t="n">
        <v>3075</v>
      </c>
      <c r="H292" t="n">
        <v>2416</v>
      </c>
      <c r="I292" t="n">
        <v>139</v>
      </c>
      <c r="J292" t="n">
        <v>360</v>
      </c>
      <c r="K292" t="n">
        <v>1</v>
      </c>
      <c r="L292" t="inlineStr">
        <is>
          <t>Rural</t>
        </is>
      </c>
      <c r="M292" t="inlineStr">
        <is>
          <t>Y</t>
        </is>
      </c>
      <c r="N292" t="inlineStr">
        <is>
          <t>Lower Risk</t>
        </is>
      </c>
    </row>
    <row r="293">
      <c r="A293" t="inlineStr">
        <is>
          <t>LP001938</t>
        </is>
      </c>
      <c r="B293" t="inlineStr">
        <is>
          <t>Male</t>
        </is>
      </c>
      <c r="C293" t="inlineStr">
        <is>
          <t>Yes</t>
        </is>
      </c>
      <c r="D293" t="n">
        <v>2</v>
      </c>
      <c r="E293" t="inlineStr">
        <is>
          <t>Graduate</t>
        </is>
      </c>
      <c r="F293" t="inlineStr">
        <is>
          <t>No</t>
        </is>
      </c>
      <c r="G293" t="n">
        <v>4400</v>
      </c>
      <c r="H293" t="n">
        <v>0</v>
      </c>
      <c r="I293" t="n">
        <v>127</v>
      </c>
      <c r="J293" t="n">
        <v>360</v>
      </c>
      <c r="K293" t="n">
        <v>0</v>
      </c>
      <c r="L293" t="inlineStr">
        <is>
          <t>Semiurban</t>
        </is>
      </c>
      <c r="M293" t="inlineStr">
        <is>
          <t>N</t>
        </is>
      </c>
      <c r="N293" t="inlineStr">
        <is>
          <t>High Risk</t>
        </is>
      </c>
    </row>
    <row r="294">
      <c r="A294" t="inlineStr">
        <is>
          <t>LP001940</t>
        </is>
      </c>
      <c r="B294" t="inlineStr">
        <is>
          <t>Male</t>
        </is>
      </c>
      <c r="C294" t="inlineStr">
        <is>
          <t>Yes</t>
        </is>
      </c>
      <c r="D294" t="n">
        <v>2</v>
      </c>
      <c r="E294" t="inlineStr">
        <is>
          <t>Graduate</t>
        </is>
      </c>
      <c r="F294" t="inlineStr">
        <is>
          <t>No</t>
        </is>
      </c>
      <c r="G294" t="n">
        <v>3153</v>
      </c>
      <c r="H294" t="n">
        <v>1560</v>
      </c>
      <c r="I294" t="n">
        <v>134</v>
      </c>
      <c r="J294" t="n">
        <v>360</v>
      </c>
      <c r="K294" t="n">
        <v>1</v>
      </c>
      <c r="L294" t="inlineStr">
        <is>
          <t>Urban</t>
        </is>
      </c>
      <c r="M294" t="inlineStr">
        <is>
          <t>Y</t>
        </is>
      </c>
      <c r="N294" t="inlineStr">
        <is>
          <t>Lower Risk</t>
        </is>
      </c>
    </row>
    <row r="295">
      <c r="A295" t="inlineStr">
        <is>
          <t>LP001945</t>
        </is>
      </c>
      <c r="B295" t="inlineStr">
        <is>
          <t>Female</t>
        </is>
      </c>
      <c r="C295" t="inlineStr">
        <is>
          <t>No</t>
        </is>
      </c>
      <c r="D295" t="n">
        <v/>
      </c>
      <c r="E295" t="inlineStr">
        <is>
          <t>Graduate</t>
        </is>
      </c>
      <c r="F295" t="inlineStr">
        <is>
          <t>No</t>
        </is>
      </c>
      <c r="G295" t="n">
        <v>5417</v>
      </c>
      <c r="H295" t="n">
        <v>0</v>
      </c>
      <c r="I295" t="n">
        <v>143</v>
      </c>
      <c r="J295" t="n">
        <v>480</v>
      </c>
      <c r="K295" t="n">
        <v>0</v>
      </c>
      <c r="L295" t="inlineStr">
        <is>
          <t>Urban</t>
        </is>
      </c>
      <c r="M295" t="inlineStr">
        <is>
          <t>N</t>
        </is>
      </c>
      <c r="N295" t="inlineStr">
        <is>
          <t>High Risk</t>
        </is>
      </c>
    </row>
    <row r="296">
      <c r="A296" t="inlineStr">
        <is>
          <t>LP001947</t>
        </is>
      </c>
      <c r="B296" t="inlineStr">
        <is>
          <t>Male</t>
        </is>
      </c>
      <c r="C296" t="inlineStr">
        <is>
          <t>Yes</t>
        </is>
      </c>
      <c r="D296" t="n">
        <v>0</v>
      </c>
      <c r="E296" t="inlineStr">
        <is>
          <t>Graduate</t>
        </is>
      </c>
      <c r="F296" t="inlineStr">
        <is>
          <t>No</t>
        </is>
      </c>
      <c r="G296" t="n">
        <v>2383</v>
      </c>
      <c r="H296" t="n">
        <v>3334</v>
      </c>
      <c r="I296" t="n">
        <v>172</v>
      </c>
      <c r="J296" t="n">
        <v>360</v>
      </c>
      <c r="K296" t="n">
        <v>1</v>
      </c>
      <c r="L296" t="inlineStr">
        <is>
          <t>Semiurban</t>
        </is>
      </c>
      <c r="M296" t="inlineStr">
        <is>
          <t>Y</t>
        </is>
      </c>
      <c r="N296" t="inlineStr">
        <is>
          <t>Lower Risk</t>
        </is>
      </c>
    </row>
    <row r="297">
      <c r="A297" t="inlineStr">
        <is>
          <t>LP001949</t>
        </is>
      </c>
      <c r="B297" t="inlineStr">
        <is>
          <t>Male</t>
        </is>
      </c>
      <c r="C297" t="inlineStr">
        <is>
          <t>Yes</t>
        </is>
      </c>
      <c r="D297" t="inlineStr">
        <is>
          <t>3+</t>
        </is>
      </c>
      <c r="E297" t="inlineStr">
        <is>
          <t>Graduate</t>
        </is>
      </c>
      <c r="F297" t="n">
        <v/>
      </c>
      <c r="G297" t="n">
        <v>4416</v>
      </c>
      <c r="H297" t="n">
        <v>1250</v>
      </c>
      <c r="I297" t="n">
        <v>110</v>
      </c>
      <c r="J297" t="n">
        <v>360</v>
      </c>
      <c r="K297" t="n">
        <v>1</v>
      </c>
      <c r="L297" t="inlineStr">
        <is>
          <t>Urban</t>
        </is>
      </c>
      <c r="M297" t="inlineStr">
        <is>
          <t>Y</t>
        </is>
      </c>
      <c r="N297" t="inlineStr">
        <is>
          <t>Lower Risk</t>
        </is>
      </c>
    </row>
    <row r="298">
      <c r="A298" t="inlineStr">
        <is>
          <t>LP001953</t>
        </is>
      </c>
      <c r="B298" t="inlineStr">
        <is>
          <t>Male</t>
        </is>
      </c>
      <c r="C298" t="inlineStr">
        <is>
          <t>Yes</t>
        </is>
      </c>
      <c r="D298" t="n">
        <v>1</v>
      </c>
      <c r="E298" t="inlineStr">
        <is>
          <t>Graduate</t>
        </is>
      </c>
      <c r="F298" t="inlineStr">
        <is>
          <t>No</t>
        </is>
      </c>
      <c r="G298" t="n">
        <v>6875</v>
      </c>
      <c r="H298" t="n">
        <v>0</v>
      </c>
      <c r="I298" t="n">
        <v>200</v>
      </c>
      <c r="J298" t="n">
        <v>360</v>
      </c>
      <c r="K298" t="n">
        <v>1</v>
      </c>
      <c r="L298" t="inlineStr">
        <is>
          <t>Semiurban</t>
        </is>
      </c>
      <c r="M298" t="inlineStr">
        <is>
          <t>Y</t>
        </is>
      </c>
      <c r="N298" t="inlineStr">
        <is>
          <t>Lower Risk</t>
        </is>
      </c>
    </row>
    <row r="299">
      <c r="A299" t="inlineStr">
        <is>
          <t>LP001954</t>
        </is>
      </c>
      <c r="B299" t="inlineStr">
        <is>
          <t>Female</t>
        </is>
      </c>
      <c r="C299" t="inlineStr">
        <is>
          <t>Yes</t>
        </is>
      </c>
      <c r="D299" t="n">
        <v>1</v>
      </c>
      <c r="E299" t="inlineStr">
        <is>
          <t>Graduate</t>
        </is>
      </c>
      <c r="F299" t="inlineStr">
        <is>
          <t>No</t>
        </is>
      </c>
      <c r="G299" t="n">
        <v>4666</v>
      </c>
      <c r="H299" t="n">
        <v>0</v>
      </c>
      <c r="I299" t="n">
        <v>135</v>
      </c>
      <c r="J299" t="n">
        <v>360</v>
      </c>
      <c r="K299" t="n">
        <v>1</v>
      </c>
      <c r="L299" t="inlineStr">
        <is>
          <t>Urban</t>
        </is>
      </c>
      <c r="M299" t="inlineStr">
        <is>
          <t>Y</t>
        </is>
      </c>
      <c r="N299" t="inlineStr">
        <is>
          <t>Lower Risk</t>
        </is>
      </c>
    </row>
    <row r="300">
      <c r="A300" t="inlineStr">
        <is>
          <t>LP001955</t>
        </is>
      </c>
      <c r="B300" t="inlineStr">
        <is>
          <t>Female</t>
        </is>
      </c>
      <c r="C300" t="inlineStr">
        <is>
          <t>No</t>
        </is>
      </c>
      <c r="D300" t="n">
        <v>0</v>
      </c>
      <c r="E300" t="inlineStr">
        <is>
          <t>Graduate</t>
        </is>
      </c>
      <c r="F300" t="inlineStr">
        <is>
          <t>No</t>
        </is>
      </c>
      <c r="G300" t="n">
        <v>5000</v>
      </c>
      <c r="H300" t="n">
        <v>2541</v>
      </c>
      <c r="I300" t="n">
        <v>151</v>
      </c>
      <c r="J300" t="n">
        <v>480</v>
      </c>
      <c r="K300" t="n">
        <v>1</v>
      </c>
      <c r="L300" t="inlineStr">
        <is>
          <t>Rural</t>
        </is>
      </c>
      <c r="M300" t="inlineStr">
        <is>
          <t>N</t>
        </is>
      </c>
      <c r="N300" t="inlineStr">
        <is>
          <t>Medium Risk</t>
        </is>
      </c>
    </row>
    <row r="301">
      <c r="A301" t="inlineStr">
        <is>
          <t>LP001963</t>
        </is>
      </c>
      <c r="B301" t="inlineStr">
        <is>
          <t>Male</t>
        </is>
      </c>
      <c r="C301" t="inlineStr">
        <is>
          <t>Yes</t>
        </is>
      </c>
      <c r="D301" t="n">
        <v>1</v>
      </c>
      <c r="E301" t="inlineStr">
        <is>
          <t>Graduate</t>
        </is>
      </c>
      <c r="F301" t="inlineStr">
        <is>
          <t>No</t>
        </is>
      </c>
      <c r="G301" t="n">
        <v>2014</v>
      </c>
      <c r="H301" t="n">
        <v>2925</v>
      </c>
      <c r="I301" t="n">
        <v>113</v>
      </c>
      <c r="J301" t="n">
        <v>360</v>
      </c>
      <c r="K301" t="n">
        <v>1</v>
      </c>
      <c r="L301" t="inlineStr">
        <is>
          <t>Urban</t>
        </is>
      </c>
      <c r="M301" t="inlineStr">
        <is>
          <t>N</t>
        </is>
      </c>
      <c r="N301" t="inlineStr">
        <is>
          <t>Medium Risk</t>
        </is>
      </c>
    </row>
    <row r="302">
      <c r="A302" t="inlineStr">
        <is>
          <t>LP001964</t>
        </is>
      </c>
      <c r="B302" t="inlineStr">
        <is>
          <t>Male</t>
        </is>
      </c>
      <c r="C302" t="inlineStr">
        <is>
          <t>Yes</t>
        </is>
      </c>
      <c r="D302" t="n">
        <v>0</v>
      </c>
      <c r="E302" t="inlineStr">
        <is>
          <t>Not Graduate</t>
        </is>
      </c>
      <c r="F302" t="inlineStr">
        <is>
          <t>No</t>
        </is>
      </c>
      <c r="G302" t="n">
        <v>1800</v>
      </c>
      <c r="H302" t="n">
        <v>2934</v>
      </c>
      <c r="I302" t="n">
        <v>93</v>
      </c>
      <c r="J302" t="n">
        <v>360</v>
      </c>
      <c r="K302" t="n">
        <v>0</v>
      </c>
      <c r="L302" t="inlineStr">
        <is>
          <t>Urban</t>
        </is>
      </c>
      <c r="M302" t="inlineStr">
        <is>
          <t>N</t>
        </is>
      </c>
      <c r="N302" t="inlineStr">
        <is>
          <t>High Risk</t>
        </is>
      </c>
    </row>
    <row r="303">
      <c r="A303" t="inlineStr">
        <is>
          <t>LP001972</t>
        </is>
      </c>
      <c r="B303" t="inlineStr">
        <is>
          <t>Male</t>
        </is>
      </c>
      <c r="C303" t="inlineStr">
        <is>
          <t>Yes</t>
        </is>
      </c>
      <c r="D303" t="n">
        <v/>
      </c>
      <c r="E303" t="inlineStr">
        <is>
          <t>Not Graduate</t>
        </is>
      </c>
      <c r="F303" t="inlineStr">
        <is>
          <t>No</t>
        </is>
      </c>
      <c r="G303" t="n">
        <v>2875</v>
      </c>
      <c r="H303" t="n">
        <v>1750</v>
      </c>
      <c r="I303" t="n">
        <v>105</v>
      </c>
      <c r="J303" t="n">
        <v>360</v>
      </c>
      <c r="K303" t="n">
        <v>1</v>
      </c>
      <c r="L303" t="inlineStr">
        <is>
          <t>Semiurban</t>
        </is>
      </c>
      <c r="M303" t="inlineStr">
        <is>
          <t>Y</t>
        </is>
      </c>
      <c r="N303" t="inlineStr">
        <is>
          <t>Lower Risk</t>
        </is>
      </c>
    </row>
    <row r="304">
      <c r="A304" t="inlineStr">
        <is>
          <t>LP001974</t>
        </is>
      </c>
      <c r="B304" t="inlineStr">
        <is>
          <t>Female</t>
        </is>
      </c>
      <c r="C304" t="inlineStr">
        <is>
          <t>No</t>
        </is>
      </c>
      <c r="D304" t="n">
        <v>0</v>
      </c>
      <c r="E304" t="inlineStr">
        <is>
          <t>Graduate</t>
        </is>
      </c>
      <c r="F304" t="inlineStr">
        <is>
          <t>No</t>
        </is>
      </c>
      <c r="G304" t="n">
        <v>5000</v>
      </c>
      <c r="H304" t="n">
        <v>0</v>
      </c>
      <c r="I304" t="n">
        <v>132</v>
      </c>
      <c r="J304" t="n">
        <v>360</v>
      </c>
      <c r="K304" t="n">
        <v>1</v>
      </c>
      <c r="L304" t="inlineStr">
        <is>
          <t>Rural</t>
        </is>
      </c>
      <c r="M304" t="inlineStr">
        <is>
          <t>Y</t>
        </is>
      </c>
      <c r="N304" t="inlineStr">
        <is>
          <t>Lower Risk</t>
        </is>
      </c>
    </row>
    <row r="305">
      <c r="A305" t="inlineStr">
        <is>
          <t>LP001977</t>
        </is>
      </c>
      <c r="B305" t="inlineStr">
        <is>
          <t>Male</t>
        </is>
      </c>
      <c r="C305" t="inlineStr">
        <is>
          <t>Yes</t>
        </is>
      </c>
      <c r="D305" t="n">
        <v>1</v>
      </c>
      <c r="E305" t="inlineStr">
        <is>
          <t>Graduate</t>
        </is>
      </c>
      <c r="F305" t="inlineStr">
        <is>
          <t>No</t>
        </is>
      </c>
      <c r="G305" t="n">
        <v>1625</v>
      </c>
      <c r="H305" t="n">
        <v>1803</v>
      </c>
      <c r="I305" t="n">
        <v>96</v>
      </c>
      <c r="J305" t="n">
        <v>360</v>
      </c>
      <c r="K305" t="n">
        <v>1</v>
      </c>
      <c r="L305" t="inlineStr">
        <is>
          <t>Urban</t>
        </is>
      </c>
      <c r="M305" t="inlineStr">
        <is>
          <t>Y</t>
        </is>
      </c>
      <c r="N305" t="inlineStr">
        <is>
          <t>Lower Risk</t>
        </is>
      </c>
    </row>
    <row r="306">
      <c r="A306" t="inlineStr">
        <is>
          <t>LP001978</t>
        </is>
      </c>
      <c r="B306" t="inlineStr">
        <is>
          <t>Male</t>
        </is>
      </c>
      <c r="C306" t="inlineStr">
        <is>
          <t>No</t>
        </is>
      </c>
      <c r="D306" t="n">
        <v>0</v>
      </c>
      <c r="E306" t="inlineStr">
        <is>
          <t>Graduate</t>
        </is>
      </c>
      <c r="F306" t="inlineStr">
        <is>
          <t>No</t>
        </is>
      </c>
      <c r="G306" t="n">
        <v>4000</v>
      </c>
      <c r="H306" t="n">
        <v>2500</v>
      </c>
      <c r="I306" t="n">
        <v>140</v>
      </c>
      <c r="J306" t="n">
        <v>360</v>
      </c>
      <c r="K306" t="n">
        <v>1</v>
      </c>
      <c r="L306" t="inlineStr">
        <is>
          <t>Rural</t>
        </is>
      </c>
      <c r="M306" t="inlineStr">
        <is>
          <t>Y</t>
        </is>
      </c>
      <c r="N306" t="inlineStr">
        <is>
          <t>Lower Risk</t>
        </is>
      </c>
    </row>
    <row r="307">
      <c r="A307" t="inlineStr">
        <is>
          <t>LP001990</t>
        </is>
      </c>
      <c r="B307" t="inlineStr">
        <is>
          <t>Male</t>
        </is>
      </c>
      <c r="C307" t="inlineStr">
        <is>
          <t>No</t>
        </is>
      </c>
      <c r="D307" t="n">
        <v>0</v>
      </c>
      <c r="E307" t="inlineStr">
        <is>
          <t>Not Graduate</t>
        </is>
      </c>
      <c r="F307" t="inlineStr">
        <is>
          <t>No</t>
        </is>
      </c>
      <c r="G307" t="n">
        <v>2000</v>
      </c>
      <c r="H307" t="n">
        <v>0</v>
      </c>
      <c r="I307" t="n">
        <v/>
      </c>
      <c r="J307" t="n">
        <v>360</v>
      </c>
      <c r="K307" t="n">
        <v>1</v>
      </c>
      <c r="L307" t="inlineStr">
        <is>
          <t>Urban</t>
        </is>
      </c>
      <c r="M307" t="inlineStr">
        <is>
          <t>N</t>
        </is>
      </c>
      <c r="N307" t="inlineStr">
        <is>
          <t>Medium Risk</t>
        </is>
      </c>
    </row>
    <row r="308">
      <c r="A308" t="inlineStr">
        <is>
          <t>LP001993</t>
        </is>
      </c>
      <c r="B308" t="inlineStr">
        <is>
          <t>Female</t>
        </is>
      </c>
      <c r="C308" t="inlineStr">
        <is>
          <t>No</t>
        </is>
      </c>
      <c r="D308" t="n">
        <v>0</v>
      </c>
      <c r="E308" t="inlineStr">
        <is>
          <t>Graduate</t>
        </is>
      </c>
      <c r="F308" t="inlineStr">
        <is>
          <t>No</t>
        </is>
      </c>
      <c r="G308" t="n">
        <v>3762</v>
      </c>
      <c r="H308" t="n">
        <v>1666</v>
      </c>
      <c r="I308" t="n">
        <v>135</v>
      </c>
      <c r="J308" t="n">
        <v>360</v>
      </c>
      <c r="K308" t="n">
        <v>1</v>
      </c>
      <c r="L308" t="inlineStr">
        <is>
          <t>Rural</t>
        </is>
      </c>
      <c r="M308" t="inlineStr">
        <is>
          <t>Y</t>
        </is>
      </c>
      <c r="N308" t="inlineStr">
        <is>
          <t>Lower Risk</t>
        </is>
      </c>
    </row>
    <row r="309">
      <c r="A309" t="inlineStr">
        <is>
          <t>LP001994</t>
        </is>
      </c>
      <c r="B309" t="inlineStr">
        <is>
          <t>Female</t>
        </is>
      </c>
      <c r="C309" t="inlineStr">
        <is>
          <t>No</t>
        </is>
      </c>
      <c r="D309" t="n">
        <v>0</v>
      </c>
      <c r="E309" t="inlineStr">
        <is>
          <t>Graduate</t>
        </is>
      </c>
      <c r="F309" t="inlineStr">
        <is>
          <t>No</t>
        </is>
      </c>
      <c r="G309" t="n">
        <v>2400</v>
      </c>
      <c r="H309" t="n">
        <v>1863</v>
      </c>
      <c r="I309" t="n">
        <v>104</v>
      </c>
      <c r="J309" t="n">
        <v>360</v>
      </c>
      <c r="K309" t="n">
        <v>0</v>
      </c>
      <c r="L309" t="inlineStr">
        <is>
          <t>Urban</t>
        </is>
      </c>
      <c r="M309" t="inlineStr">
        <is>
          <t>N</t>
        </is>
      </c>
      <c r="N309" t="inlineStr">
        <is>
          <t>High Risk</t>
        </is>
      </c>
    </row>
    <row r="310">
      <c r="A310" t="inlineStr">
        <is>
          <t>LP001996</t>
        </is>
      </c>
      <c r="B310" t="inlineStr">
        <is>
          <t>Male</t>
        </is>
      </c>
      <c r="C310" t="inlineStr">
        <is>
          <t>No</t>
        </is>
      </c>
      <c r="D310" t="n">
        <v>0</v>
      </c>
      <c r="E310" t="inlineStr">
        <is>
          <t>Graduate</t>
        </is>
      </c>
      <c r="F310" t="inlineStr">
        <is>
          <t>No</t>
        </is>
      </c>
      <c r="G310" t="n">
        <v>20233</v>
      </c>
      <c r="H310" t="n">
        <v>0</v>
      </c>
      <c r="I310" t="n">
        <v>480</v>
      </c>
      <c r="J310" t="n">
        <v>360</v>
      </c>
      <c r="K310" t="n">
        <v>1</v>
      </c>
      <c r="L310" t="inlineStr">
        <is>
          <t>Rural</t>
        </is>
      </c>
      <c r="M310" t="inlineStr">
        <is>
          <t>N</t>
        </is>
      </c>
      <c r="N310" t="inlineStr">
        <is>
          <t>Medium Risk</t>
        </is>
      </c>
    </row>
    <row r="311">
      <c r="A311" t="inlineStr">
        <is>
          <t>LP001998</t>
        </is>
      </c>
      <c r="B311" t="inlineStr">
        <is>
          <t>Male</t>
        </is>
      </c>
      <c r="C311" t="inlineStr">
        <is>
          <t>Yes</t>
        </is>
      </c>
      <c r="D311" t="n">
        <v>2</v>
      </c>
      <c r="E311" t="inlineStr">
        <is>
          <t>Not Graduate</t>
        </is>
      </c>
      <c r="F311" t="inlineStr">
        <is>
          <t>No</t>
        </is>
      </c>
      <c r="G311" t="n">
        <v>7667</v>
      </c>
      <c r="H311" t="n">
        <v>0</v>
      </c>
      <c r="I311" t="n">
        <v>185</v>
      </c>
      <c r="J311" t="n">
        <v>360</v>
      </c>
      <c r="K311" t="n">
        <v/>
      </c>
      <c r="L311" t="inlineStr">
        <is>
          <t>Rural</t>
        </is>
      </c>
      <c r="M311" t="inlineStr">
        <is>
          <t>Y</t>
        </is>
      </c>
      <c r="N311" t="inlineStr">
        <is>
          <t>Medium Risk</t>
        </is>
      </c>
    </row>
    <row r="312">
      <c r="A312" t="inlineStr">
        <is>
          <t>LP002002</t>
        </is>
      </c>
      <c r="B312" t="inlineStr">
        <is>
          <t>Female</t>
        </is>
      </c>
      <c r="C312" t="inlineStr">
        <is>
          <t>No</t>
        </is>
      </c>
      <c r="D312" t="n">
        <v>0</v>
      </c>
      <c r="E312" t="inlineStr">
        <is>
          <t>Graduate</t>
        </is>
      </c>
      <c r="F312" t="inlineStr">
        <is>
          <t>No</t>
        </is>
      </c>
      <c r="G312" t="n">
        <v>2917</v>
      </c>
      <c r="H312" t="n">
        <v>0</v>
      </c>
      <c r="I312" t="n">
        <v>84</v>
      </c>
      <c r="J312" t="n">
        <v>360</v>
      </c>
      <c r="K312" t="n">
        <v>1</v>
      </c>
      <c r="L312" t="inlineStr">
        <is>
          <t>Semiurban</t>
        </is>
      </c>
      <c r="M312" t="inlineStr">
        <is>
          <t>Y</t>
        </is>
      </c>
      <c r="N312" t="inlineStr">
        <is>
          <t>Lower Risk</t>
        </is>
      </c>
    </row>
    <row r="313">
      <c r="A313" t="inlineStr">
        <is>
          <t>LP002004</t>
        </is>
      </c>
      <c r="B313" t="inlineStr">
        <is>
          <t>Male</t>
        </is>
      </c>
      <c r="C313" t="inlineStr">
        <is>
          <t>No</t>
        </is>
      </c>
      <c r="D313" t="n">
        <v>0</v>
      </c>
      <c r="E313" t="inlineStr">
        <is>
          <t>Not Graduate</t>
        </is>
      </c>
      <c r="F313" t="inlineStr">
        <is>
          <t>No</t>
        </is>
      </c>
      <c r="G313" t="n">
        <v>2927</v>
      </c>
      <c r="H313" t="n">
        <v>2405</v>
      </c>
      <c r="I313" t="n">
        <v>111</v>
      </c>
      <c r="J313" t="n">
        <v>360</v>
      </c>
      <c r="K313" t="n">
        <v>1</v>
      </c>
      <c r="L313" t="inlineStr">
        <is>
          <t>Semiurban</t>
        </is>
      </c>
      <c r="M313" t="inlineStr">
        <is>
          <t>Y</t>
        </is>
      </c>
      <c r="N313" t="inlineStr">
        <is>
          <t>Lower Risk</t>
        </is>
      </c>
    </row>
    <row r="314">
      <c r="A314" t="inlineStr">
        <is>
          <t>LP002006</t>
        </is>
      </c>
      <c r="B314" t="inlineStr">
        <is>
          <t>Female</t>
        </is>
      </c>
      <c r="C314" t="inlineStr">
        <is>
          <t>No</t>
        </is>
      </c>
      <c r="D314" t="n">
        <v>0</v>
      </c>
      <c r="E314" t="inlineStr">
        <is>
          <t>Graduate</t>
        </is>
      </c>
      <c r="F314" t="inlineStr">
        <is>
          <t>No</t>
        </is>
      </c>
      <c r="G314" t="n">
        <v>2507</v>
      </c>
      <c r="H314" t="n">
        <v>0</v>
      </c>
      <c r="I314" t="n">
        <v>56</v>
      </c>
      <c r="J314" t="n">
        <v>360</v>
      </c>
      <c r="K314" t="n">
        <v>1</v>
      </c>
      <c r="L314" t="inlineStr">
        <is>
          <t>Rural</t>
        </is>
      </c>
      <c r="M314" t="inlineStr">
        <is>
          <t>Y</t>
        </is>
      </c>
      <c r="N314" t="inlineStr">
        <is>
          <t>Lower Risk</t>
        </is>
      </c>
    </row>
    <row r="315">
      <c r="A315" t="inlineStr">
        <is>
          <t>LP002008</t>
        </is>
      </c>
      <c r="B315" t="inlineStr">
        <is>
          <t>Male</t>
        </is>
      </c>
      <c r="C315" t="inlineStr">
        <is>
          <t>Yes</t>
        </is>
      </c>
      <c r="D315" t="n">
        <v>2</v>
      </c>
      <c r="E315" t="inlineStr">
        <is>
          <t>Graduate</t>
        </is>
      </c>
      <c r="F315" t="inlineStr">
        <is>
          <t>Yes</t>
        </is>
      </c>
      <c r="G315" t="n">
        <v>5746</v>
      </c>
      <c r="H315" t="n">
        <v>0</v>
      </c>
      <c r="I315" t="n">
        <v>144</v>
      </c>
      <c r="J315" t="n">
        <v>84</v>
      </c>
      <c r="K315" t="n">
        <v/>
      </c>
      <c r="L315" t="inlineStr">
        <is>
          <t>Rural</t>
        </is>
      </c>
      <c r="M315" t="inlineStr">
        <is>
          <t>Y</t>
        </is>
      </c>
      <c r="N315" t="inlineStr">
        <is>
          <t>Medium Risk</t>
        </is>
      </c>
    </row>
    <row r="316">
      <c r="A316" t="inlineStr">
        <is>
          <t>LP002024</t>
        </is>
      </c>
      <c r="B316" t="n">
        <v/>
      </c>
      <c r="C316" t="inlineStr">
        <is>
          <t>Yes</t>
        </is>
      </c>
      <c r="D316" t="n">
        <v>0</v>
      </c>
      <c r="E316" t="inlineStr">
        <is>
          <t>Graduate</t>
        </is>
      </c>
      <c r="F316" t="inlineStr">
        <is>
          <t>No</t>
        </is>
      </c>
      <c r="G316" t="n">
        <v>2473</v>
      </c>
      <c r="H316" t="n">
        <v>1843</v>
      </c>
      <c r="I316" t="n">
        <v>159</v>
      </c>
      <c r="J316" t="n">
        <v>360</v>
      </c>
      <c r="K316" t="n">
        <v>1</v>
      </c>
      <c r="L316" t="inlineStr">
        <is>
          <t>Rural</t>
        </is>
      </c>
      <c r="M316" t="inlineStr">
        <is>
          <t>N</t>
        </is>
      </c>
      <c r="N316" t="inlineStr">
        <is>
          <t>Medium Risk</t>
        </is>
      </c>
    </row>
    <row r="317">
      <c r="A317" t="inlineStr">
        <is>
          <t>LP002031</t>
        </is>
      </c>
      <c r="B317" t="inlineStr">
        <is>
          <t>Male</t>
        </is>
      </c>
      <c r="C317" t="inlineStr">
        <is>
          <t>Yes</t>
        </is>
      </c>
      <c r="D317" t="n">
        <v>1</v>
      </c>
      <c r="E317" t="inlineStr">
        <is>
          <t>Not Graduate</t>
        </is>
      </c>
      <c r="F317" t="inlineStr">
        <is>
          <t>No</t>
        </is>
      </c>
      <c r="G317" t="n">
        <v>3399</v>
      </c>
      <c r="H317" t="n">
        <v>1640</v>
      </c>
      <c r="I317" t="n">
        <v>111</v>
      </c>
      <c r="J317" t="n">
        <v>180</v>
      </c>
      <c r="K317" t="n">
        <v>1</v>
      </c>
      <c r="L317" t="inlineStr">
        <is>
          <t>Urban</t>
        </is>
      </c>
      <c r="M317" t="inlineStr">
        <is>
          <t>Y</t>
        </is>
      </c>
      <c r="N317" t="inlineStr">
        <is>
          <t>Lower Risk</t>
        </is>
      </c>
    </row>
    <row r="318">
      <c r="A318" t="inlineStr">
        <is>
          <t>LP002035</t>
        </is>
      </c>
      <c r="B318" t="inlineStr">
        <is>
          <t>Male</t>
        </is>
      </c>
      <c r="C318" t="inlineStr">
        <is>
          <t>Yes</t>
        </is>
      </c>
      <c r="D318" t="n">
        <v>2</v>
      </c>
      <c r="E318" t="inlineStr">
        <is>
          <t>Graduate</t>
        </is>
      </c>
      <c r="F318" t="inlineStr">
        <is>
          <t>No</t>
        </is>
      </c>
      <c r="G318" t="n">
        <v>3717</v>
      </c>
      <c r="H318" t="n">
        <v>0</v>
      </c>
      <c r="I318" t="n">
        <v>120</v>
      </c>
      <c r="J318" t="n">
        <v>360</v>
      </c>
      <c r="K318" t="n">
        <v>1</v>
      </c>
      <c r="L318" t="inlineStr">
        <is>
          <t>Semiurban</t>
        </is>
      </c>
      <c r="M318" t="inlineStr">
        <is>
          <t>Y</t>
        </is>
      </c>
      <c r="N318" t="inlineStr">
        <is>
          <t>Lower Risk</t>
        </is>
      </c>
    </row>
    <row r="319">
      <c r="A319" t="inlineStr">
        <is>
          <t>LP002036</t>
        </is>
      </c>
      <c r="B319" t="inlineStr">
        <is>
          <t>Male</t>
        </is>
      </c>
      <c r="C319" t="inlineStr">
        <is>
          <t>Yes</t>
        </is>
      </c>
      <c r="D319" t="n">
        <v>0</v>
      </c>
      <c r="E319" t="inlineStr">
        <is>
          <t>Graduate</t>
        </is>
      </c>
      <c r="F319" t="inlineStr">
        <is>
          <t>No</t>
        </is>
      </c>
      <c r="G319" t="n">
        <v>2058</v>
      </c>
      <c r="H319" t="n">
        <v>2134</v>
      </c>
      <c r="I319" t="n">
        <v>88</v>
      </c>
      <c r="J319" t="n">
        <v>360</v>
      </c>
      <c r="K319" t="n">
        <v/>
      </c>
      <c r="L319" t="inlineStr">
        <is>
          <t>Urban</t>
        </is>
      </c>
      <c r="M319" t="inlineStr">
        <is>
          <t>Y</t>
        </is>
      </c>
      <c r="N319" t="inlineStr">
        <is>
          <t>Medium Risk</t>
        </is>
      </c>
    </row>
    <row r="320">
      <c r="A320" t="inlineStr">
        <is>
          <t>LP002043</t>
        </is>
      </c>
      <c r="B320" t="inlineStr">
        <is>
          <t>Female</t>
        </is>
      </c>
      <c r="C320" t="inlineStr">
        <is>
          <t>No</t>
        </is>
      </c>
      <c r="D320" t="n">
        <v>1</v>
      </c>
      <c r="E320" t="inlineStr">
        <is>
          <t>Graduate</t>
        </is>
      </c>
      <c r="F320" t="inlineStr">
        <is>
          <t>No</t>
        </is>
      </c>
      <c r="G320" t="n">
        <v>3541</v>
      </c>
      <c r="H320" t="n">
        <v>0</v>
      </c>
      <c r="I320" t="n">
        <v>112</v>
      </c>
      <c r="J320" t="n">
        <v>360</v>
      </c>
      <c r="K320" t="n">
        <v/>
      </c>
      <c r="L320" t="inlineStr">
        <is>
          <t>Semiurban</t>
        </is>
      </c>
      <c r="M320" t="inlineStr">
        <is>
          <t>Y</t>
        </is>
      </c>
      <c r="N320" t="inlineStr">
        <is>
          <t>Medium Risk</t>
        </is>
      </c>
    </row>
    <row r="321">
      <c r="A321" t="inlineStr">
        <is>
          <t>LP002050</t>
        </is>
      </c>
      <c r="B321" t="inlineStr">
        <is>
          <t>Male</t>
        </is>
      </c>
      <c r="C321" t="inlineStr">
        <is>
          <t>Yes</t>
        </is>
      </c>
      <c r="D321" t="n">
        <v>1</v>
      </c>
      <c r="E321" t="inlineStr">
        <is>
          <t>Graduate</t>
        </is>
      </c>
      <c r="F321" t="inlineStr">
        <is>
          <t>Yes</t>
        </is>
      </c>
      <c r="G321" t="n">
        <v>10000</v>
      </c>
      <c r="H321" t="n">
        <v>0</v>
      </c>
      <c r="I321" t="n">
        <v>155</v>
      </c>
      <c r="J321" t="n">
        <v>360</v>
      </c>
      <c r="K321" t="n">
        <v>1</v>
      </c>
      <c r="L321" t="inlineStr">
        <is>
          <t>Rural</t>
        </is>
      </c>
      <c r="M321" t="inlineStr">
        <is>
          <t>N</t>
        </is>
      </c>
      <c r="N321" t="inlineStr">
        <is>
          <t>Medium Risk</t>
        </is>
      </c>
    </row>
    <row r="322">
      <c r="A322" t="inlineStr">
        <is>
          <t>LP002051</t>
        </is>
      </c>
      <c r="B322" t="inlineStr">
        <is>
          <t>Male</t>
        </is>
      </c>
      <c r="C322" t="inlineStr">
        <is>
          <t>Yes</t>
        </is>
      </c>
      <c r="D322" t="n">
        <v>0</v>
      </c>
      <c r="E322" t="inlineStr">
        <is>
          <t>Graduate</t>
        </is>
      </c>
      <c r="F322" t="inlineStr">
        <is>
          <t>No</t>
        </is>
      </c>
      <c r="G322" t="n">
        <v>2400</v>
      </c>
      <c r="H322" t="n">
        <v>2167</v>
      </c>
      <c r="I322" t="n">
        <v>115</v>
      </c>
      <c r="J322" t="n">
        <v>360</v>
      </c>
      <c r="K322" t="n">
        <v>1</v>
      </c>
      <c r="L322" t="inlineStr">
        <is>
          <t>Semiurban</t>
        </is>
      </c>
      <c r="M322" t="inlineStr">
        <is>
          <t>Y</t>
        </is>
      </c>
      <c r="N322" t="inlineStr">
        <is>
          <t>Lower Risk</t>
        </is>
      </c>
    </row>
    <row r="323">
      <c r="A323" t="inlineStr">
        <is>
          <t>LP002053</t>
        </is>
      </c>
      <c r="B323" t="inlineStr">
        <is>
          <t>Male</t>
        </is>
      </c>
      <c r="C323" t="inlineStr">
        <is>
          <t>Yes</t>
        </is>
      </c>
      <c r="D323" t="inlineStr">
        <is>
          <t>3+</t>
        </is>
      </c>
      <c r="E323" t="inlineStr">
        <is>
          <t>Graduate</t>
        </is>
      </c>
      <c r="F323" t="inlineStr">
        <is>
          <t>No</t>
        </is>
      </c>
      <c r="G323" t="n">
        <v>4342</v>
      </c>
      <c r="H323" t="n">
        <v>189</v>
      </c>
      <c r="I323" t="n">
        <v>124</v>
      </c>
      <c r="J323" t="n">
        <v>360</v>
      </c>
      <c r="K323" t="n">
        <v>1</v>
      </c>
      <c r="L323" t="inlineStr">
        <is>
          <t>Semiurban</t>
        </is>
      </c>
      <c r="M323" t="inlineStr">
        <is>
          <t>Y</t>
        </is>
      </c>
      <c r="N323" t="inlineStr">
        <is>
          <t>Lower Risk</t>
        </is>
      </c>
    </row>
    <row r="324">
      <c r="A324" t="inlineStr">
        <is>
          <t>LP002054</t>
        </is>
      </c>
      <c r="B324" t="inlineStr">
        <is>
          <t>Male</t>
        </is>
      </c>
      <c r="C324" t="inlineStr">
        <is>
          <t>Yes</t>
        </is>
      </c>
      <c r="D324" t="n">
        <v>2</v>
      </c>
      <c r="E324" t="inlineStr">
        <is>
          <t>Not Graduate</t>
        </is>
      </c>
      <c r="F324" t="inlineStr">
        <is>
          <t>No</t>
        </is>
      </c>
      <c r="G324" t="n">
        <v>3601</v>
      </c>
      <c r="H324" t="n">
        <v>1590</v>
      </c>
      <c r="I324" t="n">
        <v/>
      </c>
      <c r="J324" t="n">
        <v>360</v>
      </c>
      <c r="K324" t="n">
        <v>1</v>
      </c>
      <c r="L324" t="inlineStr">
        <is>
          <t>Rural</t>
        </is>
      </c>
      <c r="M324" t="inlineStr">
        <is>
          <t>Y</t>
        </is>
      </c>
      <c r="N324" t="inlineStr">
        <is>
          <t>Lower Risk</t>
        </is>
      </c>
    </row>
    <row r="325">
      <c r="A325" t="inlineStr">
        <is>
          <t>LP002055</t>
        </is>
      </c>
      <c r="B325" t="inlineStr">
        <is>
          <t>Female</t>
        </is>
      </c>
      <c r="C325" t="inlineStr">
        <is>
          <t>No</t>
        </is>
      </c>
      <c r="D325" t="n">
        <v>0</v>
      </c>
      <c r="E325" t="inlineStr">
        <is>
          <t>Graduate</t>
        </is>
      </c>
      <c r="F325" t="inlineStr">
        <is>
          <t>No</t>
        </is>
      </c>
      <c r="G325" t="n">
        <v>3166</v>
      </c>
      <c r="H325" t="n">
        <v>2985</v>
      </c>
      <c r="I325" t="n">
        <v>132</v>
      </c>
      <c r="J325" t="n">
        <v>360</v>
      </c>
      <c r="K325" t="n">
        <v/>
      </c>
      <c r="L325" t="inlineStr">
        <is>
          <t>Rural</t>
        </is>
      </c>
      <c r="M325" t="inlineStr">
        <is>
          <t>Y</t>
        </is>
      </c>
      <c r="N325" t="inlineStr">
        <is>
          <t>Medium Risk</t>
        </is>
      </c>
    </row>
    <row r="326">
      <c r="A326" t="inlineStr">
        <is>
          <t>LP002065</t>
        </is>
      </c>
      <c r="B326" t="inlineStr">
        <is>
          <t>Male</t>
        </is>
      </c>
      <c r="C326" t="inlineStr">
        <is>
          <t>Yes</t>
        </is>
      </c>
      <c r="D326" t="inlineStr">
        <is>
          <t>3+</t>
        </is>
      </c>
      <c r="E326" t="inlineStr">
        <is>
          <t>Graduate</t>
        </is>
      </c>
      <c r="F326" t="inlineStr">
        <is>
          <t>No</t>
        </is>
      </c>
      <c r="G326" t="n">
        <v>15000</v>
      </c>
      <c r="H326" t="n">
        <v>0</v>
      </c>
      <c r="I326" t="n">
        <v>300</v>
      </c>
      <c r="J326" t="n">
        <v>360</v>
      </c>
      <c r="K326" t="n">
        <v>1</v>
      </c>
      <c r="L326" t="inlineStr">
        <is>
          <t>Rural</t>
        </is>
      </c>
      <c r="M326" t="inlineStr">
        <is>
          <t>Y</t>
        </is>
      </c>
      <c r="N326" t="inlineStr">
        <is>
          <t>Lower Risk</t>
        </is>
      </c>
    </row>
    <row r="327">
      <c r="A327" t="inlineStr">
        <is>
          <t>LP002067</t>
        </is>
      </c>
      <c r="B327" t="inlineStr">
        <is>
          <t>Male</t>
        </is>
      </c>
      <c r="C327" t="inlineStr">
        <is>
          <t>Yes</t>
        </is>
      </c>
      <c r="D327" t="n">
        <v>1</v>
      </c>
      <c r="E327" t="inlineStr">
        <is>
          <t>Graduate</t>
        </is>
      </c>
      <c r="F327" t="inlineStr">
        <is>
          <t>Yes</t>
        </is>
      </c>
      <c r="G327" t="n">
        <v>8666</v>
      </c>
      <c r="H327" t="n">
        <v>4983</v>
      </c>
      <c r="I327" t="n">
        <v>376</v>
      </c>
      <c r="J327" t="n">
        <v>360</v>
      </c>
      <c r="K327" t="n">
        <v>0</v>
      </c>
      <c r="L327" t="inlineStr">
        <is>
          <t>Rural</t>
        </is>
      </c>
      <c r="M327" t="inlineStr">
        <is>
          <t>N</t>
        </is>
      </c>
      <c r="N327" t="inlineStr">
        <is>
          <t>High Risk</t>
        </is>
      </c>
    </row>
    <row r="328">
      <c r="A328" t="inlineStr">
        <is>
          <t>LP002068</t>
        </is>
      </c>
      <c r="B328" t="inlineStr">
        <is>
          <t>Male</t>
        </is>
      </c>
      <c r="C328" t="inlineStr">
        <is>
          <t>No</t>
        </is>
      </c>
      <c r="D328" t="n">
        <v>0</v>
      </c>
      <c r="E328" t="inlineStr">
        <is>
          <t>Graduate</t>
        </is>
      </c>
      <c r="F328" t="inlineStr">
        <is>
          <t>No</t>
        </is>
      </c>
      <c r="G328" t="n">
        <v>4917</v>
      </c>
      <c r="H328" t="n">
        <v>0</v>
      </c>
      <c r="I328" t="n">
        <v>130</v>
      </c>
      <c r="J328" t="n">
        <v>360</v>
      </c>
      <c r="K328" t="n">
        <v>0</v>
      </c>
      <c r="L328" t="inlineStr">
        <is>
          <t>Rural</t>
        </is>
      </c>
      <c r="M328" t="inlineStr">
        <is>
          <t>Y</t>
        </is>
      </c>
      <c r="N328" t="inlineStr">
        <is>
          <t>Medium Risk</t>
        </is>
      </c>
    </row>
    <row r="329">
      <c r="A329" t="inlineStr">
        <is>
          <t>LP002082</t>
        </is>
      </c>
      <c r="B329" t="inlineStr">
        <is>
          <t>Male</t>
        </is>
      </c>
      <c r="C329" t="inlineStr">
        <is>
          <t>Yes</t>
        </is>
      </c>
      <c r="D329" t="n">
        <v>0</v>
      </c>
      <c r="E329" t="inlineStr">
        <is>
          <t>Graduate</t>
        </is>
      </c>
      <c r="F329" t="inlineStr">
        <is>
          <t>Yes</t>
        </is>
      </c>
      <c r="G329" t="n">
        <v>5818</v>
      </c>
      <c r="H329" t="n">
        <v>2160</v>
      </c>
      <c r="I329" t="n">
        <v>184</v>
      </c>
      <c r="J329" t="n">
        <v>360</v>
      </c>
      <c r="K329" t="n">
        <v>1</v>
      </c>
      <c r="L329" t="inlineStr">
        <is>
          <t>Semiurban</t>
        </is>
      </c>
      <c r="M329" t="inlineStr">
        <is>
          <t>Y</t>
        </is>
      </c>
      <c r="N329" t="inlineStr">
        <is>
          <t>Lower Risk</t>
        </is>
      </c>
    </row>
    <row r="330">
      <c r="A330" t="inlineStr">
        <is>
          <t>LP002086</t>
        </is>
      </c>
      <c r="B330" t="inlineStr">
        <is>
          <t>Female</t>
        </is>
      </c>
      <c r="C330" t="inlineStr">
        <is>
          <t>Yes</t>
        </is>
      </c>
      <c r="D330" t="n">
        <v>0</v>
      </c>
      <c r="E330" t="inlineStr">
        <is>
          <t>Graduate</t>
        </is>
      </c>
      <c r="F330" t="inlineStr">
        <is>
          <t>No</t>
        </is>
      </c>
      <c r="G330" t="n">
        <v>4333</v>
      </c>
      <c r="H330" t="n">
        <v>2451</v>
      </c>
      <c r="I330" t="n">
        <v>110</v>
      </c>
      <c r="J330" t="n">
        <v>360</v>
      </c>
      <c r="K330" t="n">
        <v>1</v>
      </c>
      <c r="L330" t="inlineStr">
        <is>
          <t>Urban</t>
        </is>
      </c>
      <c r="M330" t="inlineStr">
        <is>
          <t>N</t>
        </is>
      </c>
      <c r="N330" t="inlineStr">
        <is>
          <t>Medium Risk</t>
        </is>
      </c>
    </row>
    <row r="331">
      <c r="A331" t="inlineStr">
        <is>
          <t>LP002087</t>
        </is>
      </c>
      <c r="B331" t="inlineStr">
        <is>
          <t>Female</t>
        </is>
      </c>
      <c r="C331" t="inlineStr">
        <is>
          <t>No</t>
        </is>
      </c>
      <c r="D331" t="n">
        <v>0</v>
      </c>
      <c r="E331" t="inlineStr">
        <is>
          <t>Graduate</t>
        </is>
      </c>
      <c r="F331" t="inlineStr">
        <is>
          <t>No</t>
        </is>
      </c>
      <c r="G331" t="n">
        <v>2500</v>
      </c>
      <c r="H331" t="n">
        <v>0</v>
      </c>
      <c r="I331" t="n">
        <v>67</v>
      </c>
      <c r="J331" t="n">
        <v>360</v>
      </c>
      <c r="K331" t="n">
        <v>1</v>
      </c>
      <c r="L331" t="inlineStr">
        <is>
          <t>Urban</t>
        </is>
      </c>
      <c r="M331" t="inlineStr">
        <is>
          <t>Y</t>
        </is>
      </c>
      <c r="N331" t="inlineStr">
        <is>
          <t>Lower Risk</t>
        </is>
      </c>
    </row>
    <row r="332">
      <c r="A332" t="inlineStr">
        <is>
          <t>LP002097</t>
        </is>
      </c>
      <c r="B332" t="inlineStr">
        <is>
          <t>Male</t>
        </is>
      </c>
      <c r="C332" t="inlineStr">
        <is>
          <t>No</t>
        </is>
      </c>
      <c r="D332" t="n">
        <v>1</v>
      </c>
      <c r="E332" t="inlineStr">
        <is>
          <t>Graduate</t>
        </is>
      </c>
      <c r="F332" t="inlineStr">
        <is>
          <t>No</t>
        </is>
      </c>
      <c r="G332" t="n">
        <v>4384</v>
      </c>
      <c r="H332" t="n">
        <v>1793</v>
      </c>
      <c r="I332" t="n">
        <v>117</v>
      </c>
      <c r="J332" t="n">
        <v>360</v>
      </c>
      <c r="K332" t="n">
        <v>1</v>
      </c>
      <c r="L332" t="inlineStr">
        <is>
          <t>Urban</t>
        </is>
      </c>
      <c r="M332" t="inlineStr">
        <is>
          <t>Y</t>
        </is>
      </c>
      <c r="N332" t="inlineStr">
        <is>
          <t>Lower Risk</t>
        </is>
      </c>
    </row>
    <row r="333">
      <c r="A333" t="inlineStr">
        <is>
          <t>LP002098</t>
        </is>
      </c>
      <c r="B333" t="inlineStr">
        <is>
          <t>Male</t>
        </is>
      </c>
      <c r="C333" t="inlineStr">
        <is>
          <t>No</t>
        </is>
      </c>
      <c r="D333" t="n">
        <v>0</v>
      </c>
      <c r="E333" t="inlineStr">
        <is>
          <t>Graduate</t>
        </is>
      </c>
      <c r="F333" t="inlineStr">
        <is>
          <t>No</t>
        </is>
      </c>
      <c r="G333" t="n">
        <v>2935</v>
      </c>
      <c r="H333" t="n">
        <v>0</v>
      </c>
      <c r="I333" t="n">
        <v>98</v>
      </c>
      <c r="J333" t="n">
        <v>360</v>
      </c>
      <c r="K333" t="n">
        <v>1</v>
      </c>
      <c r="L333" t="inlineStr">
        <is>
          <t>Semiurban</t>
        </is>
      </c>
      <c r="M333" t="inlineStr">
        <is>
          <t>Y</t>
        </is>
      </c>
      <c r="N333" t="inlineStr">
        <is>
          <t>Lower Risk</t>
        </is>
      </c>
    </row>
    <row r="334">
      <c r="A334" t="inlineStr">
        <is>
          <t>LP002100</t>
        </is>
      </c>
      <c r="B334" t="inlineStr">
        <is>
          <t>Male</t>
        </is>
      </c>
      <c r="C334" t="inlineStr">
        <is>
          <t>No</t>
        </is>
      </c>
      <c r="D334" t="n">
        <v/>
      </c>
      <c r="E334" t="inlineStr">
        <is>
          <t>Graduate</t>
        </is>
      </c>
      <c r="F334" t="inlineStr">
        <is>
          <t>No</t>
        </is>
      </c>
      <c r="G334" t="n">
        <v>2833</v>
      </c>
      <c r="H334" t="n">
        <v>0</v>
      </c>
      <c r="I334" t="n">
        <v>71</v>
      </c>
      <c r="J334" t="n">
        <v>360</v>
      </c>
      <c r="K334" t="n">
        <v>1</v>
      </c>
      <c r="L334" t="inlineStr">
        <is>
          <t>Urban</t>
        </is>
      </c>
      <c r="M334" t="inlineStr">
        <is>
          <t>Y</t>
        </is>
      </c>
      <c r="N334" t="inlineStr">
        <is>
          <t>Lower Risk</t>
        </is>
      </c>
    </row>
    <row r="335">
      <c r="A335" t="inlineStr">
        <is>
          <t>LP002101</t>
        </is>
      </c>
      <c r="B335" t="inlineStr">
        <is>
          <t>Male</t>
        </is>
      </c>
      <c r="C335" t="inlineStr">
        <is>
          <t>Yes</t>
        </is>
      </c>
      <c r="D335" t="n">
        <v>0</v>
      </c>
      <c r="E335" t="inlineStr">
        <is>
          <t>Graduate</t>
        </is>
      </c>
      <c r="F335" t="n">
        <v/>
      </c>
      <c r="G335" t="n">
        <v>63337</v>
      </c>
      <c r="H335" t="n">
        <v>0</v>
      </c>
      <c r="I335" t="n">
        <v>490</v>
      </c>
      <c r="J335" t="n">
        <v>180</v>
      </c>
      <c r="K335" t="n">
        <v>1</v>
      </c>
      <c r="L335" t="inlineStr">
        <is>
          <t>Urban</t>
        </is>
      </c>
      <c r="M335" t="inlineStr">
        <is>
          <t>Y</t>
        </is>
      </c>
      <c r="N335" t="inlineStr">
        <is>
          <t>Lower Risk</t>
        </is>
      </c>
    </row>
    <row r="336">
      <c r="A336" t="inlineStr">
        <is>
          <t>LP002103</t>
        </is>
      </c>
      <c r="B336" t="n">
        <v/>
      </c>
      <c r="C336" t="inlineStr">
        <is>
          <t>Yes</t>
        </is>
      </c>
      <c r="D336" t="n">
        <v>1</v>
      </c>
      <c r="E336" t="inlineStr">
        <is>
          <t>Graduate</t>
        </is>
      </c>
      <c r="F336" t="inlineStr">
        <is>
          <t>Yes</t>
        </is>
      </c>
      <c r="G336" t="n">
        <v>9833</v>
      </c>
      <c r="H336" t="n">
        <v>1833</v>
      </c>
      <c r="I336" t="n">
        <v>182</v>
      </c>
      <c r="J336" t="n">
        <v>180</v>
      </c>
      <c r="K336" t="n">
        <v>1</v>
      </c>
      <c r="L336" t="inlineStr">
        <is>
          <t>Urban</t>
        </is>
      </c>
      <c r="M336" t="inlineStr">
        <is>
          <t>Y</t>
        </is>
      </c>
      <c r="N336" t="inlineStr">
        <is>
          <t>Lower Risk</t>
        </is>
      </c>
    </row>
    <row r="337">
      <c r="A337" t="inlineStr">
        <is>
          <t>LP002106</t>
        </is>
      </c>
      <c r="B337" t="inlineStr">
        <is>
          <t>Male</t>
        </is>
      </c>
      <c r="C337" t="inlineStr">
        <is>
          <t>Yes</t>
        </is>
      </c>
      <c r="D337" t="n">
        <v/>
      </c>
      <c r="E337" t="inlineStr">
        <is>
          <t>Graduate</t>
        </is>
      </c>
      <c r="F337" t="inlineStr">
        <is>
          <t>Yes</t>
        </is>
      </c>
      <c r="G337" t="n">
        <v>5503</v>
      </c>
      <c r="H337" t="n">
        <v>4490</v>
      </c>
      <c r="I337" t="n">
        <v>70</v>
      </c>
      <c r="J337" t="n">
        <v/>
      </c>
      <c r="K337" t="n">
        <v>1</v>
      </c>
      <c r="L337" t="inlineStr">
        <is>
          <t>Semiurban</t>
        </is>
      </c>
      <c r="M337" t="inlineStr">
        <is>
          <t>Y</t>
        </is>
      </c>
      <c r="N337" t="inlineStr">
        <is>
          <t>Lower Risk</t>
        </is>
      </c>
    </row>
    <row r="338">
      <c r="A338" t="inlineStr">
        <is>
          <t>LP002110</t>
        </is>
      </c>
      <c r="B338" t="inlineStr">
        <is>
          <t>Male</t>
        </is>
      </c>
      <c r="C338" t="inlineStr">
        <is>
          <t>Yes</t>
        </is>
      </c>
      <c r="D338" t="n">
        <v>1</v>
      </c>
      <c r="E338" t="inlineStr">
        <is>
          <t>Graduate</t>
        </is>
      </c>
      <c r="F338" t="n">
        <v/>
      </c>
      <c r="G338" t="n">
        <v>5250</v>
      </c>
      <c r="H338" t="n">
        <v>688</v>
      </c>
      <c r="I338" t="n">
        <v>160</v>
      </c>
      <c r="J338" t="n">
        <v>360</v>
      </c>
      <c r="K338" t="n">
        <v>1</v>
      </c>
      <c r="L338" t="inlineStr">
        <is>
          <t>Rural</t>
        </is>
      </c>
      <c r="M338" t="inlineStr">
        <is>
          <t>Y</t>
        </is>
      </c>
      <c r="N338" t="inlineStr">
        <is>
          <t>Lower Risk</t>
        </is>
      </c>
    </row>
    <row r="339">
      <c r="A339" t="inlineStr">
        <is>
          <t>LP002112</t>
        </is>
      </c>
      <c r="B339" t="inlineStr">
        <is>
          <t>Male</t>
        </is>
      </c>
      <c r="C339" t="inlineStr">
        <is>
          <t>Yes</t>
        </is>
      </c>
      <c r="D339" t="n">
        <v>2</v>
      </c>
      <c r="E339" t="inlineStr">
        <is>
          <t>Graduate</t>
        </is>
      </c>
      <c r="F339" t="inlineStr">
        <is>
          <t>Yes</t>
        </is>
      </c>
      <c r="G339" t="n">
        <v>2500</v>
      </c>
      <c r="H339" t="n">
        <v>4600</v>
      </c>
      <c r="I339" t="n">
        <v>176</v>
      </c>
      <c r="J339" t="n">
        <v>360</v>
      </c>
      <c r="K339" t="n">
        <v>1</v>
      </c>
      <c r="L339" t="inlineStr">
        <is>
          <t>Rural</t>
        </is>
      </c>
      <c r="M339" t="inlineStr">
        <is>
          <t>Y</t>
        </is>
      </c>
      <c r="N339" t="inlineStr">
        <is>
          <t>Lower Risk</t>
        </is>
      </c>
    </row>
    <row r="340">
      <c r="A340" t="inlineStr">
        <is>
          <t>LP002113</t>
        </is>
      </c>
      <c r="B340" t="inlineStr">
        <is>
          <t>Female</t>
        </is>
      </c>
      <c r="C340" t="inlineStr">
        <is>
          <t>No</t>
        </is>
      </c>
      <c r="D340" t="inlineStr">
        <is>
          <t>3+</t>
        </is>
      </c>
      <c r="E340" t="inlineStr">
        <is>
          <t>Not Graduate</t>
        </is>
      </c>
      <c r="F340" t="inlineStr">
        <is>
          <t>No</t>
        </is>
      </c>
      <c r="G340" t="n">
        <v>1830</v>
      </c>
      <c r="H340" t="n">
        <v>0</v>
      </c>
      <c r="I340" t="n">
        <v/>
      </c>
      <c r="J340" t="n">
        <v>360</v>
      </c>
      <c r="K340" t="n">
        <v>0</v>
      </c>
      <c r="L340" t="inlineStr">
        <is>
          <t>Urban</t>
        </is>
      </c>
      <c r="M340" t="inlineStr">
        <is>
          <t>N</t>
        </is>
      </c>
      <c r="N340" t="inlineStr">
        <is>
          <t>High Risk</t>
        </is>
      </c>
    </row>
    <row r="341">
      <c r="A341" t="inlineStr">
        <is>
          <t>LP002114</t>
        </is>
      </c>
      <c r="B341" t="inlineStr">
        <is>
          <t>Female</t>
        </is>
      </c>
      <c r="C341" t="inlineStr">
        <is>
          <t>No</t>
        </is>
      </c>
      <c r="D341" t="n">
        <v>0</v>
      </c>
      <c r="E341" t="inlineStr">
        <is>
          <t>Graduate</t>
        </is>
      </c>
      <c r="F341" t="inlineStr">
        <is>
          <t>No</t>
        </is>
      </c>
      <c r="G341" t="n">
        <v>4160</v>
      </c>
      <c r="H341" t="n">
        <v>0</v>
      </c>
      <c r="I341" t="n">
        <v>71</v>
      </c>
      <c r="J341" t="n">
        <v>360</v>
      </c>
      <c r="K341" t="n">
        <v>1</v>
      </c>
      <c r="L341" t="inlineStr">
        <is>
          <t>Semiurban</t>
        </is>
      </c>
      <c r="M341" t="inlineStr">
        <is>
          <t>Y</t>
        </is>
      </c>
      <c r="N341" t="inlineStr">
        <is>
          <t>Lower Risk</t>
        </is>
      </c>
    </row>
    <row r="342">
      <c r="A342" t="inlineStr">
        <is>
          <t>LP002115</t>
        </is>
      </c>
      <c r="B342" t="inlineStr">
        <is>
          <t>Male</t>
        </is>
      </c>
      <c r="C342" t="inlineStr">
        <is>
          <t>Yes</t>
        </is>
      </c>
      <c r="D342" t="inlineStr">
        <is>
          <t>3+</t>
        </is>
      </c>
      <c r="E342" t="inlineStr">
        <is>
          <t>Not Graduate</t>
        </is>
      </c>
      <c r="F342" t="inlineStr">
        <is>
          <t>No</t>
        </is>
      </c>
      <c r="G342" t="n">
        <v>2647</v>
      </c>
      <c r="H342" t="n">
        <v>1587</v>
      </c>
      <c r="I342" t="n">
        <v>173</v>
      </c>
      <c r="J342" t="n">
        <v>360</v>
      </c>
      <c r="K342" t="n">
        <v>1</v>
      </c>
      <c r="L342" t="inlineStr">
        <is>
          <t>Rural</t>
        </is>
      </c>
      <c r="M342" t="inlineStr">
        <is>
          <t>N</t>
        </is>
      </c>
      <c r="N342" t="inlineStr">
        <is>
          <t>Medium Risk</t>
        </is>
      </c>
    </row>
    <row r="343">
      <c r="A343" t="inlineStr">
        <is>
          <t>LP002116</t>
        </is>
      </c>
      <c r="B343" t="inlineStr">
        <is>
          <t>Female</t>
        </is>
      </c>
      <c r="C343" t="inlineStr">
        <is>
          <t>No</t>
        </is>
      </c>
      <c r="D343" t="n">
        <v>0</v>
      </c>
      <c r="E343" t="inlineStr">
        <is>
          <t>Graduate</t>
        </is>
      </c>
      <c r="F343" t="inlineStr">
        <is>
          <t>No</t>
        </is>
      </c>
      <c r="G343" t="n">
        <v>2378</v>
      </c>
      <c r="H343" t="n">
        <v>0</v>
      </c>
      <c r="I343" t="n">
        <v>46</v>
      </c>
      <c r="J343" t="n">
        <v>360</v>
      </c>
      <c r="K343" t="n">
        <v>1</v>
      </c>
      <c r="L343" t="inlineStr">
        <is>
          <t>Rural</t>
        </is>
      </c>
      <c r="M343" t="inlineStr">
        <is>
          <t>N</t>
        </is>
      </c>
      <c r="N343" t="inlineStr">
        <is>
          <t>Medium Risk</t>
        </is>
      </c>
    </row>
    <row r="344">
      <c r="A344" t="inlineStr">
        <is>
          <t>LP002119</t>
        </is>
      </c>
      <c r="B344" t="inlineStr">
        <is>
          <t>Male</t>
        </is>
      </c>
      <c r="C344" t="inlineStr">
        <is>
          <t>Yes</t>
        </is>
      </c>
      <c r="D344" t="n">
        <v>1</v>
      </c>
      <c r="E344" t="inlineStr">
        <is>
          <t>Not Graduate</t>
        </is>
      </c>
      <c r="F344" t="inlineStr">
        <is>
          <t>No</t>
        </is>
      </c>
      <c r="G344" t="n">
        <v>4554</v>
      </c>
      <c r="H344" t="n">
        <v>1229</v>
      </c>
      <c r="I344" t="n">
        <v>158</v>
      </c>
      <c r="J344" t="n">
        <v>360</v>
      </c>
      <c r="K344" t="n">
        <v>1</v>
      </c>
      <c r="L344" t="inlineStr">
        <is>
          <t>Urban</t>
        </is>
      </c>
      <c r="M344" t="inlineStr">
        <is>
          <t>Y</t>
        </is>
      </c>
      <c r="N344" t="inlineStr">
        <is>
          <t>Lower Risk</t>
        </is>
      </c>
    </row>
    <row r="345">
      <c r="A345" t="inlineStr">
        <is>
          <t>LP002126</t>
        </is>
      </c>
      <c r="B345" t="inlineStr">
        <is>
          <t>Male</t>
        </is>
      </c>
      <c r="C345" t="inlineStr">
        <is>
          <t>Yes</t>
        </is>
      </c>
      <c r="D345" t="inlineStr">
        <is>
          <t>3+</t>
        </is>
      </c>
      <c r="E345" t="inlineStr">
        <is>
          <t>Not Graduate</t>
        </is>
      </c>
      <c r="F345" t="inlineStr">
        <is>
          <t>No</t>
        </is>
      </c>
      <c r="G345" t="n">
        <v>3173</v>
      </c>
      <c r="H345" t="n">
        <v>0</v>
      </c>
      <c r="I345" t="n">
        <v>74</v>
      </c>
      <c r="J345" t="n">
        <v>360</v>
      </c>
      <c r="K345" t="n">
        <v>1</v>
      </c>
      <c r="L345" t="inlineStr">
        <is>
          <t>Semiurban</t>
        </is>
      </c>
      <c r="M345" t="inlineStr">
        <is>
          <t>Y</t>
        </is>
      </c>
      <c r="N345" t="inlineStr">
        <is>
          <t>Lower Risk</t>
        </is>
      </c>
    </row>
    <row r="346">
      <c r="A346" t="inlineStr">
        <is>
          <t>LP002128</t>
        </is>
      </c>
      <c r="B346" t="inlineStr">
        <is>
          <t>Male</t>
        </is>
      </c>
      <c r="C346" t="inlineStr">
        <is>
          <t>Yes</t>
        </is>
      </c>
      <c r="D346" t="n">
        <v>2</v>
      </c>
      <c r="E346" t="inlineStr">
        <is>
          <t>Graduate</t>
        </is>
      </c>
      <c r="F346" t="n">
        <v/>
      </c>
      <c r="G346" t="n">
        <v>2583</v>
      </c>
      <c r="H346" t="n">
        <v>2330</v>
      </c>
      <c r="I346" t="n">
        <v>125</v>
      </c>
      <c r="J346" t="n">
        <v>360</v>
      </c>
      <c r="K346" t="n">
        <v>1</v>
      </c>
      <c r="L346" t="inlineStr">
        <is>
          <t>Rural</t>
        </is>
      </c>
      <c r="M346" t="inlineStr">
        <is>
          <t>Y</t>
        </is>
      </c>
      <c r="N346" t="inlineStr">
        <is>
          <t>Lower Risk</t>
        </is>
      </c>
    </row>
    <row r="347">
      <c r="A347" t="inlineStr">
        <is>
          <t>LP002129</t>
        </is>
      </c>
      <c r="B347" t="inlineStr">
        <is>
          <t>Male</t>
        </is>
      </c>
      <c r="C347" t="inlineStr">
        <is>
          <t>Yes</t>
        </is>
      </c>
      <c r="D347" t="n">
        <v>0</v>
      </c>
      <c r="E347" t="inlineStr">
        <is>
          <t>Graduate</t>
        </is>
      </c>
      <c r="F347" t="inlineStr">
        <is>
          <t>No</t>
        </is>
      </c>
      <c r="G347" t="n">
        <v>2499</v>
      </c>
      <c r="H347" t="n">
        <v>2458</v>
      </c>
      <c r="I347" t="n">
        <v>160</v>
      </c>
      <c r="J347" t="n">
        <v>360</v>
      </c>
      <c r="K347" t="n">
        <v>1</v>
      </c>
      <c r="L347" t="inlineStr">
        <is>
          <t>Semiurban</t>
        </is>
      </c>
      <c r="M347" t="inlineStr">
        <is>
          <t>Y</t>
        </is>
      </c>
      <c r="N347" t="inlineStr">
        <is>
          <t>Lower Risk</t>
        </is>
      </c>
    </row>
    <row r="348">
      <c r="A348" t="inlineStr">
        <is>
          <t>LP002130</t>
        </is>
      </c>
      <c r="B348" t="inlineStr">
        <is>
          <t>Male</t>
        </is>
      </c>
      <c r="C348" t="inlineStr">
        <is>
          <t>Yes</t>
        </is>
      </c>
      <c r="D348" t="n">
        <v/>
      </c>
      <c r="E348" t="inlineStr">
        <is>
          <t>Not Graduate</t>
        </is>
      </c>
      <c r="F348" t="inlineStr">
        <is>
          <t>No</t>
        </is>
      </c>
      <c r="G348" t="n">
        <v>3523</v>
      </c>
      <c r="H348" t="n">
        <v>3230</v>
      </c>
      <c r="I348" t="n">
        <v>152</v>
      </c>
      <c r="J348" t="n">
        <v>360</v>
      </c>
      <c r="K348" t="n">
        <v>0</v>
      </c>
      <c r="L348" t="inlineStr">
        <is>
          <t>Rural</t>
        </is>
      </c>
      <c r="M348" t="inlineStr">
        <is>
          <t>N</t>
        </is>
      </c>
      <c r="N348" t="inlineStr">
        <is>
          <t>High Risk</t>
        </is>
      </c>
    </row>
    <row r="349">
      <c r="A349" t="inlineStr">
        <is>
          <t>LP002131</t>
        </is>
      </c>
      <c r="B349" t="inlineStr">
        <is>
          <t>Male</t>
        </is>
      </c>
      <c r="C349" t="inlineStr">
        <is>
          <t>Yes</t>
        </is>
      </c>
      <c r="D349" t="n">
        <v>2</v>
      </c>
      <c r="E349" t="inlineStr">
        <is>
          <t>Not Graduate</t>
        </is>
      </c>
      <c r="F349" t="inlineStr">
        <is>
          <t>No</t>
        </is>
      </c>
      <c r="G349" t="n">
        <v>3083</v>
      </c>
      <c r="H349" t="n">
        <v>2168</v>
      </c>
      <c r="I349" t="n">
        <v>126</v>
      </c>
      <c r="J349" t="n">
        <v>360</v>
      </c>
      <c r="K349" t="n">
        <v>1</v>
      </c>
      <c r="L349" t="inlineStr">
        <is>
          <t>Urban</t>
        </is>
      </c>
      <c r="M349" t="inlineStr">
        <is>
          <t>Y</t>
        </is>
      </c>
      <c r="N349" t="inlineStr">
        <is>
          <t>Lower Risk</t>
        </is>
      </c>
    </row>
    <row r="350">
      <c r="A350" t="inlineStr">
        <is>
          <t>LP002137</t>
        </is>
      </c>
      <c r="B350" t="inlineStr">
        <is>
          <t>Male</t>
        </is>
      </c>
      <c r="C350" t="inlineStr">
        <is>
          <t>Yes</t>
        </is>
      </c>
      <c r="D350" t="n">
        <v>0</v>
      </c>
      <c r="E350" t="inlineStr">
        <is>
          <t>Graduate</t>
        </is>
      </c>
      <c r="F350" t="inlineStr">
        <is>
          <t>No</t>
        </is>
      </c>
      <c r="G350" t="n">
        <v>6333</v>
      </c>
      <c r="H350" t="n">
        <v>4583</v>
      </c>
      <c r="I350" t="n">
        <v>259</v>
      </c>
      <c r="J350" t="n">
        <v>360</v>
      </c>
      <c r="K350" t="n">
        <v/>
      </c>
      <c r="L350" t="inlineStr">
        <is>
          <t>Semiurban</t>
        </is>
      </c>
      <c r="M350" t="inlineStr">
        <is>
          <t>Y</t>
        </is>
      </c>
      <c r="N350" t="inlineStr">
        <is>
          <t>Medium Risk</t>
        </is>
      </c>
    </row>
    <row r="351">
      <c r="A351" t="inlineStr">
        <is>
          <t>LP002138</t>
        </is>
      </c>
      <c r="B351" t="inlineStr">
        <is>
          <t>Male</t>
        </is>
      </c>
      <c r="C351" t="inlineStr">
        <is>
          <t>Yes</t>
        </is>
      </c>
      <c r="D351" t="n">
        <v>0</v>
      </c>
      <c r="E351" t="inlineStr">
        <is>
          <t>Graduate</t>
        </is>
      </c>
      <c r="F351" t="inlineStr">
        <is>
          <t>No</t>
        </is>
      </c>
      <c r="G351" t="n">
        <v>2625</v>
      </c>
      <c r="H351" t="n">
        <v>6250</v>
      </c>
      <c r="I351" t="n">
        <v>187</v>
      </c>
      <c r="J351" t="n">
        <v>360</v>
      </c>
      <c r="K351" t="n">
        <v>1</v>
      </c>
      <c r="L351" t="inlineStr">
        <is>
          <t>Rural</t>
        </is>
      </c>
      <c r="M351" t="inlineStr">
        <is>
          <t>Y</t>
        </is>
      </c>
      <c r="N351" t="inlineStr">
        <is>
          <t>Lower Risk</t>
        </is>
      </c>
    </row>
    <row r="352">
      <c r="A352" t="inlineStr">
        <is>
          <t>LP002139</t>
        </is>
      </c>
      <c r="B352" t="inlineStr">
        <is>
          <t>Male</t>
        </is>
      </c>
      <c r="C352" t="inlineStr">
        <is>
          <t>Yes</t>
        </is>
      </c>
      <c r="D352" t="n">
        <v>0</v>
      </c>
      <c r="E352" t="inlineStr">
        <is>
          <t>Graduate</t>
        </is>
      </c>
      <c r="F352" t="inlineStr">
        <is>
          <t>No</t>
        </is>
      </c>
      <c r="G352" t="n">
        <v>9083</v>
      </c>
      <c r="H352" t="n">
        <v>0</v>
      </c>
      <c r="I352" t="n">
        <v>228</v>
      </c>
      <c r="J352" t="n">
        <v>360</v>
      </c>
      <c r="K352" t="n">
        <v>1</v>
      </c>
      <c r="L352" t="inlineStr">
        <is>
          <t>Semiurban</t>
        </is>
      </c>
      <c r="M352" t="inlineStr">
        <is>
          <t>Y</t>
        </is>
      </c>
      <c r="N352" t="inlineStr">
        <is>
          <t>Lower Risk</t>
        </is>
      </c>
    </row>
    <row r="353">
      <c r="A353" t="inlineStr">
        <is>
          <t>LP002140</t>
        </is>
      </c>
      <c r="B353" t="inlineStr">
        <is>
          <t>Male</t>
        </is>
      </c>
      <c r="C353" t="inlineStr">
        <is>
          <t>No</t>
        </is>
      </c>
      <c r="D353" t="n">
        <v>0</v>
      </c>
      <c r="E353" t="inlineStr">
        <is>
          <t>Graduate</t>
        </is>
      </c>
      <c r="F353" t="inlineStr">
        <is>
          <t>No</t>
        </is>
      </c>
      <c r="G353" t="n">
        <v>8750</v>
      </c>
      <c r="H353" t="n">
        <v>4167</v>
      </c>
      <c r="I353" t="n">
        <v>308</v>
      </c>
      <c r="J353" t="n">
        <v>360</v>
      </c>
      <c r="K353" t="n">
        <v>1</v>
      </c>
      <c r="L353" t="inlineStr">
        <is>
          <t>Rural</t>
        </is>
      </c>
      <c r="M353" t="inlineStr">
        <is>
          <t>N</t>
        </is>
      </c>
      <c r="N353" t="inlineStr">
        <is>
          <t>Medium Risk</t>
        </is>
      </c>
    </row>
    <row r="354">
      <c r="A354" t="inlineStr">
        <is>
          <t>LP002141</t>
        </is>
      </c>
      <c r="B354" t="inlineStr">
        <is>
          <t>Male</t>
        </is>
      </c>
      <c r="C354" t="inlineStr">
        <is>
          <t>Yes</t>
        </is>
      </c>
      <c r="D354" t="inlineStr">
        <is>
          <t>3+</t>
        </is>
      </c>
      <c r="E354" t="inlineStr">
        <is>
          <t>Graduate</t>
        </is>
      </c>
      <c r="F354" t="inlineStr">
        <is>
          <t>No</t>
        </is>
      </c>
      <c r="G354" t="n">
        <v>2666</v>
      </c>
      <c r="H354" t="n">
        <v>2083</v>
      </c>
      <c r="I354" t="n">
        <v>95</v>
      </c>
      <c r="J354" t="n">
        <v>360</v>
      </c>
      <c r="K354" t="n">
        <v>1</v>
      </c>
      <c r="L354" t="inlineStr">
        <is>
          <t>Rural</t>
        </is>
      </c>
      <c r="M354" t="inlineStr">
        <is>
          <t>Y</t>
        </is>
      </c>
      <c r="N354" t="inlineStr">
        <is>
          <t>Lower Risk</t>
        </is>
      </c>
    </row>
    <row r="355">
      <c r="A355" t="inlineStr">
        <is>
          <t>LP002142</t>
        </is>
      </c>
      <c r="B355" t="inlineStr">
        <is>
          <t>Female</t>
        </is>
      </c>
      <c r="C355" t="inlineStr">
        <is>
          <t>Yes</t>
        </is>
      </c>
      <c r="D355" t="n">
        <v>0</v>
      </c>
      <c r="E355" t="inlineStr">
        <is>
          <t>Graduate</t>
        </is>
      </c>
      <c r="F355" t="inlineStr">
        <is>
          <t>Yes</t>
        </is>
      </c>
      <c r="G355" t="n">
        <v>5500</v>
      </c>
      <c r="H355" t="n">
        <v>0</v>
      </c>
      <c r="I355" t="n">
        <v>105</v>
      </c>
      <c r="J355" t="n">
        <v>360</v>
      </c>
      <c r="K355" t="n">
        <v>0</v>
      </c>
      <c r="L355" t="inlineStr">
        <is>
          <t>Rural</t>
        </is>
      </c>
      <c r="M355" t="inlineStr">
        <is>
          <t>N</t>
        </is>
      </c>
      <c r="N355" t="inlineStr">
        <is>
          <t>High Risk</t>
        </is>
      </c>
    </row>
    <row r="356">
      <c r="A356" t="inlineStr">
        <is>
          <t>LP002143</t>
        </is>
      </c>
      <c r="B356" t="inlineStr">
        <is>
          <t>Female</t>
        </is>
      </c>
      <c r="C356" t="inlineStr">
        <is>
          <t>Yes</t>
        </is>
      </c>
      <c r="D356" t="n">
        <v>0</v>
      </c>
      <c r="E356" t="inlineStr">
        <is>
          <t>Graduate</t>
        </is>
      </c>
      <c r="F356" t="inlineStr">
        <is>
          <t>No</t>
        </is>
      </c>
      <c r="G356" t="n">
        <v>2423</v>
      </c>
      <c r="H356" t="n">
        <v>505</v>
      </c>
      <c r="I356" t="n">
        <v>130</v>
      </c>
      <c r="J356" t="n">
        <v>360</v>
      </c>
      <c r="K356" t="n">
        <v>1</v>
      </c>
      <c r="L356" t="inlineStr">
        <is>
          <t>Semiurban</t>
        </is>
      </c>
      <c r="M356" t="inlineStr">
        <is>
          <t>Y</t>
        </is>
      </c>
      <c r="N356" t="inlineStr">
        <is>
          <t>Lower Risk</t>
        </is>
      </c>
    </row>
    <row r="357">
      <c r="A357" t="inlineStr">
        <is>
          <t>LP002144</t>
        </is>
      </c>
      <c r="B357" t="inlineStr">
        <is>
          <t>Female</t>
        </is>
      </c>
      <c r="C357" t="inlineStr">
        <is>
          <t>No</t>
        </is>
      </c>
      <c r="D357" t="n">
        <v/>
      </c>
      <c r="E357" t="inlineStr">
        <is>
          <t>Graduate</t>
        </is>
      </c>
      <c r="F357" t="inlineStr">
        <is>
          <t>No</t>
        </is>
      </c>
      <c r="G357" t="n">
        <v>3813</v>
      </c>
      <c r="H357" t="n">
        <v>0</v>
      </c>
      <c r="I357" t="n">
        <v>116</v>
      </c>
      <c r="J357" t="n">
        <v>180</v>
      </c>
      <c r="K357" t="n">
        <v>1</v>
      </c>
      <c r="L357" t="inlineStr">
        <is>
          <t>Urban</t>
        </is>
      </c>
      <c r="M357" t="inlineStr">
        <is>
          <t>Y</t>
        </is>
      </c>
      <c r="N357" t="inlineStr">
        <is>
          <t>Lower Risk</t>
        </is>
      </c>
    </row>
    <row r="358">
      <c r="A358" t="inlineStr">
        <is>
          <t>LP002149</t>
        </is>
      </c>
      <c r="B358" t="inlineStr">
        <is>
          <t>Male</t>
        </is>
      </c>
      <c r="C358" t="inlineStr">
        <is>
          <t>Yes</t>
        </is>
      </c>
      <c r="D358" t="n">
        <v>2</v>
      </c>
      <c r="E358" t="inlineStr">
        <is>
          <t>Graduate</t>
        </is>
      </c>
      <c r="F358" t="inlineStr">
        <is>
          <t>No</t>
        </is>
      </c>
      <c r="G358" t="n">
        <v>8333</v>
      </c>
      <c r="H358" t="n">
        <v>3167</v>
      </c>
      <c r="I358" t="n">
        <v>165</v>
      </c>
      <c r="J358" t="n">
        <v>360</v>
      </c>
      <c r="K358" t="n">
        <v>1</v>
      </c>
      <c r="L358" t="inlineStr">
        <is>
          <t>Rural</t>
        </is>
      </c>
      <c r="M358" t="inlineStr">
        <is>
          <t>Y</t>
        </is>
      </c>
      <c r="N358" t="inlineStr">
        <is>
          <t>Lower Risk</t>
        </is>
      </c>
    </row>
    <row r="359">
      <c r="A359" t="inlineStr">
        <is>
          <t>LP002151</t>
        </is>
      </c>
      <c r="B359" t="inlineStr">
        <is>
          <t>Male</t>
        </is>
      </c>
      <c r="C359" t="inlineStr">
        <is>
          <t>Yes</t>
        </is>
      </c>
      <c r="D359" t="n">
        <v>1</v>
      </c>
      <c r="E359" t="inlineStr">
        <is>
          <t>Graduate</t>
        </is>
      </c>
      <c r="F359" t="inlineStr">
        <is>
          <t>No</t>
        </is>
      </c>
      <c r="G359" t="n">
        <v>3875</v>
      </c>
      <c r="H359" t="n">
        <v>0</v>
      </c>
      <c r="I359" t="n">
        <v>67</v>
      </c>
      <c r="J359" t="n">
        <v>360</v>
      </c>
      <c r="K359" t="n">
        <v>1</v>
      </c>
      <c r="L359" t="inlineStr">
        <is>
          <t>Urban</t>
        </is>
      </c>
      <c r="M359" t="inlineStr">
        <is>
          <t>N</t>
        </is>
      </c>
      <c r="N359" t="inlineStr">
        <is>
          <t>Medium Risk</t>
        </is>
      </c>
    </row>
    <row r="360">
      <c r="A360" t="inlineStr">
        <is>
          <t>LP002158</t>
        </is>
      </c>
      <c r="B360" t="inlineStr">
        <is>
          <t>Male</t>
        </is>
      </c>
      <c r="C360" t="inlineStr">
        <is>
          <t>Yes</t>
        </is>
      </c>
      <c r="D360" t="n">
        <v>0</v>
      </c>
      <c r="E360" t="inlineStr">
        <is>
          <t>Not Graduate</t>
        </is>
      </c>
      <c r="F360" t="inlineStr">
        <is>
          <t>No</t>
        </is>
      </c>
      <c r="G360" t="n">
        <v>3000</v>
      </c>
      <c r="H360" t="n">
        <v>1666</v>
      </c>
      <c r="I360" t="n">
        <v>100</v>
      </c>
      <c r="J360" t="n">
        <v>480</v>
      </c>
      <c r="K360" t="n">
        <v>0</v>
      </c>
      <c r="L360" t="inlineStr">
        <is>
          <t>Urban</t>
        </is>
      </c>
      <c r="M360" t="inlineStr">
        <is>
          <t>N</t>
        </is>
      </c>
      <c r="N360" t="inlineStr">
        <is>
          <t>High Risk</t>
        </is>
      </c>
    </row>
    <row r="361">
      <c r="A361" t="inlineStr">
        <is>
          <t>LP002160</t>
        </is>
      </c>
      <c r="B361" t="inlineStr">
        <is>
          <t>Male</t>
        </is>
      </c>
      <c r="C361" t="inlineStr">
        <is>
          <t>Yes</t>
        </is>
      </c>
      <c r="D361" t="inlineStr">
        <is>
          <t>3+</t>
        </is>
      </c>
      <c r="E361" t="inlineStr">
        <is>
          <t>Graduate</t>
        </is>
      </c>
      <c r="F361" t="inlineStr">
        <is>
          <t>No</t>
        </is>
      </c>
      <c r="G361" t="n">
        <v>5167</v>
      </c>
      <c r="H361" t="n">
        <v>3167</v>
      </c>
      <c r="I361" t="n">
        <v>200</v>
      </c>
      <c r="J361" t="n">
        <v>360</v>
      </c>
      <c r="K361" t="n">
        <v>1</v>
      </c>
      <c r="L361" t="inlineStr">
        <is>
          <t>Semiurban</t>
        </is>
      </c>
      <c r="M361" t="inlineStr">
        <is>
          <t>Y</t>
        </is>
      </c>
      <c r="N361" t="inlineStr">
        <is>
          <t>Lower Risk</t>
        </is>
      </c>
    </row>
    <row r="362">
      <c r="A362" t="inlineStr">
        <is>
          <t>LP002161</t>
        </is>
      </c>
      <c r="B362" t="inlineStr">
        <is>
          <t>Female</t>
        </is>
      </c>
      <c r="C362" t="inlineStr">
        <is>
          <t>No</t>
        </is>
      </c>
      <c r="D362" t="n">
        <v>1</v>
      </c>
      <c r="E362" t="inlineStr">
        <is>
          <t>Graduate</t>
        </is>
      </c>
      <c r="F362" t="inlineStr">
        <is>
          <t>No</t>
        </is>
      </c>
      <c r="G362" t="n">
        <v>4723</v>
      </c>
      <c r="H362" t="n">
        <v>0</v>
      </c>
      <c r="I362" t="n">
        <v>81</v>
      </c>
      <c r="J362" t="n">
        <v>360</v>
      </c>
      <c r="K362" t="n">
        <v>1</v>
      </c>
      <c r="L362" t="inlineStr">
        <is>
          <t>Semiurban</t>
        </is>
      </c>
      <c r="M362" t="inlineStr">
        <is>
          <t>N</t>
        </is>
      </c>
      <c r="N362" t="inlineStr">
        <is>
          <t>Medium Risk</t>
        </is>
      </c>
    </row>
    <row r="363">
      <c r="A363" t="inlineStr">
        <is>
          <t>LP002170</t>
        </is>
      </c>
      <c r="B363" t="inlineStr">
        <is>
          <t>Male</t>
        </is>
      </c>
      <c r="C363" t="inlineStr">
        <is>
          <t>Yes</t>
        </is>
      </c>
      <c r="D363" t="n">
        <v>2</v>
      </c>
      <c r="E363" t="inlineStr">
        <is>
          <t>Graduate</t>
        </is>
      </c>
      <c r="F363" t="inlineStr">
        <is>
          <t>No</t>
        </is>
      </c>
      <c r="G363" t="n">
        <v>5000</v>
      </c>
      <c r="H363" t="n">
        <v>3667</v>
      </c>
      <c r="I363" t="n">
        <v>236</v>
      </c>
      <c r="J363" t="n">
        <v>360</v>
      </c>
      <c r="K363" t="n">
        <v>1</v>
      </c>
      <c r="L363" t="inlineStr">
        <is>
          <t>Semiurban</t>
        </is>
      </c>
      <c r="M363" t="inlineStr">
        <is>
          <t>Y</t>
        </is>
      </c>
      <c r="N363" t="inlineStr">
        <is>
          <t>Lower Risk</t>
        </is>
      </c>
    </row>
    <row r="364">
      <c r="A364" t="inlineStr">
        <is>
          <t>LP002175</t>
        </is>
      </c>
      <c r="B364" t="inlineStr">
        <is>
          <t>Male</t>
        </is>
      </c>
      <c r="C364" t="inlineStr">
        <is>
          <t>Yes</t>
        </is>
      </c>
      <c r="D364" t="n">
        <v>0</v>
      </c>
      <c r="E364" t="inlineStr">
        <is>
          <t>Graduate</t>
        </is>
      </c>
      <c r="F364" t="inlineStr">
        <is>
          <t>No</t>
        </is>
      </c>
      <c r="G364" t="n">
        <v>4750</v>
      </c>
      <c r="H364" t="n">
        <v>2333</v>
      </c>
      <c r="I364" t="n">
        <v>130</v>
      </c>
      <c r="J364" t="n">
        <v>360</v>
      </c>
      <c r="K364" t="n">
        <v>1</v>
      </c>
      <c r="L364" t="inlineStr">
        <is>
          <t>Urban</t>
        </is>
      </c>
      <c r="M364" t="inlineStr">
        <is>
          <t>Y</t>
        </is>
      </c>
      <c r="N364" t="inlineStr">
        <is>
          <t>Lower Risk</t>
        </is>
      </c>
    </row>
    <row r="365">
      <c r="A365" t="inlineStr">
        <is>
          <t>LP002178</t>
        </is>
      </c>
      <c r="B365" t="inlineStr">
        <is>
          <t>Male</t>
        </is>
      </c>
      <c r="C365" t="inlineStr">
        <is>
          <t>Yes</t>
        </is>
      </c>
      <c r="D365" t="n">
        <v>0</v>
      </c>
      <c r="E365" t="inlineStr">
        <is>
          <t>Graduate</t>
        </is>
      </c>
      <c r="F365" t="inlineStr">
        <is>
          <t>No</t>
        </is>
      </c>
      <c r="G365" t="n">
        <v>3013</v>
      </c>
      <c r="H365" t="n">
        <v>3033</v>
      </c>
      <c r="I365" t="n">
        <v>95</v>
      </c>
      <c r="J365" t="n">
        <v>300</v>
      </c>
      <c r="K365" t="n">
        <v/>
      </c>
      <c r="L365" t="inlineStr">
        <is>
          <t>Urban</t>
        </is>
      </c>
      <c r="M365" t="inlineStr">
        <is>
          <t>Y</t>
        </is>
      </c>
      <c r="N365" t="inlineStr">
        <is>
          <t>Medium Risk</t>
        </is>
      </c>
    </row>
    <row r="366">
      <c r="A366" t="inlineStr">
        <is>
          <t>LP002180</t>
        </is>
      </c>
      <c r="B366" t="inlineStr">
        <is>
          <t>Male</t>
        </is>
      </c>
      <c r="C366" t="inlineStr">
        <is>
          <t>No</t>
        </is>
      </c>
      <c r="D366" t="n">
        <v>0</v>
      </c>
      <c r="E366" t="inlineStr">
        <is>
          <t>Graduate</t>
        </is>
      </c>
      <c r="F366" t="inlineStr">
        <is>
          <t>Yes</t>
        </is>
      </c>
      <c r="G366" t="n">
        <v>6822</v>
      </c>
      <c r="H366" t="n">
        <v>0</v>
      </c>
      <c r="I366" t="n">
        <v>141</v>
      </c>
      <c r="J366" t="n">
        <v>360</v>
      </c>
      <c r="K366" t="n">
        <v>1</v>
      </c>
      <c r="L366" t="inlineStr">
        <is>
          <t>Rural</t>
        </is>
      </c>
      <c r="M366" t="inlineStr">
        <is>
          <t>Y</t>
        </is>
      </c>
      <c r="N366" t="inlineStr">
        <is>
          <t>Lower Risk</t>
        </is>
      </c>
    </row>
    <row r="367">
      <c r="A367" t="inlineStr">
        <is>
          <t>LP002181</t>
        </is>
      </c>
      <c r="B367" t="inlineStr">
        <is>
          <t>Male</t>
        </is>
      </c>
      <c r="C367" t="inlineStr">
        <is>
          <t>No</t>
        </is>
      </c>
      <c r="D367" t="n">
        <v>0</v>
      </c>
      <c r="E367" t="inlineStr">
        <is>
          <t>Not Graduate</t>
        </is>
      </c>
      <c r="F367" t="inlineStr">
        <is>
          <t>No</t>
        </is>
      </c>
      <c r="G367" t="n">
        <v>6216</v>
      </c>
      <c r="H367" t="n">
        <v>0</v>
      </c>
      <c r="I367" t="n">
        <v>133</v>
      </c>
      <c r="J367" t="n">
        <v>360</v>
      </c>
      <c r="K367" t="n">
        <v>1</v>
      </c>
      <c r="L367" t="inlineStr">
        <is>
          <t>Rural</t>
        </is>
      </c>
      <c r="M367" t="inlineStr">
        <is>
          <t>N</t>
        </is>
      </c>
      <c r="N367" t="inlineStr">
        <is>
          <t>Medium Risk</t>
        </is>
      </c>
    </row>
    <row r="368">
      <c r="A368" t="inlineStr">
        <is>
          <t>LP002187</t>
        </is>
      </c>
      <c r="B368" t="inlineStr">
        <is>
          <t>Male</t>
        </is>
      </c>
      <c r="C368" t="inlineStr">
        <is>
          <t>No</t>
        </is>
      </c>
      <c r="D368" t="n">
        <v>0</v>
      </c>
      <c r="E368" t="inlineStr">
        <is>
          <t>Graduate</t>
        </is>
      </c>
      <c r="F368" t="inlineStr">
        <is>
          <t>No</t>
        </is>
      </c>
      <c r="G368" t="n">
        <v>2500</v>
      </c>
      <c r="H368" t="n">
        <v>0</v>
      </c>
      <c r="I368" t="n">
        <v>96</v>
      </c>
      <c r="J368" t="n">
        <v>480</v>
      </c>
      <c r="K368" t="n">
        <v>1</v>
      </c>
      <c r="L368" t="inlineStr">
        <is>
          <t>Semiurban</t>
        </is>
      </c>
      <c r="M368" t="inlineStr">
        <is>
          <t>N</t>
        </is>
      </c>
      <c r="N368" t="inlineStr">
        <is>
          <t>Medium Risk</t>
        </is>
      </c>
    </row>
    <row r="369">
      <c r="A369" t="inlineStr">
        <is>
          <t>LP002188</t>
        </is>
      </c>
      <c r="B369" t="inlineStr">
        <is>
          <t>Male</t>
        </is>
      </c>
      <c r="C369" t="inlineStr">
        <is>
          <t>No</t>
        </is>
      </c>
      <c r="D369" t="n">
        <v>0</v>
      </c>
      <c r="E369" t="inlineStr">
        <is>
          <t>Graduate</t>
        </is>
      </c>
      <c r="F369" t="inlineStr">
        <is>
          <t>No</t>
        </is>
      </c>
      <c r="G369" t="n">
        <v>5124</v>
      </c>
      <c r="H369" t="n">
        <v>0</v>
      </c>
      <c r="I369" t="n">
        <v>124</v>
      </c>
      <c r="J369" t="n">
        <v/>
      </c>
      <c r="K369" t="n">
        <v>0</v>
      </c>
      <c r="L369" t="inlineStr">
        <is>
          <t>Rural</t>
        </is>
      </c>
      <c r="M369" t="inlineStr">
        <is>
          <t>N</t>
        </is>
      </c>
      <c r="N369" t="inlineStr">
        <is>
          <t>High Risk</t>
        </is>
      </c>
    </row>
    <row r="370">
      <c r="A370" t="inlineStr">
        <is>
          <t>LP002190</t>
        </is>
      </c>
      <c r="B370" t="inlineStr">
        <is>
          <t>Male</t>
        </is>
      </c>
      <c r="C370" t="inlineStr">
        <is>
          <t>Yes</t>
        </is>
      </c>
      <c r="D370" t="n">
        <v>1</v>
      </c>
      <c r="E370" t="inlineStr">
        <is>
          <t>Graduate</t>
        </is>
      </c>
      <c r="F370" t="inlineStr">
        <is>
          <t>No</t>
        </is>
      </c>
      <c r="G370" t="n">
        <v>6325</v>
      </c>
      <c r="H370" t="n">
        <v>0</v>
      </c>
      <c r="I370" t="n">
        <v>175</v>
      </c>
      <c r="J370" t="n">
        <v>360</v>
      </c>
      <c r="K370" t="n">
        <v>1</v>
      </c>
      <c r="L370" t="inlineStr">
        <is>
          <t>Semiurban</t>
        </is>
      </c>
      <c r="M370" t="inlineStr">
        <is>
          <t>Y</t>
        </is>
      </c>
      <c r="N370" t="inlineStr">
        <is>
          <t>Lower Risk</t>
        </is>
      </c>
    </row>
    <row r="371">
      <c r="A371" t="inlineStr">
        <is>
          <t>LP002191</t>
        </is>
      </c>
      <c r="B371" t="inlineStr">
        <is>
          <t>Male</t>
        </is>
      </c>
      <c r="C371" t="inlineStr">
        <is>
          <t>Yes</t>
        </is>
      </c>
      <c r="D371" t="n">
        <v>0</v>
      </c>
      <c r="E371" t="inlineStr">
        <is>
          <t>Graduate</t>
        </is>
      </c>
      <c r="F371" t="inlineStr">
        <is>
          <t>No</t>
        </is>
      </c>
      <c r="G371" t="n">
        <v>19730</v>
      </c>
      <c r="H371" t="n">
        <v>5266</v>
      </c>
      <c r="I371" t="n">
        <v>570</v>
      </c>
      <c r="J371" t="n">
        <v>360</v>
      </c>
      <c r="K371" t="n">
        <v>1</v>
      </c>
      <c r="L371" t="inlineStr">
        <is>
          <t>Rural</t>
        </is>
      </c>
      <c r="M371" t="inlineStr">
        <is>
          <t>N</t>
        </is>
      </c>
      <c r="N371" t="inlineStr">
        <is>
          <t>Medium Risk</t>
        </is>
      </c>
    </row>
    <row r="372">
      <c r="A372" t="inlineStr">
        <is>
          <t>LP002194</t>
        </is>
      </c>
      <c r="B372" t="inlineStr">
        <is>
          <t>Female</t>
        </is>
      </c>
      <c r="C372" t="inlineStr">
        <is>
          <t>No</t>
        </is>
      </c>
      <c r="D372" t="n">
        <v>0</v>
      </c>
      <c r="E372" t="inlineStr">
        <is>
          <t>Graduate</t>
        </is>
      </c>
      <c r="F372" t="inlineStr">
        <is>
          <t>Yes</t>
        </is>
      </c>
      <c r="G372" t="n">
        <v>15759</v>
      </c>
      <c r="H372" t="n">
        <v>0</v>
      </c>
      <c r="I372" t="n">
        <v>55</v>
      </c>
      <c r="J372" t="n">
        <v>360</v>
      </c>
      <c r="K372" t="n">
        <v>1</v>
      </c>
      <c r="L372" t="inlineStr">
        <is>
          <t>Semiurban</t>
        </is>
      </c>
      <c r="M372" t="inlineStr">
        <is>
          <t>Y</t>
        </is>
      </c>
      <c r="N372" t="inlineStr">
        <is>
          <t>Lower Risk</t>
        </is>
      </c>
    </row>
    <row r="373">
      <c r="A373" t="inlineStr">
        <is>
          <t>LP002197</t>
        </is>
      </c>
      <c r="B373" t="inlineStr">
        <is>
          <t>Male</t>
        </is>
      </c>
      <c r="C373" t="inlineStr">
        <is>
          <t>Yes</t>
        </is>
      </c>
      <c r="D373" t="n">
        <v>2</v>
      </c>
      <c r="E373" t="inlineStr">
        <is>
          <t>Graduate</t>
        </is>
      </c>
      <c r="F373" t="inlineStr">
        <is>
          <t>No</t>
        </is>
      </c>
      <c r="G373" t="n">
        <v>5185</v>
      </c>
      <c r="H373" t="n">
        <v>0</v>
      </c>
      <c r="I373" t="n">
        <v>155</v>
      </c>
      <c r="J373" t="n">
        <v>360</v>
      </c>
      <c r="K373" t="n">
        <v>1</v>
      </c>
      <c r="L373" t="inlineStr">
        <is>
          <t>Semiurban</t>
        </is>
      </c>
      <c r="M373" t="inlineStr">
        <is>
          <t>Y</t>
        </is>
      </c>
      <c r="N373" t="inlineStr">
        <is>
          <t>Lower Risk</t>
        </is>
      </c>
    </row>
    <row r="374">
      <c r="A374" t="inlineStr">
        <is>
          <t>LP002201</t>
        </is>
      </c>
      <c r="B374" t="inlineStr">
        <is>
          <t>Male</t>
        </is>
      </c>
      <c r="C374" t="inlineStr">
        <is>
          <t>Yes</t>
        </is>
      </c>
      <c r="D374" t="n">
        <v>2</v>
      </c>
      <c r="E374" t="inlineStr">
        <is>
          <t>Graduate</t>
        </is>
      </c>
      <c r="F374" t="inlineStr">
        <is>
          <t>Yes</t>
        </is>
      </c>
      <c r="G374" t="n">
        <v>9323</v>
      </c>
      <c r="H374" t="n">
        <v>7873</v>
      </c>
      <c r="I374" t="n">
        <v>380</v>
      </c>
      <c r="J374" t="n">
        <v>300</v>
      </c>
      <c r="K374" t="n">
        <v>1</v>
      </c>
      <c r="L374" t="inlineStr">
        <is>
          <t>Rural</t>
        </is>
      </c>
      <c r="M374" t="inlineStr">
        <is>
          <t>Y</t>
        </is>
      </c>
      <c r="N374" t="inlineStr">
        <is>
          <t>Lower Risk</t>
        </is>
      </c>
    </row>
    <row r="375">
      <c r="A375" t="inlineStr">
        <is>
          <t>LP002205</t>
        </is>
      </c>
      <c r="B375" t="inlineStr">
        <is>
          <t>Male</t>
        </is>
      </c>
      <c r="C375" t="inlineStr">
        <is>
          <t>No</t>
        </is>
      </c>
      <c r="D375" t="n">
        <v>1</v>
      </c>
      <c r="E375" t="inlineStr">
        <is>
          <t>Graduate</t>
        </is>
      </c>
      <c r="F375" t="inlineStr">
        <is>
          <t>No</t>
        </is>
      </c>
      <c r="G375" t="n">
        <v>3062</v>
      </c>
      <c r="H375" t="n">
        <v>1987</v>
      </c>
      <c r="I375" t="n">
        <v>111</v>
      </c>
      <c r="J375" t="n">
        <v>180</v>
      </c>
      <c r="K375" t="n">
        <v>0</v>
      </c>
      <c r="L375" t="inlineStr">
        <is>
          <t>Urban</t>
        </is>
      </c>
      <c r="M375" t="inlineStr">
        <is>
          <t>N</t>
        </is>
      </c>
      <c r="N375" t="inlineStr">
        <is>
          <t>High Risk</t>
        </is>
      </c>
    </row>
    <row r="376">
      <c r="A376" t="inlineStr">
        <is>
          <t>LP002209</t>
        </is>
      </c>
      <c r="B376" t="inlineStr">
        <is>
          <t>Female</t>
        </is>
      </c>
      <c r="C376" t="inlineStr">
        <is>
          <t>No</t>
        </is>
      </c>
      <c r="D376" t="n">
        <v>0</v>
      </c>
      <c r="E376" t="inlineStr">
        <is>
          <t>Graduate</t>
        </is>
      </c>
      <c r="F376" t="n">
        <v/>
      </c>
      <c r="G376" t="n">
        <v>2764</v>
      </c>
      <c r="H376" t="n">
        <v>1459</v>
      </c>
      <c r="I376" t="n">
        <v>110</v>
      </c>
      <c r="J376" t="n">
        <v>360</v>
      </c>
      <c r="K376" t="n">
        <v>1</v>
      </c>
      <c r="L376" t="inlineStr">
        <is>
          <t>Urban</t>
        </is>
      </c>
      <c r="M376" t="inlineStr">
        <is>
          <t>Y</t>
        </is>
      </c>
      <c r="N376" t="inlineStr">
        <is>
          <t>Lower Risk</t>
        </is>
      </c>
    </row>
    <row r="377">
      <c r="A377" t="inlineStr">
        <is>
          <t>LP002211</t>
        </is>
      </c>
      <c r="B377" t="inlineStr">
        <is>
          <t>Male</t>
        </is>
      </c>
      <c r="C377" t="inlineStr">
        <is>
          <t>Yes</t>
        </is>
      </c>
      <c r="D377" t="n">
        <v>0</v>
      </c>
      <c r="E377" t="inlineStr">
        <is>
          <t>Graduate</t>
        </is>
      </c>
      <c r="F377" t="inlineStr">
        <is>
          <t>No</t>
        </is>
      </c>
      <c r="G377" t="n">
        <v>4817</v>
      </c>
      <c r="H377" t="n">
        <v>923</v>
      </c>
      <c r="I377" t="n">
        <v>120</v>
      </c>
      <c r="J377" t="n">
        <v>180</v>
      </c>
      <c r="K377" t="n">
        <v>1</v>
      </c>
      <c r="L377" t="inlineStr">
        <is>
          <t>Urban</t>
        </is>
      </c>
      <c r="M377" t="inlineStr">
        <is>
          <t>Y</t>
        </is>
      </c>
      <c r="N377" t="inlineStr">
        <is>
          <t>Lower Risk</t>
        </is>
      </c>
    </row>
    <row r="378">
      <c r="A378" t="inlineStr">
        <is>
          <t>LP002219</t>
        </is>
      </c>
      <c r="B378" t="inlineStr">
        <is>
          <t>Male</t>
        </is>
      </c>
      <c r="C378" t="inlineStr">
        <is>
          <t>Yes</t>
        </is>
      </c>
      <c r="D378" t="inlineStr">
        <is>
          <t>3+</t>
        </is>
      </c>
      <c r="E378" t="inlineStr">
        <is>
          <t>Graduate</t>
        </is>
      </c>
      <c r="F378" t="inlineStr">
        <is>
          <t>No</t>
        </is>
      </c>
      <c r="G378" t="n">
        <v>8750</v>
      </c>
      <c r="H378" t="n">
        <v>4996</v>
      </c>
      <c r="I378" t="n">
        <v>130</v>
      </c>
      <c r="J378" t="n">
        <v>360</v>
      </c>
      <c r="K378" t="n">
        <v>1</v>
      </c>
      <c r="L378" t="inlineStr">
        <is>
          <t>Rural</t>
        </is>
      </c>
      <c r="M378" t="inlineStr">
        <is>
          <t>Y</t>
        </is>
      </c>
      <c r="N378" t="inlineStr">
        <is>
          <t>Lower Risk</t>
        </is>
      </c>
    </row>
    <row r="379">
      <c r="A379" t="inlineStr">
        <is>
          <t>LP002223</t>
        </is>
      </c>
      <c r="B379" t="inlineStr">
        <is>
          <t>Male</t>
        </is>
      </c>
      <c r="C379" t="inlineStr">
        <is>
          <t>Yes</t>
        </is>
      </c>
      <c r="D379" t="n">
        <v>0</v>
      </c>
      <c r="E379" t="inlineStr">
        <is>
          <t>Graduate</t>
        </is>
      </c>
      <c r="F379" t="inlineStr">
        <is>
          <t>No</t>
        </is>
      </c>
      <c r="G379" t="n">
        <v>4310</v>
      </c>
      <c r="H379" t="n">
        <v>0</v>
      </c>
      <c r="I379" t="n">
        <v>130</v>
      </c>
      <c r="J379" t="n">
        <v>360</v>
      </c>
      <c r="K379" t="n">
        <v/>
      </c>
      <c r="L379" t="inlineStr">
        <is>
          <t>Semiurban</t>
        </is>
      </c>
      <c r="M379" t="inlineStr">
        <is>
          <t>Y</t>
        </is>
      </c>
      <c r="N379" t="inlineStr">
        <is>
          <t>Medium Risk</t>
        </is>
      </c>
    </row>
    <row r="380">
      <c r="A380" t="inlineStr">
        <is>
          <t>LP002224</t>
        </is>
      </c>
      <c r="B380" t="inlineStr">
        <is>
          <t>Male</t>
        </is>
      </c>
      <c r="C380" t="inlineStr">
        <is>
          <t>No</t>
        </is>
      </c>
      <c r="D380" t="n">
        <v>0</v>
      </c>
      <c r="E380" t="inlineStr">
        <is>
          <t>Graduate</t>
        </is>
      </c>
      <c r="F380" t="inlineStr">
        <is>
          <t>No</t>
        </is>
      </c>
      <c r="G380" t="n">
        <v>3069</v>
      </c>
      <c r="H380" t="n">
        <v>0</v>
      </c>
      <c r="I380" t="n">
        <v>71</v>
      </c>
      <c r="J380" t="n">
        <v>480</v>
      </c>
      <c r="K380" t="n">
        <v>1</v>
      </c>
      <c r="L380" t="inlineStr">
        <is>
          <t>Urban</t>
        </is>
      </c>
      <c r="M380" t="inlineStr">
        <is>
          <t>N</t>
        </is>
      </c>
      <c r="N380" t="inlineStr">
        <is>
          <t>Medium Risk</t>
        </is>
      </c>
    </row>
    <row r="381">
      <c r="A381" t="inlineStr">
        <is>
          <t>LP002225</t>
        </is>
      </c>
      <c r="B381" t="inlineStr">
        <is>
          <t>Male</t>
        </is>
      </c>
      <c r="C381" t="inlineStr">
        <is>
          <t>Yes</t>
        </is>
      </c>
      <c r="D381" t="n">
        <v>2</v>
      </c>
      <c r="E381" t="inlineStr">
        <is>
          <t>Graduate</t>
        </is>
      </c>
      <c r="F381" t="inlineStr">
        <is>
          <t>No</t>
        </is>
      </c>
      <c r="G381" t="n">
        <v>5391</v>
      </c>
      <c r="H381" t="n">
        <v>0</v>
      </c>
      <c r="I381" t="n">
        <v>130</v>
      </c>
      <c r="J381" t="n">
        <v>360</v>
      </c>
      <c r="K381" t="n">
        <v>1</v>
      </c>
      <c r="L381" t="inlineStr">
        <is>
          <t>Urban</t>
        </is>
      </c>
      <c r="M381" t="inlineStr">
        <is>
          <t>Y</t>
        </is>
      </c>
      <c r="N381" t="inlineStr">
        <is>
          <t>Lower Risk</t>
        </is>
      </c>
    </row>
    <row r="382">
      <c r="A382" t="inlineStr">
        <is>
          <t>LP002226</t>
        </is>
      </c>
      <c r="B382" t="inlineStr">
        <is>
          <t>Male</t>
        </is>
      </c>
      <c r="C382" t="inlineStr">
        <is>
          <t>Yes</t>
        </is>
      </c>
      <c r="D382" t="n">
        <v>0</v>
      </c>
      <c r="E382" t="inlineStr">
        <is>
          <t>Graduate</t>
        </is>
      </c>
      <c r="F382" t="n">
        <v/>
      </c>
      <c r="G382" t="n">
        <v>3333</v>
      </c>
      <c r="H382" t="n">
        <v>2500</v>
      </c>
      <c r="I382" t="n">
        <v>128</v>
      </c>
      <c r="J382" t="n">
        <v>360</v>
      </c>
      <c r="K382" t="n">
        <v>1</v>
      </c>
      <c r="L382" t="inlineStr">
        <is>
          <t>Semiurban</t>
        </is>
      </c>
      <c r="M382" t="inlineStr">
        <is>
          <t>Y</t>
        </is>
      </c>
      <c r="N382" t="inlineStr">
        <is>
          <t>Lower Risk</t>
        </is>
      </c>
    </row>
    <row r="383">
      <c r="A383" t="inlineStr">
        <is>
          <t>LP002229</t>
        </is>
      </c>
      <c r="B383" t="inlineStr">
        <is>
          <t>Male</t>
        </is>
      </c>
      <c r="C383" t="inlineStr">
        <is>
          <t>No</t>
        </is>
      </c>
      <c r="D383" t="n">
        <v>0</v>
      </c>
      <c r="E383" t="inlineStr">
        <is>
          <t>Graduate</t>
        </is>
      </c>
      <c r="F383" t="inlineStr">
        <is>
          <t>No</t>
        </is>
      </c>
      <c r="G383" t="n">
        <v>5941</v>
      </c>
      <c r="H383" t="n">
        <v>4232</v>
      </c>
      <c r="I383" t="n">
        <v>296</v>
      </c>
      <c r="J383" t="n">
        <v>360</v>
      </c>
      <c r="K383" t="n">
        <v>1</v>
      </c>
      <c r="L383" t="inlineStr">
        <is>
          <t>Semiurban</t>
        </is>
      </c>
      <c r="M383" t="inlineStr">
        <is>
          <t>Y</t>
        </is>
      </c>
      <c r="N383" t="inlineStr">
        <is>
          <t>Lower Risk</t>
        </is>
      </c>
    </row>
    <row r="384">
      <c r="A384" t="inlineStr">
        <is>
          <t>LP002231</t>
        </is>
      </c>
      <c r="B384" t="inlineStr">
        <is>
          <t>Female</t>
        </is>
      </c>
      <c r="C384" t="inlineStr">
        <is>
          <t>No</t>
        </is>
      </c>
      <c r="D384" t="n">
        <v>0</v>
      </c>
      <c r="E384" t="inlineStr">
        <is>
          <t>Graduate</t>
        </is>
      </c>
      <c r="F384" t="inlineStr">
        <is>
          <t>No</t>
        </is>
      </c>
      <c r="G384" t="n">
        <v>6000</v>
      </c>
      <c r="H384" t="n">
        <v>0</v>
      </c>
      <c r="I384" t="n">
        <v>156</v>
      </c>
      <c r="J384" t="n">
        <v>360</v>
      </c>
      <c r="K384" t="n">
        <v>1</v>
      </c>
      <c r="L384" t="inlineStr">
        <is>
          <t>Urban</t>
        </is>
      </c>
      <c r="M384" t="inlineStr">
        <is>
          <t>Y</t>
        </is>
      </c>
      <c r="N384" t="inlineStr">
        <is>
          <t>Lower Risk</t>
        </is>
      </c>
    </row>
    <row r="385">
      <c r="A385" t="inlineStr">
        <is>
          <t>LP002234</t>
        </is>
      </c>
      <c r="B385" t="inlineStr">
        <is>
          <t>Male</t>
        </is>
      </c>
      <c r="C385" t="inlineStr">
        <is>
          <t>No</t>
        </is>
      </c>
      <c r="D385" t="n">
        <v>0</v>
      </c>
      <c r="E385" t="inlineStr">
        <is>
          <t>Graduate</t>
        </is>
      </c>
      <c r="F385" t="inlineStr">
        <is>
          <t>Yes</t>
        </is>
      </c>
      <c r="G385" t="n">
        <v>7167</v>
      </c>
      <c r="H385" t="n">
        <v>0</v>
      </c>
      <c r="I385" t="n">
        <v>128</v>
      </c>
      <c r="J385" t="n">
        <v>360</v>
      </c>
      <c r="K385" t="n">
        <v>1</v>
      </c>
      <c r="L385" t="inlineStr">
        <is>
          <t>Urban</t>
        </is>
      </c>
      <c r="M385" t="inlineStr">
        <is>
          <t>Y</t>
        </is>
      </c>
      <c r="N385" t="inlineStr">
        <is>
          <t>Lower Risk</t>
        </is>
      </c>
    </row>
    <row r="386">
      <c r="A386" t="inlineStr">
        <is>
          <t>LP002236</t>
        </is>
      </c>
      <c r="B386" t="inlineStr">
        <is>
          <t>Male</t>
        </is>
      </c>
      <c r="C386" t="inlineStr">
        <is>
          <t>Yes</t>
        </is>
      </c>
      <c r="D386" t="n">
        <v>2</v>
      </c>
      <c r="E386" t="inlineStr">
        <is>
          <t>Graduate</t>
        </is>
      </c>
      <c r="F386" t="inlineStr">
        <is>
          <t>No</t>
        </is>
      </c>
      <c r="G386" t="n">
        <v>4566</v>
      </c>
      <c r="H386" t="n">
        <v>0</v>
      </c>
      <c r="I386" t="n">
        <v>100</v>
      </c>
      <c r="J386" t="n">
        <v>360</v>
      </c>
      <c r="K386" t="n">
        <v>1</v>
      </c>
      <c r="L386" t="inlineStr">
        <is>
          <t>Urban</t>
        </is>
      </c>
      <c r="M386" t="inlineStr">
        <is>
          <t>N</t>
        </is>
      </c>
      <c r="N386" t="inlineStr">
        <is>
          <t>Medium Risk</t>
        </is>
      </c>
    </row>
    <row r="387">
      <c r="A387" t="inlineStr">
        <is>
          <t>LP002237</t>
        </is>
      </c>
      <c r="B387" t="inlineStr">
        <is>
          <t>Male</t>
        </is>
      </c>
      <c r="C387" t="inlineStr">
        <is>
          <t>No</t>
        </is>
      </c>
      <c r="D387" t="n">
        <v>1</v>
      </c>
      <c r="E387" t="inlineStr">
        <is>
          <t>Graduate</t>
        </is>
      </c>
      <c r="F387" t="n">
        <v/>
      </c>
      <c r="G387" t="n">
        <v>3667</v>
      </c>
      <c r="H387" t="n">
        <v>0</v>
      </c>
      <c r="I387" t="n">
        <v>113</v>
      </c>
      <c r="J387" t="n">
        <v>180</v>
      </c>
      <c r="K387" t="n">
        <v>1</v>
      </c>
      <c r="L387" t="inlineStr">
        <is>
          <t>Urban</t>
        </is>
      </c>
      <c r="M387" t="inlineStr">
        <is>
          <t>Y</t>
        </is>
      </c>
      <c r="N387" t="inlineStr">
        <is>
          <t>Lower Risk</t>
        </is>
      </c>
    </row>
    <row r="388">
      <c r="A388" t="inlineStr">
        <is>
          <t>LP002239</t>
        </is>
      </c>
      <c r="B388" t="inlineStr">
        <is>
          <t>Male</t>
        </is>
      </c>
      <c r="C388" t="inlineStr">
        <is>
          <t>No</t>
        </is>
      </c>
      <c r="D388" t="n">
        <v>0</v>
      </c>
      <c r="E388" t="inlineStr">
        <is>
          <t>Not Graduate</t>
        </is>
      </c>
      <c r="F388" t="inlineStr">
        <is>
          <t>No</t>
        </is>
      </c>
      <c r="G388" t="n">
        <v>2346</v>
      </c>
      <c r="H388" t="n">
        <v>1600</v>
      </c>
      <c r="I388" t="n">
        <v>132</v>
      </c>
      <c r="J388" t="n">
        <v>360</v>
      </c>
      <c r="K388" t="n">
        <v>1</v>
      </c>
      <c r="L388" t="inlineStr">
        <is>
          <t>Semiurban</t>
        </is>
      </c>
      <c r="M388" t="inlineStr">
        <is>
          <t>Y</t>
        </is>
      </c>
      <c r="N388" t="inlineStr">
        <is>
          <t>Lower Risk</t>
        </is>
      </c>
    </row>
    <row r="389">
      <c r="A389" t="inlineStr">
        <is>
          <t>LP002243</t>
        </is>
      </c>
      <c r="B389" t="inlineStr">
        <is>
          <t>Male</t>
        </is>
      </c>
      <c r="C389" t="inlineStr">
        <is>
          <t>Yes</t>
        </is>
      </c>
      <c r="D389" t="n">
        <v>0</v>
      </c>
      <c r="E389" t="inlineStr">
        <is>
          <t>Not Graduate</t>
        </is>
      </c>
      <c r="F389" t="inlineStr">
        <is>
          <t>No</t>
        </is>
      </c>
      <c r="G389" t="n">
        <v>3010</v>
      </c>
      <c r="H389" t="n">
        <v>3136</v>
      </c>
      <c r="I389" t="n">
        <v/>
      </c>
      <c r="J389" t="n">
        <v>360</v>
      </c>
      <c r="K389" t="n">
        <v>0</v>
      </c>
      <c r="L389" t="inlineStr">
        <is>
          <t>Urban</t>
        </is>
      </c>
      <c r="M389" t="inlineStr">
        <is>
          <t>N</t>
        </is>
      </c>
      <c r="N389" t="inlineStr">
        <is>
          <t>High Risk</t>
        </is>
      </c>
    </row>
    <row r="390">
      <c r="A390" t="inlineStr">
        <is>
          <t>LP002244</t>
        </is>
      </c>
      <c r="B390" t="inlineStr">
        <is>
          <t>Male</t>
        </is>
      </c>
      <c r="C390" t="inlineStr">
        <is>
          <t>Yes</t>
        </is>
      </c>
      <c r="D390" t="n">
        <v>0</v>
      </c>
      <c r="E390" t="inlineStr">
        <is>
          <t>Graduate</t>
        </is>
      </c>
      <c r="F390" t="inlineStr">
        <is>
          <t>No</t>
        </is>
      </c>
      <c r="G390" t="n">
        <v>2333</v>
      </c>
      <c r="H390" t="n">
        <v>2417</v>
      </c>
      <c r="I390" t="n">
        <v>136</v>
      </c>
      <c r="J390" t="n">
        <v>360</v>
      </c>
      <c r="K390" t="n">
        <v>1</v>
      </c>
      <c r="L390" t="inlineStr">
        <is>
          <t>Urban</t>
        </is>
      </c>
      <c r="M390" t="inlineStr">
        <is>
          <t>Y</t>
        </is>
      </c>
      <c r="N390" t="inlineStr">
        <is>
          <t>Lower Risk</t>
        </is>
      </c>
    </row>
    <row r="391">
      <c r="A391" t="inlineStr">
        <is>
          <t>LP002250</t>
        </is>
      </c>
      <c r="B391" t="inlineStr">
        <is>
          <t>Male</t>
        </is>
      </c>
      <c r="C391" t="inlineStr">
        <is>
          <t>Yes</t>
        </is>
      </c>
      <c r="D391" t="n">
        <v>0</v>
      </c>
      <c r="E391" t="inlineStr">
        <is>
          <t>Graduate</t>
        </is>
      </c>
      <c r="F391" t="inlineStr">
        <is>
          <t>No</t>
        </is>
      </c>
      <c r="G391" t="n">
        <v>5488</v>
      </c>
      <c r="H391" t="n">
        <v>0</v>
      </c>
      <c r="I391" t="n">
        <v>125</v>
      </c>
      <c r="J391" t="n">
        <v>360</v>
      </c>
      <c r="K391" t="n">
        <v>1</v>
      </c>
      <c r="L391" t="inlineStr">
        <is>
          <t>Rural</t>
        </is>
      </c>
      <c r="M391" t="inlineStr">
        <is>
          <t>Y</t>
        </is>
      </c>
      <c r="N391" t="inlineStr">
        <is>
          <t>Lower Risk</t>
        </is>
      </c>
    </row>
    <row r="392">
      <c r="A392" t="inlineStr">
        <is>
          <t>LP002255</t>
        </is>
      </c>
      <c r="B392" t="inlineStr">
        <is>
          <t>Male</t>
        </is>
      </c>
      <c r="C392" t="inlineStr">
        <is>
          <t>No</t>
        </is>
      </c>
      <c r="D392" t="inlineStr">
        <is>
          <t>3+</t>
        </is>
      </c>
      <c r="E392" t="inlineStr">
        <is>
          <t>Graduate</t>
        </is>
      </c>
      <c r="F392" t="inlineStr">
        <is>
          <t>No</t>
        </is>
      </c>
      <c r="G392" t="n">
        <v>9167</v>
      </c>
      <c r="H392" t="n">
        <v>0</v>
      </c>
      <c r="I392" t="n">
        <v>185</v>
      </c>
      <c r="J392" t="n">
        <v>360</v>
      </c>
      <c r="K392" t="n">
        <v>1</v>
      </c>
      <c r="L392" t="inlineStr">
        <is>
          <t>Rural</t>
        </is>
      </c>
      <c r="M392" t="inlineStr">
        <is>
          <t>Y</t>
        </is>
      </c>
      <c r="N392" t="inlineStr">
        <is>
          <t>Lower Risk</t>
        </is>
      </c>
    </row>
    <row r="393">
      <c r="A393" t="inlineStr">
        <is>
          <t>LP002262</t>
        </is>
      </c>
      <c r="B393" t="inlineStr">
        <is>
          <t>Male</t>
        </is>
      </c>
      <c r="C393" t="inlineStr">
        <is>
          <t>Yes</t>
        </is>
      </c>
      <c r="D393" t="inlineStr">
        <is>
          <t>3+</t>
        </is>
      </c>
      <c r="E393" t="inlineStr">
        <is>
          <t>Graduate</t>
        </is>
      </c>
      <c r="F393" t="inlineStr">
        <is>
          <t>No</t>
        </is>
      </c>
      <c r="G393" t="n">
        <v>9504</v>
      </c>
      <c r="H393" t="n">
        <v>0</v>
      </c>
      <c r="I393" t="n">
        <v>275</v>
      </c>
      <c r="J393" t="n">
        <v>360</v>
      </c>
      <c r="K393" t="n">
        <v>1</v>
      </c>
      <c r="L393" t="inlineStr">
        <is>
          <t>Rural</t>
        </is>
      </c>
      <c r="M393" t="inlineStr">
        <is>
          <t>Y</t>
        </is>
      </c>
      <c r="N393" t="inlineStr">
        <is>
          <t>Lower Risk</t>
        </is>
      </c>
    </row>
    <row r="394">
      <c r="A394" t="inlineStr">
        <is>
          <t>LP002263</t>
        </is>
      </c>
      <c r="B394" t="inlineStr">
        <is>
          <t>Male</t>
        </is>
      </c>
      <c r="C394" t="inlineStr">
        <is>
          <t>Yes</t>
        </is>
      </c>
      <c r="D394" t="n">
        <v>0</v>
      </c>
      <c r="E394" t="inlineStr">
        <is>
          <t>Graduate</t>
        </is>
      </c>
      <c r="F394" t="inlineStr">
        <is>
          <t>No</t>
        </is>
      </c>
      <c r="G394" t="n">
        <v>2583</v>
      </c>
      <c r="H394" t="n">
        <v>2115</v>
      </c>
      <c r="I394" t="n">
        <v>120</v>
      </c>
      <c r="J394" t="n">
        <v>360</v>
      </c>
      <c r="K394" t="n">
        <v/>
      </c>
      <c r="L394" t="inlineStr">
        <is>
          <t>Urban</t>
        </is>
      </c>
      <c r="M394" t="inlineStr">
        <is>
          <t>Y</t>
        </is>
      </c>
      <c r="N394" t="inlineStr">
        <is>
          <t>Medium Risk</t>
        </is>
      </c>
    </row>
    <row r="395">
      <c r="A395" t="inlineStr">
        <is>
          <t>LP002265</t>
        </is>
      </c>
      <c r="B395" t="inlineStr">
        <is>
          <t>Male</t>
        </is>
      </c>
      <c r="C395" t="inlineStr">
        <is>
          <t>Yes</t>
        </is>
      </c>
      <c r="D395" t="n">
        <v>2</v>
      </c>
      <c r="E395" t="inlineStr">
        <is>
          <t>Not Graduate</t>
        </is>
      </c>
      <c r="F395" t="inlineStr">
        <is>
          <t>No</t>
        </is>
      </c>
      <c r="G395" t="n">
        <v>1993</v>
      </c>
      <c r="H395" t="n">
        <v>1625</v>
      </c>
      <c r="I395" t="n">
        <v>113</v>
      </c>
      <c r="J395" t="n">
        <v>180</v>
      </c>
      <c r="K395" t="n">
        <v>1</v>
      </c>
      <c r="L395" t="inlineStr">
        <is>
          <t>Semiurban</t>
        </is>
      </c>
      <c r="M395" t="inlineStr">
        <is>
          <t>Y</t>
        </is>
      </c>
      <c r="N395" t="inlineStr">
        <is>
          <t>Lower Risk</t>
        </is>
      </c>
    </row>
    <row r="396">
      <c r="A396" t="inlineStr">
        <is>
          <t>LP002266</t>
        </is>
      </c>
      <c r="B396" t="inlineStr">
        <is>
          <t>Male</t>
        </is>
      </c>
      <c r="C396" t="inlineStr">
        <is>
          <t>Yes</t>
        </is>
      </c>
      <c r="D396" t="n">
        <v>2</v>
      </c>
      <c r="E396" t="inlineStr">
        <is>
          <t>Graduate</t>
        </is>
      </c>
      <c r="F396" t="inlineStr">
        <is>
          <t>No</t>
        </is>
      </c>
      <c r="G396" t="n">
        <v>3100</v>
      </c>
      <c r="H396" t="n">
        <v>1400</v>
      </c>
      <c r="I396" t="n">
        <v>113</v>
      </c>
      <c r="J396" t="n">
        <v>360</v>
      </c>
      <c r="K396" t="n">
        <v>1</v>
      </c>
      <c r="L396" t="inlineStr">
        <is>
          <t>Urban</t>
        </is>
      </c>
      <c r="M396" t="inlineStr">
        <is>
          <t>Y</t>
        </is>
      </c>
      <c r="N396" t="inlineStr">
        <is>
          <t>Lower Risk</t>
        </is>
      </c>
    </row>
    <row r="397">
      <c r="A397" t="inlineStr">
        <is>
          <t>LP002272</t>
        </is>
      </c>
      <c r="B397" t="inlineStr">
        <is>
          <t>Male</t>
        </is>
      </c>
      <c r="C397" t="inlineStr">
        <is>
          <t>Yes</t>
        </is>
      </c>
      <c r="D397" t="n">
        <v>2</v>
      </c>
      <c r="E397" t="inlineStr">
        <is>
          <t>Graduate</t>
        </is>
      </c>
      <c r="F397" t="inlineStr">
        <is>
          <t>No</t>
        </is>
      </c>
      <c r="G397" t="n">
        <v>3276</v>
      </c>
      <c r="H397" t="n">
        <v>484</v>
      </c>
      <c r="I397" t="n">
        <v>135</v>
      </c>
      <c r="J397" t="n">
        <v>360</v>
      </c>
      <c r="K397" t="n">
        <v/>
      </c>
      <c r="L397" t="inlineStr">
        <is>
          <t>Semiurban</t>
        </is>
      </c>
      <c r="M397" t="inlineStr">
        <is>
          <t>Y</t>
        </is>
      </c>
      <c r="N397" t="inlineStr">
        <is>
          <t>Medium Risk</t>
        </is>
      </c>
    </row>
    <row r="398">
      <c r="A398" t="inlineStr">
        <is>
          <t>LP002277</t>
        </is>
      </c>
      <c r="B398" t="inlineStr">
        <is>
          <t>Female</t>
        </is>
      </c>
      <c r="C398" t="inlineStr">
        <is>
          <t>No</t>
        </is>
      </c>
      <c r="D398" t="n">
        <v>0</v>
      </c>
      <c r="E398" t="inlineStr">
        <is>
          <t>Graduate</t>
        </is>
      </c>
      <c r="F398" t="inlineStr">
        <is>
          <t>No</t>
        </is>
      </c>
      <c r="G398" t="n">
        <v>3180</v>
      </c>
      <c r="H398" t="n">
        <v>0</v>
      </c>
      <c r="I398" t="n">
        <v>71</v>
      </c>
      <c r="J398" t="n">
        <v>360</v>
      </c>
      <c r="K398" t="n">
        <v>0</v>
      </c>
      <c r="L398" t="inlineStr">
        <is>
          <t>Urban</t>
        </is>
      </c>
      <c r="M398" t="inlineStr">
        <is>
          <t>N</t>
        </is>
      </c>
      <c r="N398" t="inlineStr">
        <is>
          <t>High Risk</t>
        </is>
      </c>
    </row>
    <row r="399">
      <c r="A399" t="inlineStr">
        <is>
          <t>LP002281</t>
        </is>
      </c>
      <c r="B399" t="inlineStr">
        <is>
          <t>Male</t>
        </is>
      </c>
      <c r="C399" t="inlineStr">
        <is>
          <t>Yes</t>
        </is>
      </c>
      <c r="D399" t="n">
        <v>0</v>
      </c>
      <c r="E399" t="inlineStr">
        <is>
          <t>Graduate</t>
        </is>
      </c>
      <c r="F399" t="inlineStr">
        <is>
          <t>No</t>
        </is>
      </c>
      <c r="G399" t="n">
        <v>3033</v>
      </c>
      <c r="H399" t="n">
        <v>1459</v>
      </c>
      <c r="I399" t="n">
        <v>95</v>
      </c>
      <c r="J399" t="n">
        <v>360</v>
      </c>
      <c r="K399" t="n">
        <v>1</v>
      </c>
      <c r="L399" t="inlineStr">
        <is>
          <t>Urban</t>
        </is>
      </c>
      <c r="M399" t="inlineStr">
        <is>
          <t>Y</t>
        </is>
      </c>
      <c r="N399" t="inlineStr">
        <is>
          <t>Lower Risk</t>
        </is>
      </c>
    </row>
    <row r="400">
      <c r="A400" t="inlineStr">
        <is>
          <t>LP002284</t>
        </is>
      </c>
      <c r="B400" t="inlineStr">
        <is>
          <t>Male</t>
        </is>
      </c>
      <c r="C400" t="inlineStr">
        <is>
          <t>No</t>
        </is>
      </c>
      <c r="D400" t="n">
        <v>0</v>
      </c>
      <c r="E400" t="inlineStr">
        <is>
          <t>Not Graduate</t>
        </is>
      </c>
      <c r="F400" t="inlineStr">
        <is>
          <t>No</t>
        </is>
      </c>
      <c r="G400" t="n">
        <v>3902</v>
      </c>
      <c r="H400" t="n">
        <v>1666</v>
      </c>
      <c r="I400" t="n">
        <v>109</v>
      </c>
      <c r="J400" t="n">
        <v>360</v>
      </c>
      <c r="K400" t="n">
        <v>1</v>
      </c>
      <c r="L400" t="inlineStr">
        <is>
          <t>Rural</t>
        </is>
      </c>
      <c r="M400" t="inlineStr">
        <is>
          <t>Y</t>
        </is>
      </c>
      <c r="N400" t="inlineStr">
        <is>
          <t>Lower Risk</t>
        </is>
      </c>
    </row>
    <row r="401">
      <c r="A401" t="inlineStr">
        <is>
          <t>LP002287</t>
        </is>
      </c>
      <c r="B401" t="inlineStr">
        <is>
          <t>Female</t>
        </is>
      </c>
      <c r="C401" t="inlineStr">
        <is>
          <t>No</t>
        </is>
      </c>
      <c r="D401" t="n">
        <v>0</v>
      </c>
      <c r="E401" t="inlineStr">
        <is>
          <t>Graduate</t>
        </is>
      </c>
      <c r="F401" t="inlineStr">
        <is>
          <t>No</t>
        </is>
      </c>
      <c r="G401" t="n">
        <v>1500</v>
      </c>
      <c r="H401" t="n">
        <v>1800</v>
      </c>
      <c r="I401" t="n">
        <v>103</v>
      </c>
      <c r="J401" t="n">
        <v>360</v>
      </c>
      <c r="K401" t="n">
        <v>0</v>
      </c>
      <c r="L401" t="inlineStr">
        <is>
          <t>Semiurban</t>
        </is>
      </c>
      <c r="M401" t="inlineStr">
        <is>
          <t>N</t>
        </is>
      </c>
      <c r="N401" t="inlineStr">
        <is>
          <t>High Risk</t>
        </is>
      </c>
    </row>
    <row r="402">
      <c r="A402" t="inlineStr">
        <is>
          <t>LP002288</t>
        </is>
      </c>
      <c r="B402" t="inlineStr">
        <is>
          <t>Male</t>
        </is>
      </c>
      <c r="C402" t="inlineStr">
        <is>
          <t>Yes</t>
        </is>
      </c>
      <c r="D402" t="n">
        <v>2</v>
      </c>
      <c r="E402" t="inlineStr">
        <is>
          <t>Not Graduate</t>
        </is>
      </c>
      <c r="F402" t="inlineStr">
        <is>
          <t>No</t>
        </is>
      </c>
      <c r="G402" t="n">
        <v>2889</v>
      </c>
      <c r="H402" t="n">
        <v>0</v>
      </c>
      <c r="I402" t="n">
        <v>45</v>
      </c>
      <c r="J402" t="n">
        <v>180</v>
      </c>
      <c r="K402" t="n">
        <v>0</v>
      </c>
      <c r="L402" t="inlineStr">
        <is>
          <t>Urban</t>
        </is>
      </c>
      <c r="M402" t="inlineStr">
        <is>
          <t>N</t>
        </is>
      </c>
      <c r="N402" t="inlineStr">
        <is>
          <t>High Risk</t>
        </is>
      </c>
    </row>
    <row r="403">
      <c r="A403" t="inlineStr">
        <is>
          <t>LP002296</t>
        </is>
      </c>
      <c r="B403" t="inlineStr">
        <is>
          <t>Male</t>
        </is>
      </c>
      <c r="C403" t="inlineStr">
        <is>
          <t>No</t>
        </is>
      </c>
      <c r="D403" t="n">
        <v>0</v>
      </c>
      <c r="E403" t="inlineStr">
        <is>
          <t>Not Graduate</t>
        </is>
      </c>
      <c r="F403" t="inlineStr">
        <is>
          <t>No</t>
        </is>
      </c>
      <c r="G403" t="n">
        <v>2755</v>
      </c>
      <c r="H403" t="n">
        <v>0</v>
      </c>
      <c r="I403" t="n">
        <v>65</v>
      </c>
      <c r="J403" t="n">
        <v>300</v>
      </c>
      <c r="K403" t="n">
        <v>1</v>
      </c>
      <c r="L403" t="inlineStr">
        <is>
          <t>Rural</t>
        </is>
      </c>
      <c r="M403" t="inlineStr">
        <is>
          <t>N</t>
        </is>
      </c>
      <c r="N403" t="inlineStr">
        <is>
          <t>Medium Risk</t>
        </is>
      </c>
    </row>
    <row r="404">
      <c r="A404" t="inlineStr">
        <is>
          <t>LP002297</t>
        </is>
      </c>
      <c r="B404" t="inlineStr">
        <is>
          <t>Male</t>
        </is>
      </c>
      <c r="C404" t="inlineStr">
        <is>
          <t>No</t>
        </is>
      </c>
      <c r="D404" t="n">
        <v>0</v>
      </c>
      <c r="E404" t="inlineStr">
        <is>
          <t>Graduate</t>
        </is>
      </c>
      <c r="F404" t="inlineStr">
        <is>
          <t>No</t>
        </is>
      </c>
      <c r="G404" t="n">
        <v>2500</v>
      </c>
      <c r="H404" t="n">
        <v>20000</v>
      </c>
      <c r="I404" t="n">
        <v>103</v>
      </c>
      <c r="J404" t="n">
        <v>360</v>
      </c>
      <c r="K404" t="n">
        <v>1</v>
      </c>
      <c r="L404" t="inlineStr">
        <is>
          <t>Semiurban</t>
        </is>
      </c>
      <c r="M404" t="inlineStr">
        <is>
          <t>Y</t>
        </is>
      </c>
      <c r="N404" t="inlineStr">
        <is>
          <t>Lower Risk</t>
        </is>
      </c>
    </row>
    <row r="405">
      <c r="A405" t="inlineStr">
        <is>
          <t>LP002300</t>
        </is>
      </c>
      <c r="B405" t="inlineStr">
        <is>
          <t>Female</t>
        </is>
      </c>
      <c r="C405" t="inlineStr">
        <is>
          <t>No</t>
        </is>
      </c>
      <c r="D405" t="n">
        <v>0</v>
      </c>
      <c r="E405" t="inlineStr">
        <is>
          <t>Not Graduate</t>
        </is>
      </c>
      <c r="F405" t="inlineStr">
        <is>
          <t>No</t>
        </is>
      </c>
      <c r="G405" t="n">
        <v>1963</v>
      </c>
      <c r="H405" t="n">
        <v>0</v>
      </c>
      <c r="I405" t="n">
        <v>53</v>
      </c>
      <c r="J405" t="n">
        <v>360</v>
      </c>
      <c r="K405" t="n">
        <v>1</v>
      </c>
      <c r="L405" t="inlineStr">
        <is>
          <t>Semiurban</t>
        </is>
      </c>
      <c r="M405" t="inlineStr">
        <is>
          <t>Y</t>
        </is>
      </c>
      <c r="N405" t="inlineStr">
        <is>
          <t>Lower Risk</t>
        </is>
      </c>
    </row>
    <row r="406">
      <c r="A406" t="inlineStr">
        <is>
          <t>LP002301</t>
        </is>
      </c>
      <c r="B406" t="inlineStr">
        <is>
          <t>Female</t>
        </is>
      </c>
      <c r="C406" t="inlineStr">
        <is>
          <t>No</t>
        </is>
      </c>
      <c r="D406" t="n">
        <v>0</v>
      </c>
      <c r="E406" t="inlineStr">
        <is>
          <t>Graduate</t>
        </is>
      </c>
      <c r="F406" t="inlineStr">
        <is>
          <t>Yes</t>
        </is>
      </c>
      <c r="G406" t="n">
        <v>7441</v>
      </c>
      <c r="H406" t="n">
        <v>0</v>
      </c>
      <c r="I406" t="n">
        <v>194</v>
      </c>
      <c r="J406" t="n">
        <v>360</v>
      </c>
      <c r="K406" t="n">
        <v>1</v>
      </c>
      <c r="L406" t="inlineStr">
        <is>
          <t>Rural</t>
        </is>
      </c>
      <c r="M406" t="inlineStr">
        <is>
          <t>N</t>
        </is>
      </c>
      <c r="N406" t="inlineStr">
        <is>
          <t>Medium Risk</t>
        </is>
      </c>
    </row>
    <row r="407">
      <c r="A407" t="inlineStr">
        <is>
          <t>LP002305</t>
        </is>
      </c>
      <c r="B407" t="inlineStr">
        <is>
          <t>Female</t>
        </is>
      </c>
      <c r="C407" t="inlineStr">
        <is>
          <t>No</t>
        </is>
      </c>
      <c r="D407" t="n">
        <v>0</v>
      </c>
      <c r="E407" t="inlineStr">
        <is>
          <t>Graduate</t>
        </is>
      </c>
      <c r="F407" t="inlineStr">
        <is>
          <t>No</t>
        </is>
      </c>
      <c r="G407" t="n">
        <v>4547</v>
      </c>
      <c r="H407" t="n">
        <v>0</v>
      </c>
      <c r="I407" t="n">
        <v>115</v>
      </c>
      <c r="J407" t="n">
        <v>360</v>
      </c>
      <c r="K407" t="n">
        <v>1</v>
      </c>
      <c r="L407" t="inlineStr">
        <is>
          <t>Semiurban</t>
        </is>
      </c>
      <c r="M407" t="inlineStr">
        <is>
          <t>Y</t>
        </is>
      </c>
      <c r="N407" t="inlineStr">
        <is>
          <t>Lower Risk</t>
        </is>
      </c>
    </row>
    <row r="408">
      <c r="A408" t="inlineStr">
        <is>
          <t>LP002308</t>
        </is>
      </c>
      <c r="B408" t="inlineStr">
        <is>
          <t>Male</t>
        </is>
      </c>
      <c r="C408" t="inlineStr">
        <is>
          <t>Yes</t>
        </is>
      </c>
      <c r="D408" t="n">
        <v>0</v>
      </c>
      <c r="E408" t="inlineStr">
        <is>
          <t>Not Graduate</t>
        </is>
      </c>
      <c r="F408" t="inlineStr">
        <is>
          <t>No</t>
        </is>
      </c>
      <c r="G408" t="n">
        <v>2167</v>
      </c>
      <c r="H408" t="n">
        <v>2400</v>
      </c>
      <c r="I408" t="n">
        <v>115</v>
      </c>
      <c r="J408" t="n">
        <v>360</v>
      </c>
      <c r="K408" t="n">
        <v>1</v>
      </c>
      <c r="L408" t="inlineStr">
        <is>
          <t>Urban</t>
        </is>
      </c>
      <c r="M408" t="inlineStr">
        <is>
          <t>Y</t>
        </is>
      </c>
      <c r="N408" t="inlineStr">
        <is>
          <t>Lower Risk</t>
        </is>
      </c>
    </row>
    <row r="409">
      <c r="A409" t="inlineStr">
        <is>
          <t>LP002314</t>
        </is>
      </c>
      <c r="B409" t="inlineStr">
        <is>
          <t>Female</t>
        </is>
      </c>
      <c r="C409" t="inlineStr">
        <is>
          <t>No</t>
        </is>
      </c>
      <c r="D409" t="n">
        <v>0</v>
      </c>
      <c r="E409" t="inlineStr">
        <is>
          <t>Not Graduate</t>
        </is>
      </c>
      <c r="F409" t="inlineStr">
        <is>
          <t>No</t>
        </is>
      </c>
      <c r="G409" t="n">
        <v>2213</v>
      </c>
      <c r="H409" t="n">
        <v>0</v>
      </c>
      <c r="I409" t="n">
        <v>66</v>
      </c>
      <c r="J409" t="n">
        <v>360</v>
      </c>
      <c r="K409" t="n">
        <v>1</v>
      </c>
      <c r="L409" t="inlineStr">
        <is>
          <t>Rural</t>
        </is>
      </c>
      <c r="M409" t="inlineStr">
        <is>
          <t>Y</t>
        </is>
      </c>
      <c r="N409" t="inlineStr">
        <is>
          <t>Lower Risk</t>
        </is>
      </c>
    </row>
    <row r="410">
      <c r="A410" t="inlineStr">
        <is>
          <t>LP002315</t>
        </is>
      </c>
      <c r="B410" t="inlineStr">
        <is>
          <t>Male</t>
        </is>
      </c>
      <c r="C410" t="inlineStr">
        <is>
          <t>Yes</t>
        </is>
      </c>
      <c r="D410" t="n">
        <v>1</v>
      </c>
      <c r="E410" t="inlineStr">
        <is>
          <t>Graduate</t>
        </is>
      </c>
      <c r="F410" t="inlineStr">
        <is>
          <t>No</t>
        </is>
      </c>
      <c r="G410" t="n">
        <v>8300</v>
      </c>
      <c r="H410" t="n">
        <v>0</v>
      </c>
      <c r="I410" t="n">
        <v>152</v>
      </c>
      <c r="J410" t="n">
        <v>300</v>
      </c>
      <c r="K410" t="n">
        <v>0</v>
      </c>
      <c r="L410" t="inlineStr">
        <is>
          <t>Semiurban</t>
        </is>
      </c>
      <c r="M410" t="inlineStr">
        <is>
          <t>N</t>
        </is>
      </c>
      <c r="N410" t="inlineStr">
        <is>
          <t>High Risk</t>
        </is>
      </c>
    </row>
    <row r="411">
      <c r="A411" t="inlineStr">
        <is>
          <t>LP002317</t>
        </is>
      </c>
      <c r="B411" t="inlineStr">
        <is>
          <t>Male</t>
        </is>
      </c>
      <c r="C411" t="inlineStr">
        <is>
          <t>Yes</t>
        </is>
      </c>
      <c r="D411" t="inlineStr">
        <is>
          <t>3+</t>
        </is>
      </c>
      <c r="E411" t="inlineStr">
        <is>
          <t>Graduate</t>
        </is>
      </c>
      <c r="F411" t="inlineStr">
        <is>
          <t>No</t>
        </is>
      </c>
      <c r="G411" t="n">
        <v>81000</v>
      </c>
      <c r="H411" t="n">
        <v>0</v>
      </c>
      <c r="I411" t="n">
        <v>360</v>
      </c>
      <c r="J411" t="n">
        <v>360</v>
      </c>
      <c r="K411" t="n">
        <v>0</v>
      </c>
      <c r="L411" t="inlineStr">
        <is>
          <t>Rural</t>
        </is>
      </c>
      <c r="M411" t="inlineStr">
        <is>
          <t>N</t>
        </is>
      </c>
      <c r="N411" t="inlineStr">
        <is>
          <t>High Risk</t>
        </is>
      </c>
    </row>
    <row r="412">
      <c r="A412" t="inlineStr">
        <is>
          <t>LP002318</t>
        </is>
      </c>
      <c r="B412" t="inlineStr">
        <is>
          <t>Female</t>
        </is>
      </c>
      <c r="C412" t="inlineStr">
        <is>
          <t>No</t>
        </is>
      </c>
      <c r="D412" t="n">
        <v>1</v>
      </c>
      <c r="E412" t="inlineStr">
        <is>
          <t>Not Graduate</t>
        </is>
      </c>
      <c r="F412" t="inlineStr">
        <is>
          <t>Yes</t>
        </is>
      </c>
      <c r="G412" t="n">
        <v>3867</v>
      </c>
      <c r="H412" t="n">
        <v>0</v>
      </c>
      <c r="I412" t="n">
        <v>62</v>
      </c>
      <c r="J412" t="n">
        <v>360</v>
      </c>
      <c r="K412" t="n">
        <v>1</v>
      </c>
      <c r="L412" t="inlineStr">
        <is>
          <t>Semiurban</t>
        </is>
      </c>
      <c r="M412" t="inlineStr">
        <is>
          <t>N</t>
        </is>
      </c>
      <c r="N412" t="inlineStr">
        <is>
          <t>Medium Risk</t>
        </is>
      </c>
    </row>
    <row r="413">
      <c r="A413" t="inlineStr">
        <is>
          <t>LP002319</t>
        </is>
      </c>
      <c r="B413" t="inlineStr">
        <is>
          <t>Male</t>
        </is>
      </c>
      <c r="C413" t="inlineStr">
        <is>
          <t>Yes</t>
        </is>
      </c>
      <c r="D413" t="n">
        <v>0</v>
      </c>
      <c r="E413" t="inlineStr">
        <is>
          <t>Graduate</t>
        </is>
      </c>
      <c r="F413" t="n">
        <v/>
      </c>
      <c r="G413" t="n">
        <v>6256</v>
      </c>
      <c r="H413" t="n">
        <v>0</v>
      </c>
      <c r="I413" t="n">
        <v>160</v>
      </c>
      <c r="J413" t="n">
        <v>360</v>
      </c>
      <c r="K413" t="n">
        <v/>
      </c>
      <c r="L413" t="inlineStr">
        <is>
          <t>Urban</t>
        </is>
      </c>
      <c r="M413" t="inlineStr">
        <is>
          <t>Y</t>
        </is>
      </c>
      <c r="N413" t="inlineStr">
        <is>
          <t>Medium Risk</t>
        </is>
      </c>
    </row>
    <row r="414">
      <c r="A414" t="inlineStr">
        <is>
          <t>LP002328</t>
        </is>
      </c>
      <c r="B414" t="inlineStr">
        <is>
          <t>Male</t>
        </is>
      </c>
      <c r="C414" t="inlineStr">
        <is>
          <t>Yes</t>
        </is>
      </c>
      <c r="D414" t="n">
        <v>0</v>
      </c>
      <c r="E414" t="inlineStr">
        <is>
          <t>Not Graduate</t>
        </is>
      </c>
      <c r="F414" t="inlineStr">
        <is>
          <t>No</t>
        </is>
      </c>
      <c r="G414" t="n">
        <v>6096</v>
      </c>
      <c r="H414" t="n">
        <v>0</v>
      </c>
      <c r="I414" t="n">
        <v>218</v>
      </c>
      <c r="J414" t="n">
        <v>360</v>
      </c>
      <c r="K414" t="n">
        <v>0</v>
      </c>
      <c r="L414" t="inlineStr">
        <is>
          <t>Rural</t>
        </is>
      </c>
      <c r="M414" t="inlineStr">
        <is>
          <t>N</t>
        </is>
      </c>
      <c r="N414" t="inlineStr">
        <is>
          <t>High Risk</t>
        </is>
      </c>
    </row>
    <row r="415">
      <c r="A415" t="inlineStr">
        <is>
          <t>LP002332</t>
        </is>
      </c>
      <c r="B415" t="inlineStr">
        <is>
          <t>Male</t>
        </is>
      </c>
      <c r="C415" t="inlineStr">
        <is>
          <t>Yes</t>
        </is>
      </c>
      <c r="D415" t="n">
        <v>0</v>
      </c>
      <c r="E415" t="inlineStr">
        <is>
          <t>Not Graduate</t>
        </is>
      </c>
      <c r="F415" t="inlineStr">
        <is>
          <t>No</t>
        </is>
      </c>
      <c r="G415" t="n">
        <v>2253</v>
      </c>
      <c r="H415" t="n">
        <v>2033</v>
      </c>
      <c r="I415" t="n">
        <v>110</v>
      </c>
      <c r="J415" t="n">
        <v>360</v>
      </c>
      <c r="K415" t="n">
        <v>1</v>
      </c>
      <c r="L415" t="inlineStr">
        <is>
          <t>Rural</t>
        </is>
      </c>
      <c r="M415" t="inlineStr">
        <is>
          <t>Y</t>
        </is>
      </c>
      <c r="N415" t="inlineStr">
        <is>
          <t>Lower Risk</t>
        </is>
      </c>
    </row>
    <row r="416">
      <c r="A416" t="inlineStr">
        <is>
          <t>LP002335</t>
        </is>
      </c>
      <c r="B416" t="inlineStr">
        <is>
          <t>Female</t>
        </is>
      </c>
      <c r="C416" t="inlineStr">
        <is>
          <t>Yes</t>
        </is>
      </c>
      <c r="D416" t="n">
        <v>0</v>
      </c>
      <c r="E416" t="inlineStr">
        <is>
          <t>Not Graduate</t>
        </is>
      </c>
      <c r="F416" t="inlineStr">
        <is>
          <t>No</t>
        </is>
      </c>
      <c r="G416" t="n">
        <v>2149</v>
      </c>
      <c r="H416" t="n">
        <v>3237</v>
      </c>
      <c r="I416" t="n">
        <v>178</v>
      </c>
      <c r="J416" t="n">
        <v>360</v>
      </c>
      <c r="K416" t="n">
        <v>0</v>
      </c>
      <c r="L416" t="inlineStr">
        <is>
          <t>Semiurban</t>
        </is>
      </c>
      <c r="M416" t="inlineStr">
        <is>
          <t>N</t>
        </is>
      </c>
      <c r="N416" t="inlineStr">
        <is>
          <t>High Risk</t>
        </is>
      </c>
    </row>
    <row r="417">
      <c r="A417" t="inlineStr">
        <is>
          <t>LP002337</t>
        </is>
      </c>
      <c r="B417" t="inlineStr">
        <is>
          <t>Female</t>
        </is>
      </c>
      <c r="C417" t="inlineStr">
        <is>
          <t>No</t>
        </is>
      </c>
      <c r="D417" t="n">
        <v>0</v>
      </c>
      <c r="E417" t="inlineStr">
        <is>
          <t>Graduate</t>
        </is>
      </c>
      <c r="F417" t="inlineStr">
        <is>
          <t>No</t>
        </is>
      </c>
      <c r="G417" t="n">
        <v>2995</v>
      </c>
      <c r="H417" t="n">
        <v>0</v>
      </c>
      <c r="I417" t="n">
        <v>60</v>
      </c>
      <c r="J417" t="n">
        <v>360</v>
      </c>
      <c r="K417" t="n">
        <v>1</v>
      </c>
      <c r="L417" t="inlineStr">
        <is>
          <t>Urban</t>
        </is>
      </c>
      <c r="M417" t="inlineStr">
        <is>
          <t>Y</t>
        </is>
      </c>
      <c r="N417" t="inlineStr">
        <is>
          <t>Lower Risk</t>
        </is>
      </c>
    </row>
    <row r="418">
      <c r="A418" t="inlineStr">
        <is>
          <t>LP002341</t>
        </is>
      </c>
      <c r="B418" t="inlineStr">
        <is>
          <t>Female</t>
        </is>
      </c>
      <c r="C418" t="inlineStr">
        <is>
          <t>No</t>
        </is>
      </c>
      <c r="D418" t="n">
        <v>1</v>
      </c>
      <c r="E418" t="inlineStr">
        <is>
          <t>Graduate</t>
        </is>
      </c>
      <c r="F418" t="inlineStr">
        <is>
          <t>No</t>
        </is>
      </c>
      <c r="G418" t="n">
        <v>2600</v>
      </c>
      <c r="H418" t="n">
        <v>0</v>
      </c>
      <c r="I418" t="n">
        <v>160</v>
      </c>
      <c r="J418" t="n">
        <v>360</v>
      </c>
      <c r="K418" t="n">
        <v>1</v>
      </c>
      <c r="L418" t="inlineStr">
        <is>
          <t>Urban</t>
        </is>
      </c>
      <c r="M418" t="inlineStr">
        <is>
          <t>N</t>
        </is>
      </c>
      <c r="N418" t="inlineStr">
        <is>
          <t>Medium Risk</t>
        </is>
      </c>
    </row>
    <row r="419">
      <c r="A419" t="inlineStr">
        <is>
          <t>LP002342</t>
        </is>
      </c>
      <c r="B419" t="inlineStr">
        <is>
          <t>Male</t>
        </is>
      </c>
      <c r="C419" t="inlineStr">
        <is>
          <t>Yes</t>
        </is>
      </c>
      <c r="D419" t="n">
        <v>2</v>
      </c>
      <c r="E419" t="inlineStr">
        <is>
          <t>Graduate</t>
        </is>
      </c>
      <c r="F419" t="inlineStr">
        <is>
          <t>Yes</t>
        </is>
      </c>
      <c r="G419" t="n">
        <v>1600</v>
      </c>
      <c r="H419" t="n">
        <v>20000</v>
      </c>
      <c r="I419" t="n">
        <v>239</v>
      </c>
      <c r="J419" t="n">
        <v>360</v>
      </c>
      <c r="K419" t="n">
        <v>1</v>
      </c>
      <c r="L419" t="inlineStr">
        <is>
          <t>Urban</t>
        </is>
      </c>
      <c r="M419" t="inlineStr">
        <is>
          <t>N</t>
        </is>
      </c>
      <c r="N419" t="inlineStr">
        <is>
          <t>Medium Risk</t>
        </is>
      </c>
    </row>
    <row r="420">
      <c r="A420" t="inlineStr">
        <is>
          <t>LP002345</t>
        </is>
      </c>
      <c r="B420" t="inlineStr">
        <is>
          <t>Male</t>
        </is>
      </c>
      <c r="C420" t="inlineStr">
        <is>
          <t>Yes</t>
        </is>
      </c>
      <c r="D420" t="n">
        <v>0</v>
      </c>
      <c r="E420" t="inlineStr">
        <is>
          <t>Graduate</t>
        </is>
      </c>
      <c r="F420" t="inlineStr">
        <is>
          <t>No</t>
        </is>
      </c>
      <c r="G420" t="n">
        <v>1025</v>
      </c>
      <c r="H420" t="n">
        <v>2773</v>
      </c>
      <c r="I420" t="n">
        <v>112</v>
      </c>
      <c r="J420" t="n">
        <v>360</v>
      </c>
      <c r="K420" t="n">
        <v>1</v>
      </c>
      <c r="L420" t="inlineStr">
        <is>
          <t>Rural</t>
        </is>
      </c>
      <c r="M420" t="inlineStr">
        <is>
          <t>Y</t>
        </is>
      </c>
      <c r="N420" t="inlineStr">
        <is>
          <t>Lower Risk</t>
        </is>
      </c>
    </row>
    <row r="421">
      <c r="A421" t="inlineStr">
        <is>
          <t>LP002347</t>
        </is>
      </c>
      <c r="B421" t="inlineStr">
        <is>
          <t>Male</t>
        </is>
      </c>
      <c r="C421" t="inlineStr">
        <is>
          <t>Yes</t>
        </is>
      </c>
      <c r="D421" t="n">
        <v>0</v>
      </c>
      <c r="E421" t="inlineStr">
        <is>
          <t>Graduate</t>
        </is>
      </c>
      <c r="F421" t="inlineStr">
        <is>
          <t>No</t>
        </is>
      </c>
      <c r="G421" t="n">
        <v>3246</v>
      </c>
      <c r="H421" t="n">
        <v>1417</v>
      </c>
      <c r="I421" t="n">
        <v>138</v>
      </c>
      <c r="J421" t="n">
        <v>360</v>
      </c>
      <c r="K421" t="n">
        <v>1</v>
      </c>
      <c r="L421" t="inlineStr">
        <is>
          <t>Semiurban</t>
        </is>
      </c>
      <c r="M421" t="inlineStr">
        <is>
          <t>Y</t>
        </is>
      </c>
      <c r="N421" t="inlineStr">
        <is>
          <t>Lower Risk</t>
        </is>
      </c>
    </row>
    <row r="422">
      <c r="A422" t="inlineStr">
        <is>
          <t>LP002348</t>
        </is>
      </c>
      <c r="B422" t="inlineStr">
        <is>
          <t>Male</t>
        </is>
      </c>
      <c r="C422" t="inlineStr">
        <is>
          <t>Yes</t>
        </is>
      </c>
      <c r="D422" t="n">
        <v>0</v>
      </c>
      <c r="E422" t="inlineStr">
        <is>
          <t>Graduate</t>
        </is>
      </c>
      <c r="F422" t="inlineStr">
        <is>
          <t>No</t>
        </is>
      </c>
      <c r="G422" t="n">
        <v>5829</v>
      </c>
      <c r="H422" t="n">
        <v>0</v>
      </c>
      <c r="I422" t="n">
        <v>138</v>
      </c>
      <c r="J422" t="n">
        <v>360</v>
      </c>
      <c r="K422" t="n">
        <v>1</v>
      </c>
      <c r="L422" t="inlineStr">
        <is>
          <t>Rural</t>
        </is>
      </c>
      <c r="M422" t="inlineStr">
        <is>
          <t>Y</t>
        </is>
      </c>
      <c r="N422" t="inlineStr">
        <is>
          <t>Lower Risk</t>
        </is>
      </c>
    </row>
    <row r="423">
      <c r="A423" t="inlineStr">
        <is>
          <t>LP002357</t>
        </is>
      </c>
      <c r="B423" t="inlineStr">
        <is>
          <t>Female</t>
        </is>
      </c>
      <c r="C423" t="inlineStr">
        <is>
          <t>No</t>
        </is>
      </c>
      <c r="D423" t="n">
        <v>0</v>
      </c>
      <c r="E423" t="inlineStr">
        <is>
          <t>Not Graduate</t>
        </is>
      </c>
      <c r="F423" t="inlineStr">
        <is>
          <t>No</t>
        </is>
      </c>
      <c r="G423" t="n">
        <v>2720</v>
      </c>
      <c r="H423" t="n">
        <v>0</v>
      </c>
      <c r="I423" t="n">
        <v>80</v>
      </c>
      <c r="J423" t="n">
        <v/>
      </c>
      <c r="K423" t="n">
        <v>0</v>
      </c>
      <c r="L423" t="inlineStr">
        <is>
          <t>Urban</t>
        </is>
      </c>
      <c r="M423" t="inlineStr">
        <is>
          <t>N</t>
        </is>
      </c>
      <c r="N423" t="inlineStr">
        <is>
          <t>High Risk</t>
        </is>
      </c>
    </row>
    <row r="424">
      <c r="A424" t="inlineStr">
        <is>
          <t>LP002361</t>
        </is>
      </c>
      <c r="B424" t="inlineStr">
        <is>
          <t>Male</t>
        </is>
      </c>
      <c r="C424" t="inlineStr">
        <is>
          <t>Yes</t>
        </is>
      </c>
      <c r="D424" t="n">
        <v>0</v>
      </c>
      <c r="E424" t="inlineStr">
        <is>
          <t>Graduate</t>
        </is>
      </c>
      <c r="F424" t="inlineStr">
        <is>
          <t>No</t>
        </is>
      </c>
      <c r="G424" t="n">
        <v>1820</v>
      </c>
      <c r="H424" t="n">
        <v>1719</v>
      </c>
      <c r="I424" t="n">
        <v>100</v>
      </c>
      <c r="J424" t="n">
        <v>360</v>
      </c>
      <c r="K424" t="n">
        <v>1</v>
      </c>
      <c r="L424" t="inlineStr">
        <is>
          <t>Urban</t>
        </is>
      </c>
      <c r="M424" t="inlineStr">
        <is>
          <t>Y</t>
        </is>
      </c>
      <c r="N424" t="inlineStr">
        <is>
          <t>Lower Risk</t>
        </is>
      </c>
    </row>
    <row r="425">
      <c r="A425" t="inlineStr">
        <is>
          <t>LP002362</t>
        </is>
      </c>
      <c r="B425" t="inlineStr">
        <is>
          <t>Male</t>
        </is>
      </c>
      <c r="C425" t="inlineStr">
        <is>
          <t>Yes</t>
        </is>
      </c>
      <c r="D425" t="n">
        <v>1</v>
      </c>
      <c r="E425" t="inlineStr">
        <is>
          <t>Graduate</t>
        </is>
      </c>
      <c r="F425" t="inlineStr">
        <is>
          <t>No</t>
        </is>
      </c>
      <c r="G425" t="n">
        <v>7250</v>
      </c>
      <c r="H425" t="n">
        <v>1667</v>
      </c>
      <c r="I425" t="n">
        <v>110</v>
      </c>
      <c r="J425" t="n">
        <v/>
      </c>
      <c r="K425" t="n">
        <v>0</v>
      </c>
      <c r="L425" t="inlineStr">
        <is>
          <t>Urban</t>
        </is>
      </c>
      <c r="M425" t="inlineStr">
        <is>
          <t>N</t>
        </is>
      </c>
      <c r="N425" t="inlineStr">
        <is>
          <t>High Risk</t>
        </is>
      </c>
    </row>
    <row r="426">
      <c r="A426" t="inlineStr">
        <is>
          <t>LP002364</t>
        </is>
      </c>
      <c r="B426" t="inlineStr">
        <is>
          <t>Male</t>
        </is>
      </c>
      <c r="C426" t="inlineStr">
        <is>
          <t>Yes</t>
        </is>
      </c>
      <c r="D426" t="n">
        <v>0</v>
      </c>
      <c r="E426" t="inlineStr">
        <is>
          <t>Graduate</t>
        </is>
      </c>
      <c r="F426" t="inlineStr">
        <is>
          <t>No</t>
        </is>
      </c>
      <c r="G426" t="n">
        <v>14880</v>
      </c>
      <c r="H426" t="n">
        <v>0</v>
      </c>
      <c r="I426" t="n">
        <v>96</v>
      </c>
      <c r="J426" t="n">
        <v>360</v>
      </c>
      <c r="K426" t="n">
        <v>1</v>
      </c>
      <c r="L426" t="inlineStr">
        <is>
          <t>Semiurban</t>
        </is>
      </c>
      <c r="M426" t="inlineStr">
        <is>
          <t>Y</t>
        </is>
      </c>
      <c r="N426" t="inlineStr">
        <is>
          <t>Lower Risk</t>
        </is>
      </c>
    </row>
    <row r="427">
      <c r="A427" t="inlineStr">
        <is>
          <t>LP002366</t>
        </is>
      </c>
      <c r="B427" t="inlineStr">
        <is>
          <t>Male</t>
        </is>
      </c>
      <c r="C427" t="inlineStr">
        <is>
          <t>Yes</t>
        </is>
      </c>
      <c r="D427" t="n">
        <v>0</v>
      </c>
      <c r="E427" t="inlineStr">
        <is>
          <t>Graduate</t>
        </is>
      </c>
      <c r="F427" t="inlineStr">
        <is>
          <t>No</t>
        </is>
      </c>
      <c r="G427" t="n">
        <v>2666</v>
      </c>
      <c r="H427" t="n">
        <v>4300</v>
      </c>
      <c r="I427" t="n">
        <v>121</v>
      </c>
      <c r="J427" t="n">
        <v>360</v>
      </c>
      <c r="K427" t="n">
        <v>1</v>
      </c>
      <c r="L427" t="inlineStr">
        <is>
          <t>Rural</t>
        </is>
      </c>
      <c r="M427" t="inlineStr">
        <is>
          <t>Y</t>
        </is>
      </c>
      <c r="N427" t="inlineStr">
        <is>
          <t>Lower Risk</t>
        </is>
      </c>
    </row>
    <row r="428">
      <c r="A428" t="inlineStr">
        <is>
          <t>LP002367</t>
        </is>
      </c>
      <c r="B428" t="inlineStr">
        <is>
          <t>Female</t>
        </is>
      </c>
      <c r="C428" t="inlineStr">
        <is>
          <t>No</t>
        </is>
      </c>
      <c r="D428" t="n">
        <v>1</v>
      </c>
      <c r="E428" t="inlineStr">
        <is>
          <t>Not Graduate</t>
        </is>
      </c>
      <c r="F428" t="inlineStr">
        <is>
          <t>No</t>
        </is>
      </c>
      <c r="G428" t="n">
        <v>4606</v>
      </c>
      <c r="H428" t="n">
        <v>0</v>
      </c>
      <c r="I428" t="n">
        <v>81</v>
      </c>
      <c r="J428" t="n">
        <v>360</v>
      </c>
      <c r="K428" t="n">
        <v>1</v>
      </c>
      <c r="L428" t="inlineStr">
        <is>
          <t>Rural</t>
        </is>
      </c>
      <c r="M428" t="inlineStr">
        <is>
          <t>N</t>
        </is>
      </c>
      <c r="N428" t="inlineStr">
        <is>
          <t>Medium Risk</t>
        </is>
      </c>
    </row>
    <row r="429">
      <c r="A429" t="inlineStr">
        <is>
          <t>LP002368</t>
        </is>
      </c>
      <c r="B429" t="inlineStr">
        <is>
          <t>Male</t>
        </is>
      </c>
      <c r="C429" t="inlineStr">
        <is>
          <t>Yes</t>
        </is>
      </c>
      <c r="D429" t="n">
        <v>2</v>
      </c>
      <c r="E429" t="inlineStr">
        <is>
          <t>Graduate</t>
        </is>
      </c>
      <c r="F429" t="inlineStr">
        <is>
          <t>No</t>
        </is>
      </c>
      <c r="G429" t="n">
        <v>5935</v>
      </c>
      <c r="H429" t="n">
        <v>0</v>
      </c>
      <c r="I429" t="n">
        <v>133</v>
      </c>
      <c r="J429" t="n">
        <v>360</v>
      </c>
      <c r="K429" t="n">
        <v>1</v>
      </c>
      <c r="L429" t="inlineStr">
        <is>
          <t>Semiurban</t>
        </is>
      </c>
      <c r="M429" t="inlineStr">
        <is>
          <t>Y</t>
        </is>
      </c>
      <c r="N429" t="inlineStr">
        <is>
          <t>Lower Risk</t>
        </is>
      </c>
    </row>
    <row r="430">
      <c r="A430" t="inlineStr">
        <is>
          <t>LP002369</t>
        </is>
      </c>
      <c r="B430" t="inlineStr">
        <is>
          <t>Male</t>
        </is>
      </c>
      <c r="C430" t="inlineStr">
        <is>
          <t>Yes</t>
        </is>
      </c>
      <c r="D430" t="n">
        <v>0</v>
      </c>
      <c r="E430" t="inlineStr">
        <is>
          <t>Graduate</t>
        </is>
      </c>
      <c r="F430" t="inlineStr">
        <is>
          <t>No</t>
        </is>
      </c>
      <c r="G430" t="n">
        <v>2920</v>
      </c>
      <c r="H430" t="n">
        <v>16.12000084</v>
      </c>
      <c r="I430" t="n">
        <v>87</v>
      </c>
      <c r="J430" t="n">
        <v>360</v>
      </c>
      <c r="K430" t="n">
        <v>1</v>
      </c>
      <c r="L430" t="inlineStr">
        <is>
          <t>Rural</t>
        </is>
      </c>
      <c r="M430" t="inlineStr">
        <is>
          <t>Y</t>
        </is>
      </c>
      <c r="N430" t="inlineStr">
        <is>
          <t>Lower Risk</t>
        </is>
      </c>
    </row>
    <row r="431">
      <c r="A431" t="inlineStr">
        <is>
          <t>LP002370</t>
        </is>
      </c>
      <c r="B431" t="inlineStr">
        <is>
          <t>Male</t>
        </is>
      </c>
      <c r="C431" t="inlineStr">
        <is>
          <t>No</t>
        </is>
      </c>
      <c r="D431" t="n">
        <v>0</v>
      </c>
      <c r="E431" t="inlineStr">
        <is>
          <t>Not Graduate</t>
        </is>
      </c>
      <c r="F431" t="inlineStr">
        <is>
          <t>No</t>
        </is>
      </c>
      <c r="G431" t="n">
        <v>2717</v>
      </c>
      <c r="H431" t="n">
        <v>0</v>
      </c>
      <c r="I431" t="n">
        <v>60</v>
      </c>
      <c r="J431" t="n">
        <v>180</v>
      </c>
      <c r="K431" t="n">
        <v>1</v>
      </c>
      <c r="L431" t="inlineStr">
        <is>
          <t>Urban</t>
        </is>
      </c>
      <c r="M431" t="inlineStr">
        <is>
          <t>Y</t>
        </is>
      </c>
      <c r="N431" t="inlineStr">
        <is>
          <t>Lower Risk</t>
        </is>
      </c>
    </row>
    <row r="432">
      <c r="A432" t="inlineStr">
        <is>
          <t>LP002377</t>
        </is>
      </c>
      <c r="B432" t="inlineStr">
        <is>
          <t>Female</t>
        </is>
      </c>
      <c r="C432" t="inlineStr">
        <is>
          <t>No</t>
        </is>
      </c>
      <c r="D432" t="n">
        <v>1</v>
      </c>
      <c r="E432" t="inlineStr">
        <is>
          <t>Graduate</t>
        </is>
      </c>
      <c r="F432" t="inlineStr">
        <is>
          <t>Yes</t>
        </is>
      </c>
      <c r="G432" t="n">
        <v>8624</v>
      </c>
      <c r="H432" t="n">
        <v>0</v>
      </c>
      <c r="I432" t="n">
        <v>150</v>
      </c>
      <c r="J432" t="n">
        <v>360</v>
      </c>
      <c r="K432" t="n">
        <v>1</v>
      </c>
      <c r="L432" t="inlineStr">
        <is>
          <t>Semiurban</t>
        </is>
      </c>
      <c r="M432" t="inlineStr">
        <is>
          <t>Y</t>
        </is>
      </c>
      <c r="N432" t="inlineStr">
        <is>
          <t>Lower Risk</t>
        </is>
      </c>
    </row>
    <row r="433">
      <c r="A433" t="inlineStr">
        <is>
          <t>LP002379</t>
        </is>
      </c>
      <c r="B433" t="inlineStr">
        <is>
          <t>Male</t>
        </is>
      </c>
      <c r="C433" t="inlineStr">
        <is>
          <t>No</t>
        </is>
      </c>
      <c r="D433" t="n">
        <v>0</v>
      </c>
      <c r="E433" t="inlineStr">
        <is>
          <t>Graduate</t>
        </is>
      </c>
      <c r="F433" t="inlineStr">
        <is>
          <t>No</t>
        </is>
      </c>
      <c r="G433" t="n">
        <v>6500</v>
      </c>
      <c r="H433" t="n">
        <v>0</v>
      </c>
      <c r="I433" t="n">
        <v>105</v>
      </c>
      <c r="J433" t="n">
        <v>360</v>
      </c>
      <c r="K433" t="n">
        <v>0</v>
      </c>
      <c r="L433" t="inlineStr">
        <is>
          <t>Rural</t>
        </is>
      </c>
      <c r="M433" t="inlineStr">
        <is>
          <t>N</t>
        </is>
      </c>
      <c r="N433" t="inlineStr">
        <is>
          <t>High Risk</t>
        </is>
      </c>
    </row>
    <row r="434">
      <c r="A434" t="inlineStr">
        <is>
          <t>LP002386</t>
        </is>
      </c>
      <c r="B434" t="inlineStr">
        <is>
          <t>Male</t>
        </is>
      </c>
      <c r="C434" t="inlineStr">
        <is>
          <t>No</t>
        </is>
      </c>
      <c r="D434" t="n">
        <v>0</v>
      </c>
      <c r="E434" t="inlineStr">
        <is>
          <t>Graduate</t>
        </is>
      </c>
      <c r="F434" t="n">
        <v/>
      </c>
      <c r="G434" t="n">
        <v>12876</v>
      </c>
      <c r="H434" t="n">
        <v>0</v>
      </c>
      <c r="I434" t="n">
        <v>405</v>
      </c>
      <c r="J434" t="n">
        <v>360</v>
      </c>
      <c r="K434" t="n">
        <v>1</v>
      </c>
      <c r="L434" t="inlineStr">
        <is>
          <t>Semiurban</t>
        </is>
      </c>
      <c r="M434" t="inlineStr">
        <is>
          <t>Y</t>
        </is>
      </c>
      <c r="N434" t="inlineStr">
        <is>
          <t>Lower Risk</t>
        </is>
      </c>
    </row>
    <row r="435">
      <c r="A435" t="inlineStr">
        <is>
          <t>LP002387</t>
        </is>
      </c>
      <c r="B435" t="inlineStr">
        <is>
          <t>Male</t>
        </is>
      </c>
      <c r="C435" t="inlineStr">
        <is>
          <t>Yes</t>
        </is>
      </c>
      <c r="D435" t="n">
        <v>0</v>
      </c>
      <c r="E435" t="inlineStr">
        <is>
          <t>Graduate</t>
        </is>
      </c>
      <c r="F435" t="inlineStr">
        <is>
          <t>No</t>
        </is>
      </c>
      <c r="G435" t="n">
        <v>2425</v>
      </c>
      <c r="H435" t="n">
        <v>2340</v>
      </c>
      <c r="I435" t="n">
        <v>143</v>
      </c>
      <c r="J435" t="n">
        <v>360</v>
      </c>
      <c r="K435" t="n">
        <v>1</v>
      </c>
      <c r="L435" t="inlineStr">
        <is>
          <t>Semiurban</t>
        </is>
      </c>
      <c r="M435" t="inlineStr">
        <is>
          <t>Y</t>
        </is>
      </c>
      <c r="N435" t="inlineStr">
        <is>
          <t>Lower Risk</t>
        </is>
      </c>
    </row>
    <row r="436">
      <c r="A436" t="inlineStr">
        <is>
          <t>LP002390</t>
        </is>
      </c>
      <c r="B436" t="inlineStr">
        <is>
          <t>Male</t>
        </is>
      </c>
      <c r="C436" t="inlineStr">
        <is>
          <t>No</t>
        </is>
      </c>
      <c r="D436" t="n">
        <v>0</v>
      </c>
      <c r="E436" t="inlineStr">
        <is>
          <t>Graduate</t>
        </is>
      </c>
      <c r="F436" t="inlineStr">
        <is>
          <t>No</t>
        </is>
      </c>
      <c r="G436" t="n">
        <v>3750</v>
      </c>
      <c r="H436" t="n">
        <v>0</v>
      </c>
      <c r="I436" t="n">
        <v>100</v>
      </c>
      <c r="J436" t="n">
        <v>360</v>
      </c>
      <c r="K436" t="n">
        <v>1</v>
      </c>
      <c r="L436" t="inlineStr">
        <is>
          <t>Urban</t>
        </is>
      </c>
      <c r="M436" t="inlineStr">
        <is>
          <t>Y</t>
        </is>
      </c>
      <c r="N436" t="inlineStr">
        <is>
          <t>Lower Risk</t>
        </is>
      </c>
    </row>
    <row r="437">
      <c r="A437" t="inlineStr">
        <is>
          <t>LP002393</t>
        </is>
      </c>
      <c r="B437" t="inlineStr">
        <is>
          <t>Female</t>
        </is>
      </c>
      <c r="C437" t="n">
        <v/>
      </c>
      <c r="D437" t="n">
        <v/>
      </c>
      <c r="E437" t="inlineStr">
        <is>
          <t>Graduate</t>
        </is>
      </c>
      <c r="F437" t="inlineStr">
        <is>
          <t>No</t>
        </is>
      </c>
      <c r="G437" t="n">
        <v>10047</v>
      </c>
      <c r="H437" t="n">
        <v>0</v>
      </c>
      <c r="I437" t="n">
        <v/>
      </c>
      <c r="J437" t="n">
        <v>240</v>
      </c>
      <c r="K437" t="n">
        <v>1</v>
      </c>
      <c r="L437" t="inlineStr">
        <is>
          <t>Semiurban</t>
        </is>
      </c>
      <c r="M437" t="inlineStr">
        <is>
          <t>Y</t>
        </is>
      </c>
      <c r="N437" t="inlineStr">
        <is>
          <t>Lower Risk</t>
        </is>
      </c>
    </row>
    <row r="438">
      <c r="A438" t="inlineStr">
        <is>
          <t>LP002398</t>
        </is>
      </c>
      <c r="B438" t="inlineStr">
        <is>
          <t>Male</t>
        </is>
      </c>
      <c r="C438" t="inlineStr">
        <is>
          <t>No</t>
        </is>
      </c>
      <c r="D438" t="n">
        <v>0</v>
      </c>
      <c r="E438" t="inlineStr">
        <is>
          <t>Graduate</t>
        </is>
      </c>
      <c r="F438" t="inlineStr">
        <is>
          <t>No</t>
        </is>
      </c>
      <c r="G438" t="n">
        <v>1926</v>
      </c>
      <c r="H438" t="n">
        <v>1851</v>
      </c>
      <c r="I438" t="n">
        <v>50</v>
      </c>
      <c r="J438" t="n">
        <v>360</v>
      </c>
      <c r="K438" t="n">
        <v>1</v>
      </c>
      <c r="L438" t="inlineStr">
        <is>
          <t>Semiurban</t>
        </is>
      </c>
      <c r="M438" t="inlineStr">
        <is>
          <t>Y</t>
        </is>
      </c>
      <c r="N438" t="inlineStr">
        <is>
          <t>Lower Risk</t>
        </is>
      </c>
    </row>
    <row r="439">
      <c r="A439" t="inlineStr">
        <is>
          <t>LP002401</t>
        </is>
      </c>
      <c r="B439" t="inlineStr">
        <is>
          <t>Male</t>
        </is>
      </c>
      <c r="C439" t="inlineStr">
        <is>
          <t>Yes</t>
        </is>
      </c>
      <c r="D439" t="n">
        <v>0</v>
      </c>
      <c r="E439" t="inlineStr">
        <is>
          <t>Graduate</t>
        </is>
      </c>
      <c r="F439" t="inlineStr">
        <is>
          <t>No</t>
        </is>
      </c>
      <c r="G439" t="n">
        <v>2213</v>
      </c>
      <c r="H439" t="n">
        <v>1125</v>
      </c>
      <c r="I439" t="n">
        <v/>
      </c>
      <c r="J439" t="n">
        <v>360</v>
      </c>
      <c r="K439" t="n">
        <v>1</v>
      </c>
      <c r="L439" t="inlineStr">
        <is>
          <t>Urban</t>
        </is>
      </c>
      <c r="M439" t="inlineStr">
        <is>
          <t>Y</t>
        </is>
      </c>
      <c r="N439" t="inlineStr">
        <is>
          <t>Lower Risk</t>
        </is>
      </c>
    </row>
    <row r="440">
      <c r="A440" t="inlineStr">
        <is>
          <t>LP002403</t>
        </is>
      </c>
      <c r="B440" t="inlineStr">
        <is>
          <t>Male</t>
        </is>
      </c>
      <c r="C440" t="inlineStr">
        <is>
          <t>No</t>
        </is>
      </c>
      <c r="D440" t="n">
        <v>0</v>
      </c>
      <c r="E440" t="inlineStr">
        <is>
          <t>Graduate</t>
        </is>
      </c>
      <c r="F440" t="inlineStr">
        <is>
          <t>Yes</t>
        </is>
      </c>
      <c r="G440" t="n">
        <v>10416</v>
      </c>
      <c r="H440" t="n">
        <v>0</v>
      </c>
      <c r="I440" t="n">
        <v>187</v>
      </c>
      <c r="J440" t="n">
        <v>360</v>
      </c>
      <c r="K440" t="n">
        <v>0</v>
      </c>
      <c r="L440" t="inlineStr">
        <is>
          <t>Urban</t>
        </is>
      </c>
      <c r="M440" t="inlineStr">
        <is>
          <t>N</t>
        </is>
      </c>
      <c r="N440" t="inlineStr">
        <is>
          <t>High Risk</t>
        </is>
      </c>
    </row>
    <row r="441">
      <c r="A441" t="inlineStr">
        <is>
          <t>LP002407</t>
        </is>
      </c>
      <c r="B441" t="inlineStr">
        <is>
          <t>Female</t>
        </is>
      </c>
      <c r="C441" t="inlineStr">
        <is>
          <t>Yes</t>
        </is>
      </c>
      <c r="D441" t="n">
        <v>0</v>
      </c>
      <c r="E441" t="inlineStr">
        <is>
          <t>Not Graduate</t>
        </is>
      </c>
      <c r="F441" t="inlineStr">
        <is>
          <t>Yes</t>
        </is>
      </c>
      <c r="G441" t="n">
        <v>7142</v>
      </c>
      <c r="H441" t="n">
        <v>0</v>
      </c>
      <c r="I441" t="n">
        <v>138</v>
      </c>
      <c r="J441" t="n">
        <v>360</v>
      </c>
      <c r="K441" t="n">
        <v>1</v>
      </c>
      <c r="L441" t="inlineStr">
        <is>
          <t>Rural</t>
        </is>
      </c>
      <c r="M441" t="inlineStr">
        <is>
          <t>Y</t>
        </is>
      </c>
      <c r="N441" t="inlineStr">
        <is>
          <t>Lower Risk</t>
        </is>
      </c>
    </row>
    <row r="442">
      <c r="A442" t="inlineStr">
        <is>
          <t>LP002408</t>
        </is>
      </c>
      <c r="B442" t="inlineStr">
        <is>
          <t>Male</t>
        </is>
      </c>
      <c r="C442" t="inlineStr">
        <is>
          <t>No</t>
        </is>
      </c>
      <c r="D442" t="n">
        <v>0</v>
      </c>
      <c r="E442" t="inlineStr">
        <is>
          <t>Graduate</t>
        </is>
      </c>
      <c r="F442" t="inlineStr">
        <is>
          <t>No</t>
        </is>
      </c>
      <c r="G442" t="n">
        <v>3660</v>
      </c>
      <c r="H442" t="n">
        <v>5064</v>
      </c>
      <c r="I442" t="n">
        <v>187</v>
      </c>
      <c r="J442" t="n">
        <v>360</v>
      </c>
      <c r="K442" t="n">
        <v>1</v>
      </c>
      <c r="L442" t="inlineStr">
        <is>
          <t>Semiurban</t>
        </is>
      </c>
      <c r="M442" t="inlineStr">
        <is>
          <t>Y</t>
        </is>
      </c>
      <c r="N442" t="inlineStr">
        <is>
          <t>Lower Risk</t>
        </is>
      </c>
    </row>
    <row r="443">
      <c r="A443" t="inlineStr">
        <is>
          <t>LP002409</t>
        </is>
      </c>
      <c r="B443" t="inlineStr">
        <is>
          <t>Male</t>
        </is>
      </c>
      <c r="C443" t="inlineStr">
        <is>
          <t>Yes</t>
        </is>
      </c>
      <c r="D443" t="n">
        <v>0</v>
      </c>
      <c r="E443" t="inlineStr">
        <is>
          <t>Graduate</t>
        </is>
      </c>
      <c r="F443" t="inlineStr">
        <is>
          <t>No</t>
        </is>
      </c>
      <c r="G443" t="n">
        <v>7901</v>
      </c>
      <c r="H443" t="n">
        <v>1833</v>
      </c>
      <c r="I443" t="n">
        <v>180</v>
      </c>
      <c r="J443" t="n">
        <v>360</v>
      </c>
      <c r="K443" t="n">
        <v>1</v>
      </c>
      <c r="L443" t="inlineStr">
        <is>
          <t>Rural</t>
        </is>
      </c>
      <c r="M443" t="inlineStr">
        <is>
          <t>Y</t>
        </is>
      </c>
      <c r="N443" t="inlineStr">
        <is>
          <t>Lower Risk</t>
        </is>
      </c>
    </row>
    <row r="444">
      <c r="A444" t="inlineStr">
        <is>
          <t>LP002418</t>
        </is>
      </c>
      <c r="B444" t="inlineStr">
        <is>
          <t>Male</t>
        </is>
      </c>
      <c r="C444" t="inlineStr">
        <is>
          <t>No</t>
        </is>
      </c>
      <c r="D444" t="inlineStr">
        <is>
          <t>3+</t>
        </is>
      </c>
      <c r="E444" t="inlineStr">
        <is>
          <t>Not Graduate</t>
        </is>
      </c>
      <c r="F444" t="inlineStr">
        <is>
          <t>No</t>
        </is>
      </c>
      <c r="G444" t="n">
        <v>4707</v>
      </c>
      <c r="H444" t="n">
        <v>1993</v>
      </c>
      <c r="I444" t="n">
        <v>148</v>
      </c>
      <c r="J444" t="n">
        <v>360</v>
      </c>
      <c r="K444" t="n">
        <v>1</v>
      </c>
      <c r="L444" t="inlineStr">
        <is>
          <t>Semiurban</t>
        </is>
      </c>
      <c r="M444" t="inlineStr">
        <is>
          <t>Y</t>
        </is>
      </c>
      <c r="N444" t="inlineStr">
        <is>
          <t>Lower Risk</t>
        </is>
      </c>
    </row>
    <row r="445">
      <c r="A445" t="inlineStr">
        <is>
          <t>LP002422</t>
        </is>
      </c>
      <c r="B445" t="inlineStr">
        <is>
          <t>Male</t>
        </is>
      </c>
      <c r="C445" t="inlineStr">
        <is>
          <t>No</t>
        </is>
      </c>
      <c r="D445" t="n">
        <v>1</v>
      </c>
      <c r="E445" t="inlineStr">
        <is>
          <t>Graduate</t>
        </is>
      </c>
      <c r="F445" t="inlineStr">
        <is>
          <t>No</t>
        </is>
      </c>
      <c r="G445" t="n">
        <v>37719</v>
      </c>
      <c r="H445" t="n">
        <v>0</v>
      </c>
      <c r="I445" t="n">
        <v>152</v>
      </c>
      <c r="J445" t="n">
        <v>360</v>
      </c>
      <c r="K445" t="n">
        <v>1</v>
      </c>
      <c r="L445" t="inlineStr">
        <is>
          <t>Semiurban</t>
        </is>
      </c>
      <c r="M445" t="inlineStr">
        <is>
          <t>Y</t>
        </is>
      </c>
      <c r="N445" t="inlineStr">
        <is>
          <t>Lower Risk</t>
        </is>
      </c>
    </row>
    <row r="446">
      <c r="A446" t="inlineStr">
        <is>
          <t>LP002424</t>
        </is>
      </c>
      <c r="B446" t="inlineStr">
        <is>
          <t>Male</t>
        </is>
      </c>
      <c r="C446" t="inlineStr">
        <is>
          <t>Yes</t>
        </is>
      </c>
      <c r="D446" t="n">
        <v>0</v>
      </c>
      <c r="E446" t="inlineStr">
        <is>
          <t>Graduate</t>
        </is>
      </c>
      <c r="F446" t="inlineStr">
        <is>
          <t>No</t>
        </is>
      </c>
      <c r="G446" t="n">
        <v>7333</v>
      </c>
      <c r="H446" t="n">
        <v>8333</v>
      </c>
      <c r="I446" t="n">
        <v>175</v>
      </c>
      <c r="J446" t="n">
        <v>300</v>
      </c>
      <c r="K446" t="n">
        <v/>
      </c>
      <c r="L446" t="inlineStr">
        <is>
          <t>Rural</t>
        </is>
      </c>
      <c r="M446" t="inlineStr">
        <is>
          <t>Y</t>
        </is>
      </c>
      <c r="N446" t="inlineStr">
        <is>
          <t>Medium Risk</t>
        </is>
      </c>
    </row>
    <row r="447">
      <c r="A447" t="inlineStr">
        <is>
          <t>LP002429</t>
        </is>
      </c>
      <c r="B447" t="inlineStr">
        <is>
          <t>Male</t>
        </is>
      </c>
      <c r="C447" t="inlineStr">
        <is>
          <t>Yes</t>
        </is>
      </c>
      <c r="D447" t="n">
        <v>1</v>
      </c>
      <c r="E447" t="inlineStr">
        <is>
          <t>Graduate</t>
        </is>
      </c>
      <c r="F447" t="inlineStr">
        <is>
          <t>Yes</t>
        </is>
      </c>
      <c r="G447" t="n">
        <v>3466</v>
      </c>
      <c r="H447" t="n">
        <v>1210</v>
      </c>
      <c r="I447" t="n">
        <v>130</v>
      </c>
      <c r="J447" t="n">
        <v>360</v>
      </c>
      <c r="K447" t="n">
        <v>1</v>
      </c>
      <c r="L447" t="inlineStr">
        <is>
          <t>Rural</t>
        </is>
      </c>
      <c r="M447" t="inlineStr">
        <is>
          <t>Y</t>
        </is>
      </c>
      <c r="N447" t="inlineStr">
        <is>
          <t>Lower Risk</t>
        </is>
      </c>
    </row>
    <row r="448">
      <c r="A448" t="inlineStr">
        <is>
          <t>LP002434</t>
        </is>
      </c>
      <c r="B448" t="inlineStr">
        <is>
          <t>Male</t>
        </is>
      </c>
      <c r="C448" t="inlineStr">
        <is>
          <t>Yes</t>
        </is>
      </c>
      <c r="D448" t="n">
        <v>2</v>
      </c>
      <c r="E448" t="inlineStr">
        <is>
          <t>Not Graduate</t>
        </is>
      </c>
      <c r="F448" t="inlineStr">
        <is>
          <t>No</t>
        </is>
      </c>
      <c r="G448" t="n">
        <v>4652</v>
      </c>
      <c r="H448" t="n">
        <v>0</v>
      </c>
      <c r="I448" t="n">
        <v>110</v>
      </c>
      <c r="J448" t="n">
        <v>360</v>
      </c>
      <c r="K448" t="n">
        <v>1</v>
      </c>
      <c r="L448" t="inlineStr">
        <is>
          <t>Rural</t>
        </is>
      </c>
      <c r="M448" t="inlineStr">
        <is>
          <t>Y</t>
        </is>
      </c>
      <c r="N448" t="inlineStr">
        <is>
          <t>Lower Risk</t>
        </is>
      </c>
    </row>
    <row r="449">
      <c r="A449" t="inlineStr">
        <is>
          <t>LP002435</t>
        </is>
      </c>
      <c r="B449" t="inlineStr">
        <is>
          <t>Male</t>
        </is>
      </c>
      <c r="C449" t="inlineStr">
        <is>
          <t>Yes</t>
        </is>
      </c>
      <c r="D449" t="n">
        <v>0</v>
      </c>
      <c r="E449" t="inlineStr">
        <is>
          <t>Graduate</t>
        </is>
      </c>
      <c r="F449" t="n">
        <v/>
      </c>
      <c r="G449" t="n">
        <v>3539</v>
      </c>
      <c r="H449" t="n">
        <v>1376</v>
      </c>
      <c r="I449" t="n">
        <v>55</v>
      </c>
      <c r="J449" t="n">
        <v>360</v>
      </c>
      <c r="K449" t="n">
        <v>1</v>
      </c>
      <c r="L449" t="inlineStr">
        <is>
          <t>Rural</t>
        </is>
      </c>
      <c r="M449" t="inlineStr">
        <is>
          <t>N</t>
        </is>
      </c>
      <c r="N449" t="inlineStr">
        <is>
          <t>Medium Risk</t>
        </is>
      </c>
    </row>
    <row r="450">
      <c r="A450" t="inlineStr">
        <is>
          <t>LP002443</t>
        </is>
      </c>
      <c r="B450" t="inlineStr">
        <is>
          <t>Male</t>
        </is>
      </c>
      <c r="C450" t="inlineStr">
        <is>
          <t>Yes</t>
        </is>
      </c>
      <c r="D450" t="n">
        <v>2</v>
      </c>
      <c r="E450" t="inlineStr">
        <is>
          <t>Graduate</t>
        </is>
      </c>
      <c r="F450" t="inlineStr">
        <is>
          <t>No</t>
        </is>
      </c>
      <c r="G450" t="n">
        <v>3340</v>
      </c>
      <c r="H450" t="n">
        <v>1710</v>
      </c>
      <c r="I450" t="n">
        <v>150</v>
      </c>
      <c r="J450" t="n">
        <v>360</v>
      </c>
      <c r="K450" t="n">
        <v>0</v>
      </c>
      <c r="L450" t="inlineStr">
        <is>
          <t>Rural</t>
        </is>
      </c>
      <c r="M450" t="inlineStr">
        <is>
          <t>N</t>
        </is>
      </c>
      <c r="N450" t="inlineStr">
        <is>
          <t>High Risk</t>
        </is>
      </c>
    </row>
    <row r="451">
      <c r="A451" t="inlineStr">
        <is>
          <t>LP002444</t>
        </is>
      </c>
      <c r="B451" t="inlineStr">
        <is>
          <t>Male</t>
        </is>
      </c>
      <c r="C451" t="inlineStr">
        <is>
          <t>No</t>
        </is>
      </c>
      <c r="D451" t="n">
        <v>1</v>
      </c>
      <c r="E451" t="inlineStr">
        <is>
          <t>Not Graduate</t>
        </is>
      </c>
      <c r="F451" t="inlineStr">
        <is>
          <t>Yes</t>
        </is>
      </c>
      <c r="G451" t="n">
        <v>2769</v>
      </c>
      <c r="H451" t="n">
        <v>1542</v>
      </c>
      <c r="I451" t="n">
        <v>190</v>
      </c>
      <c r="J451" t="n">
        <v>360</v>
      </c>
      <c r="K451" t="n">
        <v/>
      </c>
      <c r="L451" t="inlineStr">
        <is>
          <t>Semiurban</t>
        </is>
      </c>
      <c r="M451" t="inlineStr">
        <is>
          <t>N</t>
        </is>
      </c>
      <c r="N451" t="inlineStr">
        <is>
          <t>High Risk</t>
        </is>
      </c>
    </row>
    <row r="452">
      <c r="A452" t="inlineStr">
        <is>
          <t>LP002446</t>
        </is>
      </c>
      <c r="B452" t="inlineStr">
        <is>
          <t>Male</t>
        </is>
      </c>
      <c r="C452" t="inlineStr">
        <is>
          <t>Yes</t>
        </is>
      </c>
      <c r="D452" t="n">
        <v>2</v>
      </c>
      <c r="E452" t="inlineStr">
        <is>
          <t>Not Graduate</t>
        </is>
      </c>
      <c r="F452" t="inlineStr">
        <is>
          <t>No</t>
        </is>
      </c>
      <c r="G452" t="n">
        <v>2309</v>
      </c>
      <c r="H452" t="n">
        <v>1255</v>
      </c>
      <c r="I452" t="n">
        <v>125</v>
      </c>
      <c r="J452" t="n">
        <v>360</v>
      </c>
      <c r="K452" t="n">
        <v>0</v>
      </c>
      <c r="L452" t="inlineStr">
        <is>
          <t>Rural</t>
        </is>
      </c>
      <c r="M452" t="inlineStr">
        <is>
          <t>N</t>
        </is>
      </c>
      <c r="N452" t="inlineStr">
        <is>
          <t>High Risk</t>
        </is>
      </c>
    </row>
    <row r="453">
      <c r="A453" t="inlineStr">
        <is>
          <t>LP002447</t>
        </is>
      </c>
      <c r="B453" t="inlineStr">
        <is>
          <t>Male</t>
        </is>
      </c>
      <c r="C453" t="inlineStr">
        <is>
          <t>Yes</t>
        </is>
      </c>
      <c r="D453" t="n">
        <v>2</v>
      </c>
      <c r="E453" t="inlineStr">
        <is>
          <t>Not Graduate</t>
        </is>
      </c>
      <c r="F453" t="inlineStr">
        <is>
          <t>No</t>
        </is>
      </c>
      <c r="G453" t="n">
        <v>1958</v>
      </c>
      <c r="H453" t="n">
        <v>1456</v>
      </c>
      <c r="I453" t="n">
        <v>60</v>
      </c>
      <c r="J453" t="n">
        <v>300</v>
      </c>
      <c r="K453" t="n">
        <v/>
      </c>
      <c r="L453" t="inlineStr">
        <is>
          <t>Urban</t>
        </is>
      </c>
      <c r="M453" t="inlineStr">
        <is>
          <t>Y</t>
        </is>
      </c>
      <c r="N453" t="inlineStr">
        <is>
          <t>Medium Risk</t>
        </is>
      </c>
    </row>
    <row r="454">
      <c r="A454" t="inlineStr">
        <is>
          <t>LP002448</t>
        </is>
      </c>
      <c r="B454" t="inlineStr">
        <is>
          <t>Male</t>
        </is>
      </c>
      <c r="C454" t="inlineStr">
        <is>
          <t>Yes</t>
        </is>
      </c>
      <c r="D454" t="n">
        <v>0</v>
      </c>
      <c r="E454" t="inlineStr">
        <is>
          <t>Graduate</t>
        </is>
      </c>
      <c r="F454" t="inlineStr">
        <is>
          <t>No</t>
        </is>
      </c>
      <c r="G454" t="n">
        <v>3948</v>
      </c>
      <c r="H454" t="n">
        <v>1733</v>
      </c>
      <c r="I454" t="n">
        <v>149</v>
      </c>
      <c r="J454" t="n">
        <v>360</v>
      </c>
      <c r="K454" t="n">
        <v>0</v>
      </c>
      <c r="L454" t="inlineStr">
        <is>
          <t>Rural</t>
        </is>
      </c>
      <c r="M454" t="inlineStr">
        <is>
          <t>N</t>
        </is>
      </c>
      <c r="N454" t="inlineStr">
        <is>
          <t>High Risk</t>
        </is>
      </c>
    </row>
    <row r="455">
      <c r="A455" t="inlineStr">
        <is>
          <t>LP002449</t>
        </is>
      </c>
      <c r="B455" t="inlineStr">
        <is>
          <t>Male</t>
        </is>
      </c>
      <c r="C455" t="inlineStr">
        <is>
          <t>Yes</t>
        </is>
      </c>
      <c r="D455" t="n">
        <v>0</v>
      </c>
      <c r="E455" t="inlineStr">
        <is>
          <t>Graduate</t>
        </is>
      </c>
      <c r="F455" t="inlineStr">
        <is>
          <t>No</t>
        </is>
      </c>
      <c r="G455" t="n">
        <v>2483</v>
      </c>
      <c r="H455" t="n">
        <v>2466</v>
      </c>
      <c r="I455" t="n">
        <v>90</v>
      </c>
      <c r="J455" t="n">
        <v>180</v>
      </c>
      <c r="K455" t="n">
        <v>0</v>
      </c>
      <c r="L455" t="inlineStr">
        <is>
          <t>Rural</t>
        </is>
      </c>
      <c r="M455" t="inlineStr">
        <is>
          <t>Y</t>
        </is>
      </c>
      <c r="N455" t="inlineStr">
        <is>
          <t>Medium Risk</t>
        </is>
      </c>
    </row>
    <row r="456">
      <c r="A456" t="inlineStr">
        <is>
          <t>LP002453</t>
        </is>
      </c>
      <c r="B456" t="inlineStr">
        <is>
          <t>Male</t>
        </is>
      </c>
      <c r="C456" t="inlineStr">
        <is>
          <t>No</t>
        </is>
      </c>
      <c r="D456" t="n">
        <v>0</v>
      </c>
      <c r="E456" t="inlineStr">
        <is>
          <t>Graduate</t>
        </is>
      </c>
      <c r="F456" t="inlineStr">
        <is>
          <t>Yes</t>
        </is>
      </c>
      <c r="G456" t="n">
        <v>7085</v>
      </c>
      <c r="H456" t="n">
        <v>0</v>
      </c>
      <c r="I456" t="n">
        <v>84</v>
      </c>
      <c r="J456" t="n">
        <v>360</v>
      </c>
      <c r="K456" t="n">
        <v>1</v>
      </c>
      <c r="L456" t="inlineStr">
        <is>
          <t>Semiurban</t>
        </is>
      </c>
      <c r="M456" t="inlineStr">
        <is>
          <t>Y</t>
        </is>
      </c>
      <c r="N456" t="inlineStr">
        <is>
          <t>Lower Risk</t>
        </is>
      </c>
    </row>
    <row r="457">
      <c r="A457" t="inlineStr">
        <is>
          <t>LP002455</t>
        </is>
      </c>
      <c r="B457" t="inlineStr">
        <is>
          <t>Male</t>
        </is>
      </c>
      <c r="C457" t="inlineStr">
        <is>
          <t>Yes</t>
        </is>
      </c>
      <c r="D457" t="n">
        <v>2</v>
      </c>
      <c r="E457" t="inlineStr">
        <is>
          <t>Graduate</t>
        </is>
      </c>
      <c r="F457" t="inlineStr">
        <is>
          <t>No</t>
        </is>
      </c>
      <c r="G457" t="n">
        <v>3859</v>
      </c>
      <c r="H457" t="n">
        <v>0</v>
      </c>
      <c r="I457" t="n">
        <v>96</v>
      </c>
      <c r="J457" t="n">
        <v>360</v>
      </c>
      <c r="K457" t="n">
        <v>1</v>
      </c>
      <c r="L457" t="inlineStr">
        <is>
          <t>Semiurban</t>
        </is>
      </c>
      <c r="M457" t="inlineStr">
        <is>
          <t>Y</t>
        </is>
      </c>
      <c r="N457" t="inlineStr">
        <is>
          <t>Lower Risk</t>
        </is>
      </c>
    </row>
    <row r="458">
      <c r="A458" t="inlineStr">
        <is>
          <t>LP002459</t>
        </is>
      </c>
      <c r="B458" t="inlineStr">
        <is>
          <t>Male</t>
        </is>
      </c>
      <c r="C458" t="inlineStr">
        <is>
          <t>Yes</t>
        </is>
      </c>
      <c r="D458" t="n">
        <v>0</v>
      </c>
      <c r="E458" t="inlineStr">
        <is>
          <t>Graduate</t>
        </is>
      </c>
      <c r="F458" t="inlineStr">
        <is>
          <t>No</t>
        </is>
      </c>
      <c r="G458" t="n">
        <v>4301</v>
      </c>
      <c r="H458" t="n">
        <v>0</v>
      </c>
      <c r="I458" t="n">
        <v>118</v>
      </c>
      <c r="J458" t="n">
        <v>360</v>
      </c>
      <c r="K458" t="n">
        <v>1</v>
      </c>
      <c r="L458" t="inlineStr">
        <is>
          <t>Urban</t>
        </is>
      </c>
      <c r="M458" t="inlineStr">
        <is>
          <t>Y</t>
        </is>
      </c>
      <c r="N458" t="inlineStr">
        <is>
          <t>Lower Risk</t>
        </is>
      </c>
    </row>
    <row r="459">
      <c r="A459" t="inlineStr">
        <is>
          <t>LP002467</t>
        </is>
      </c>
      <c r="B459" t="inlineStr">
        <is>
          <t>Male</t>
        </is>
      </c>
      <c r="C459" t="inlineStr">
        <is>
          <t>Yes</t>
        </is>
      </c>
      <c r="D459" t="n">
        <v>0</v>
      </c>
      <c r="E459" t="inlineStr">
        <is>
          <t>Graduate</t>
        </is>
      </c>
      <c r="F459" t="inlineStr">
        <is>
          <t>No</t>
        </is>
      </c>
      <c r="G459" t="n">
        <v>3708</v>
      </c>
      <c r="H459" t="n">
        <v>2569</v>
      </c>
      <c r="I459" t="n">
        <v>173</v>
      </c>
      <c r="J459" t="n">
        <v>360</v>
      </c>
      <c r="K459" t="n">
        <v>1</v>
      </c>
      <c r="L459" t="inlineStr">
        <is>
          <t>Urban</t>
        </is>
      </c>
      <c r="M459" t="inlineStr">
        <is>
          <t>N</t>
        </is>
      </c>
      <c r="N459" t="inlineStr">
        <is>
          <t>Medium Risk</t>
        </is>
      </c>
    </row>
    <row r="460">
      <c r="A460" t="inlineStr">
        <is>
          <t>LP002472</t>
        </is>
      </c>
      <c r="B460" t="inlineStr">
        <is>
          <t>Male</t>
        </is>
      </c>
      <c r="C460" t="inlineStr">
        <is>
          <t>No</t>
        </is>
      </c>
      <c r="D460" t="n">
        <v>2</v>
      </c>
      <c r="E460" t="inlineStr">
        <is>
          <t>Graduate</t>
        </is>
      </c>
      <c r="F460" t="inlineStr">
        <is>
          <t>No</t>
        </is>
      </c>
      <c r="G460" t="n">
        <v>4354</v>
      </c>
      <c r="H460" t="n">
        <v>0</v>
      </c>
      <c r="I460" t="n">
        <v>136</v>
      </c>
      <c r="J460" t="n">
        <v>360</v>
      </c>
      <c r="K460" t="n">
        <v>1</v>
      </c>
      <c r="L460" t="inlineStr">
        <is>
          <t>Rural</t>
        </is>
      </c>
      <c r="M460" t="inlineStr">
        <is>
          <t>Y</t>
        </is>
      </c>
      <c r="N460" t="inlineStr">
        <is>
          <t>Lower Risk</t>
        </is>
      </c>
    </row>
    <row r="461">
      <c r="A461" t="inlineStr">
        <is>
          <t>LP002473</t>
        </is>
      </c>
      <c r="B461" t="inlineStr">
        <is>
          <t>Male</t>
        </is>
      </c>
      <c r="C461" t="inlineStr">
        <is>
          <t>Yes</t>
        </is>
      </c>
      <c r="D461" t="n">
        <v>0</v>
      </c>
      <c r="E461" t="inlineStr">
        <is>
          <t>Graduate</t>
        </is>
      </c>
      <c r="F461" t="inlineStr">
        <is>
          <t>No</t>
        </is>
      </c>
      <c r="G461" t="n">
        <v>8334</v>
      </c>
      <c r="H461" t="n">
        <v>0</v>
      </c>
      <c r="I461" t="n">
        <v>160</v>
      </c>
      <c r="J461" t="n">
        <v>360</v>
      </c>
      <c r="K461" t="n">
        <v>1</v>
      </c>
      <c r="L461" t="inlineStr">
        <is>
          <t>Semiurban</t>
        </is>
      </c>
      <c r="M461" t="inlineStr">
        <is>
          <t>N</t>
        </is>
      </c>
      <c r="N461" t="inlineStr">
        <is>
          <t>Medium Risk</t>
        </is>
      </c>
    </row>
    <row r="462">
      <c r="A462" t="inlineStr">
        <is>
          <t>LP002478</t>
        </is>
      </c>
      <c r="B462" t="n">
        <v/>
      </c>
      <c r="C462" t="inlineStr">
        <is>
          <t>Yes</t>
        </is>
      </c>
      <c r="D462" t="n">
        <v>0</v>
      </c>
      <c r="E462" t="inlineStr">
        <is>
          <t>Graduate</t>
        </is>
      </c>
      <c r="F462" t="inlineStr">
        <is>
          <t>Yes</t>
        </is>
      </c>
      <c r="G462" t="n">
        <v>2083</v>
      </c>
      <c r="H462" t="n">
        <v>4083</v>
      </c>
      <c r="I462" t="n">
        <v>160</v>
      </c>
      <c r="J462" t="n">
        <v>360</v>
      </c>
      <c r="K462" t="n">
        <v/>
      </c>
      <c r="L462" t="inlineStr">
        <is>
          <t>Semiurban</t>
        </is>
      </c>
      <c r="M462" t="inlineStr">
        <is>
          <t>Y</t>
        </is>
      </c>
      <c r="N462" t="inlineStr">
        <is>
          <t>Medium Risk</t>
        </is>
      </c>
    </row>
    <row r="463">
      <c r="A463" t="inlineStr">
        <is>
          <t>LP002484</t>
        </is>
      </c>
      <c r="B463" t="inlineStr">
        <is>
          <t>Male</t>
        </is>
      </c>
      <c r="C463" t="inlineStr">
        <is>
          <t>Yes</t>
        </is>
      </c>
      <c r="D463" t="inlineStr">
        <is>
          <t>3+</t>
        </is>
      </c>
      <c r="E463" t="inlineStr">
        <is>
          <t>Graduate</t>
        </is>
      </c>
      <c r="F463" t="inlineStr">
        <is>
          <t>No</t>
        </is>
      </c>
      <c r="G463" t="n">
        <v>7740</v>
      </c>
      <c r="H463" t="n">
        <v>0</v>
      </c>
      <c r="I463" t="n">
        <v>128</v>
      </c>
      <c r="J463" t="n">
        <v>180</v>
      </c>
      <c r="K463" t="n">
        <v>1</v>
      </c>
      <c r="L463" t="inlineStr">
        <is>
          <t>Urban</t>
        </is>
      </c>
      <c r="M463" t="inlineStr">
        <is>
          <t>Y</t>
        </is>
      </c>
      <c r="N463" t="inlineStr">
        <is>
          <t>Lower Risk</t>
        </is>
      </c>
    </row>
    <row r="464">
      <c r="A464" t="inlineStr">
        <is>
          <t>LP002487</t>
        </is>
      </c>
      <c r="B464" t="inlineStr">
        <is>
          <t>Male</t>
        </is>
      </c>
      <c r="C464" t="inlineStr">
        <is>
          <t>Yes</t>
        </is>
      </c>
      <c r="D464" t="n">
        <v>0</v>
      </c>
      <c r="E464" t="inlineStr">
        <is>
          <t>Graduate</t>
        </is>
      </c>
      <c r="F464" t="inlineStr">
        <is>
          <t>No</t>
        </is>
      </c>
      <c r="G464" t="n">
        <v>3015</v>
      </c>
      <c r="H464" t="n">
        <v>2188</v>
      </c>
      <c r="I464" t="n">
        <v>153</v>
      </c>
      <c r="J464" t="n">
        <v>360</v>
      </c>
      <c r="K464" t="n">
        <v>1</v>
      </c>
      <c r="L464" t="inlineStr">
        <is>
          <t>Rural</t>
        </is>
      </c>
      <c r="M464" t="inlineStr">
        <is>
          <t>Y</t>
        </is>
      </c>
      <c r="N464" t="inlineStr">
        <is>
          <t>Lower Risk</t>
        </is>
      </c>
    </row>
    <row r="465">
      <c r="A465" t="inlineStr">
        <is>
          <t>LP002489</t>
        </is>
      </c>
      <c r="B465" t="inlineStr">
        <is>
          <t>Female</t>
        </is>
      </c>
      <c r="C465" t="inlineStr">
        <is>
          <t>No</t>
        </is>
      </c>
      <c r="D465" t="n">
        <v>1</v>
      </c>
      <c r="E465" t="inlineStr">
        <is>
          <t>Not Graduate</t>
        </is>
      </c>
      <c r="F465" t="n">
        <v/>
      </c>
      <c r="G465" t="n">
        <v>5191</v>
      </c>
      <c r="H465" t="n">
        <v>0</v>
      </c>
      <c r="I465" t="n">
        <v>132</v>
      </c>
      <c r="J465" t="n">
        <v>360</v>
      </c>
      <c r="K465" t="n">
        <v>1</v>
      </c>
      <c r="L465" t="inlineStr">
        <is>
          <t>Semiurban</t>
        </is>
      </c>
      <c r="M465" t="inlineStr">
        <is>
          <t>Y</t>
        </is>
      </c>
      <c r="N465" t="inlineStr">
        <is>
          <t>Lower Risk</t>
        </is>
      </c>
    </row>
    <row r="466">
      <c r="A466" t="inlineStr">
        <is>
          <t>LP002493</t>
        </is>
      </c>
      <c r="B466" t="inlineStr">
        <is>
          <t>Male</t>
        </is>
      </c>
      <c r="C466" t="inlineStr">
        <is>
          <t>No</t>
        </is>
      </c>
      <c r="D466" t="n">
        <v>0</v>
      </c>
      <c r="E466" t="inlineStr">
        <is>
          <t>Graduate</t>
        </is>
      </c>
      <c r="F466" t="inlineStr">
        <is>
          <t>No</t>
        </is>
      </c>
      <c r="G466" t="n">
        <v>4166</v>
      </c>
      <c r="H466" t="n">
        <v>0</v>
      </c>
      <c r="I466" t="n">
        <v>98</v>
      </c>
      <c r="J466" t="n">
        <v>360</v>
      </c>
      <c r="K466" t="n">
        <v>0</v>
      </c>
      <c r="L466" t="inlineStr">
        <is>
          <t>Semiurban</t>
        </is>
      </c>
      <c r="M466" t="inlineStr">
        <is>
          <t>N</t>
        </is>
      </c>
      <c r="N466" t="inlineStr">
        <is>
          <t>High Risk</t>
        </is>
      </c>
    </row>
    <row r="467">
      <c r="A467" t="inlineStr">
        <is>
          <t>LP002494</t>
        </is>
      </c>
      <c r="B467" t="inlineStr">
        <is>
          <t>Male</t>
        </is>
      </c>
      <c r="C467" t="inlineStr">
        <is>
          <t>No</t>
        </is>
      </c>
      <c r="D467" t="n">
        <v>0</v>
      </c>
      <c r="E467" t="inlineStr">
        <is>
          <t>Graduate</t>
        </is>
      </c>
      <c r="F467" t="inlineStr">
        <is>
          <t>No</t>
        </is>
      </c>
      <c r="G467" t="n">
        <v>6000</v>
      </c>
      <c r="H467" t="n">
        <v>0</v>
      </c>
      <c r="I467" t="n">
        <v>140</v>
      </c>
      <c r="J467" t="n">
        <v>360</v>
      </c>
      <c r="K467" t="n">
        <v>1</v>
      </c>
      <c r="L467" t="inlineStr">
        <is>
          <t>Rural</t>
        </is>
      </c>
      <c r="M467" t="inlineStr">
        <is>
          <t>Y</t>
        </is>
      </c>
      <c r="N467" t="inlineStr">
        <is>
          <t>Lower Risk</t>
        </is>
      </c>
    </row>
    <row r="468">
      <c r="A468" t="inlineStr">
        <is>
          <t>LP002500</t>
        </is>
      </c>
      <c r="B468" t="inlineStr">
        <is>
          <t>Male</t>
        </is>
      </c>
      <c r="C468" t="inlineStr">
        <is>
          <t>Yes</t>
        </is>
      </c>
      <c r="D468" t="inlineStr">
        <is>
          <t>3+</t>
        </is>
      </c>
      <c r="E468" t="inlineStr">
        <is>
          <t>Not Graduate</t>
        </is>
      </c>
      <c r="F468" t="inlineStr">
        <is>
          <t>No</t>
        </is>
      </c>
      <c r="G468" t="n">
        <v>2947</v>
      </c>
      <c r="H468" t="n">
        <v>1664</v>
      </c>
      <c r="I468" t="n">
        <v>70</v>
      </c>
      <c r="J468" t="n">
        <v>180</v>
      </c>
      <c r="K468" t="n">
        <v>0</v>
      </c>
      <c r="L468" t="inlineStr">
        <is>
          <t>Urban</t>
        </is>
      </c>
      <c r="M468" t="inlineStr">
        <is>
          <t>N</t>
        </is>
      </c>
      <c r="N468" t="inlineStr">
        <is>
          <t>High Risk</t>
        </is>
      </c>
    </row>
    <row r="469">
      <c r="A469" t="inlineStr">
        <is>
          <t>LP002501</t>
        </is>
      </c>
      <c r="B469" t="n">
        <v/>
      </c>
      <c r="C469" t="inlineStr">
        <is>
          <t>Yes</t>
        </is>
      </c>
      <c r="D469" t="n">
        <v>0</v>
      </c>
      <c r="E469" t="inlineStr">
        <is>
          <t>Graduate</t>
        </is>
      </c>
      <c r="F469" t="inlineStr">
        <is>
          <t>No</t>
        </is>
      </c>
      <c r="G469" t="n">
        <v>16692</v>
      </c>
      <c r="H469" t="n">
        <v>0</v>
      </c>
      <c r="I469" t="n">
        <v>110</v>
      </c>
      <c r="J469" t="n">
        <v>360</v>
      </c>
      <c r="K469" t="n">
        <v>1</v>
      </c>
      <c r="L469" t="inlineStr">
        <is>
          <t>Semiurban</t>
        </is>
      </c>
      <c r="M469" t="inlineStr">
        <is>
          <t>Y</t>
        </is>
      </c>
      <c r="N469" t="inlineStr">
        <is>
          <t>Lower Risk</t>
        </is>
      </c>
    </row>
    <row r="470">
      <c r="A470" t="inlineStr">
        <is>
          <t>LP002502</t>
        </is>
      </c>
      <c r="B470" t="inlineStr">
        <is>
          <t>Female</t>
        </is>
      </c>
      <c r="C470" t="inlineStr">
        <is>
          <t>Yes</t>
        </is>
      </c>
      <c r="D470" t="n">
        <v>2</v>
      </c>
      <c r="E470" t="inlineStr">
        <is>
          <t>Not Graduate</t>
        </is>
      </c>
      <c r="F470" t="n">
        <v/>
      </c>
      <c r="G470" t="n">
        <v>210</v>
      </c>
      <c r="H470" t="n">
        <v>2917</v>
      </c>
      <c r="I470" t="n">
        <v>98</v>
      </c>
      <c r="J470" t="n">
        <v>360</v>
      </c>
      <c r="K470" t="n">
        <v>1</v>
      </c>
      <c r="L470" t="inlineStr">
        <is>
          <t>Semiurban</t>
        </is>
      </c>
      <c r="M470" t="inlineStr">
        <is>
          <t>Y</t>
        </is>
      </c>
      <c r="N470" t="inlineStr">
        <is>
          <t>Lower Risk</t>
        </is>
      </c>
    </row>
    <row r="471">
      <c r="A471" t="inlineStr">
        <is>
          <t>LP002505</t>
        </is>
      </c>
      <c r="B471" t="inlineStr">
        <is>
          <t>Male</t>
        </is>
      </c>
      <c r="C471" t="inlineStr">
        <is>
          <t>Yes</t>
        </is>
      </c>
      <c r="D471" t="n">
        <v>0</v>
      </c>
      <c r="E471" t="inlineStr">
        <is>
          <t>Graduate</t>
        </is>
      </c>
      <c r="F471" t="inlineStr">
        <is>
          <t>No</t>
        </is>
      </c>
      <c r="G471" t="n">
        <v>4333</v>
      </c>
      <c r="H471" t="n">
        <v>2451</v>
      </c>
      <c r="I471" t="n">
        <v>110</v>
      </c>
      <c r="J471" t="n">
        <v>360</v>
      </c>
      <c r="K471" t="n">
        <v>1</v>
      </c>
      <c r="L471" t="inlineStr">
        <is>
          <t>Urban</t>
        </is>
      </c>
      <c r="M471" t="inlineStr">
        <is>
          <t>N</t>
        </is>
      </c>
      <c r="N471" t="inlineStr">
        <is>
          <t>Medium Risk</t>
        </is>
      </c>
    </row>
    <row r="472">
      <c r="A472" t="inlineStr">
        <is>
          <t>LP002515</t>
        </is>
      </c>
      <c r="B472" t="inlineStr">
        <is>
          <t>Male</t>
        </is>
      </c>
      <c r="C472" t="inlineStr">
        <is>
          <t>Yes</t>
        </is>
      </c>
      <c r="D472" t="n">
        <v>1</v>
      </c>
      <c r="E472" t="inlineStr">
        <is>
          <t>Graduate</t>
        </is>
      </c>
      <c r="F472" t="inlineStr">
        <is>
          <t>Yes</t>
        </is>
      </c>
      <c r="G472" t="n">
        <v>3450</v>
      </c>
      <c r="H472" t="n">
        <v>2079</v>
      </c>
      <c r="I472" t="n">
        <v>162</v>
      </c>
      <c r="J472" t="n">
        <v>360</v>
      </c>
      <c r="K472" t="n">
        <v>1</v>
      </c>
      <c r="L472" t="inlineStr">
        <is>
          <t>Semiurban</t>
        </is>
      </c>
      <c r="M472" t="inlineStr">
        <is>
          <t>Y</t>
        </is>
      </c>
      <c r="N472" t="inlineStr">
        <is>
          <t>Lower Risk</t>
        </is>
      </c>
    </row>
    <row r="473">
      <c r="A473" t="inlineStr">
        <is>
          <t>LP002517</t>
        </is>
      </c>
      <c r="B473" t="inlineStr">
        <is>
          <t>Male</t>
        </is>
      </c>
      <c r="C473" t="inlineStr">
        <is>
          <t>Yes</t>
        </is>
      </c>
      <c r="D473" t="n">
        <v>1</v>
      </c>
      <c r="E473" t="inlineStr">
        <is>
          <t>Not Graduate</t>
        </is>
      </c>
      <c r="F473" t="inlineStr">
        <is>
          <t>No</t>
        </is>
      </c>
      <c r="G473" t="n">
        <v>2653</v>
      </c>
      <c r="H473" t="n">
        <v>1500</v>
      </c>
      <c r="I473" t="n">
        <v>113</v>
      </c>
      <c r="J473" t="n">
        <v>180</v>
      </c>
      <c r="K473" t="n">
        <v>0</v>
      </c>
      <c r="L473" t="inlineStr">
        <is>
          <t>Rural</t>
        </is>
      </c>
      <c r="M473" t="inlineStr">
        <is>
          <t>N</t>
        </is>
      </c>
      <c r="N473" t="inlineStr">
        <is>
          <t>High Risk</t>
        </is>
      </c>
    </row>
    <row r="474">
      <c r="A474" t="inlineStr">
        <is>
          <t>LP002519</t>
        </is>
      </c>
      <c r="B474" t="inlineStr">
        <is>
          <t>Male</t>
        </is>
      </c>
      <c r="C474" t="inlineStr">
        <is>
          <t>Yes</t>
        </is>
      </c>
      <c r="D474" t="inlineStr">
        <is>
          <t>3+</t>
        </is>
      </c>
      <c r="E474" t="inlineStr">
        <is>
          <t>Graduate</t>
        </is>
      </c>
      <c r="F474" t="inlineStr">
        <is>
          <t>No</t>
        </is>
      </c>
      <c r="G474" t="n">
        <v>4691</v>
      </c>
      <c r="H474" t="n">
        <v>0</v>
      </c>
      <c r="I474" t="n">
        <v>100</v>
      </c>
      <c r="J474" t="n">
        <v>360</v>
      </c>
      <c r="K474" t="n">
        <v>1</v>
      </c>
      <c r="L474" t="inlineStr">
        <is>
          <t>Semiurban</t>
        </is>
      </c>
      <c r="M474" t="inlineStr">
        <is>
          <t>Y</t>
        </is>
      </c>
      <c r="N474" t="inlineStr">
        <is>
          <t>Lower Risk</t>
        </is>
      </c>
    </row>
    <row r="475">
      <c r="A475" t="inlineStr">
        <is>
          <t>LP002522</t>
        </is>
      </c>
      <c r="B475" t="inlineStr">
        <is>
          <t>Female</t>
        </is>
      </c>
      <c r="C475" t="inlineStr">
        <is>
          <t>No</t>
        </is>
      </c>
      <c r="D475" t="n">
        <v>0</v>
      </c>
      <c r="E475" t="inlineStr">
        <is>
          <t>Graduate</t>
        </is>
      </c>
      <c r="F475" t="inlineStr">
        <is>
          <t>Yes</t>
        </is>
      </c>
      <c r="G475" t="n">
        <v>2500</v>
      </c>
      <c r="H475" t="n">
        <v>0</v>
      </c>
      <c r="I475" t="n">
        <v>93</v>
      </c>
      <c r="J475" t="n">
        <v>360</v>
      </c>
      <c r="K475" t="n">
        <v/>
      </c>
      <c r="L475" t="inlineStr">
        <is>
          <t>Urban</t>
        </is>
      </c>
      <c r="M475" t="inlineStr">
        <is>
          <t>Y</t>
        </is>
      </c>
      <c r="N475" t="inlineStr">
        <is>
          <t>Medium Risk</t>
        </is>
      </c>
    </row>
    <row r="476">
      <c r="A476" t="inlineStr">
        <is>
          <t>LP002524</t>
        </is>
      </c>
      <c r="B476" t="inlineStr">
        <is>
          <t>Male</t>
        </is>
      </c>
      <c r="C476" t="inlineStr">
        <is>
          <t>No</t>
        </is>
      </c>
      <c r="D476" t="n">
        <v>2</v>
      </c>
      <c r="E476" t="inlineStr">
        <is>
          <t>Graduate</t>
        </is>
      </c>
      <c r="F476" t="inlineStr">
        <is>
          <t>No</t>
        </is>
      </c>
      <c r="G476" t="n">
        <v>5532</v>
      </c>
      <c r="H476" t="n">
        <v>4648</v>
      </c>
      <c r="I476" t="n">
        <v>162</v>
      </c>
      <c r="J476" t="n">
        <v>360</v>
      </c>
      <c r="K476" t="n">
        <v>1</v>
      </c>
      <c r="L476" t="inlineStr">
        <is>
          <t>Rural</t>
        </is>
      </c>
      <c r="M476" t="inlineStr">
        <is>
          <t>Y</t>
        </is>
      </c>
      <c r="N476" t="inlineStr">
        <is>
          <t>Lower Risk</t>
        </is>
      </c>
    </row>
    <row r="477">
      <c r="A477" t="inlineStr">
        <is>
          <t>LP002527</t>
        </is>
      </c>
      <c r="B477" t="inlineStr">
        <is>
          <t>Male</t>
        </is>
      </c>
      <c r="C477" t="inlineStr">
        <is>
          <t>Yes</t>
        </is>
      </c>
      <c r="D477" t="n">
        <v>2</v>
      </c>
      <c r="E477" t="inlineStr">
        <is>
          <t>Graduate</t>
        </is>
      </c>
      <c r="F477" t="inlineStr">
        <is>
          <t>Yes</t>
        </is>
      </c>
      <c r="G477" t="n">
        <v>16525</v>
      </c>
      <c r="H477" t="n">
        <v>1014</v>
      </c>
      <c r="I477" t="n">
        <v>150</v>
      </c>
      <c r="J477" t="n">
        <v>360</v>
      </c>
      <c r="K477" t="n">
        <v>1</v>
      </c>
      <c r="L477" t="inlineStr">
        <is>
          <t>Rural</t>
        </is>
      </c>
      <c r="M477" t="inlineStr">
        <is>
          <t>Y</t>
        </is>
      </c>
      <c r="N477" t="inlineStr">
        <is>
          <t>Lower Risk</t>
        </is>
      </c>
    </row>
    <row r="478">
      <c r="A478" t="inlineStr">
        <is>
          <t>LP002529</t>
        </is>
      </c>
      <c r="B478" t="inlineStr">
        <is>
          <t>Male</t>
        </is>
      </c>
      <c r="C478" t="inlineStr">
        <is>
          <t>Yes</t>
        </is>
      </c>
      <c r="D478" t="n">
        <v>2</v>
      </c>
      <c r="E478" t="inlineStr">
        <is>
          <t>Graduate</t>
        </is>
      </c>
      <c r="F478" t="inlineStr">
        <is>
          <t>No</t>
        </is>
      </c>
      <c r="G478" t="n">
        <v>6700</v>
      </c>
      <c r="H478" t="n">
        <v>1750</v>
      </c>
      <c r="I478" t="n">
        <v>230</v>
      </c>
      <c r="J478" t="n">
        <v>300</v>
      </c>
      <c r="K478" t="n">
        <v>1</v>
      </c>
      <c r="L478" t="inlineStr">
        <is>
          <t>Semiurban</t>
        </is>
      </c>
      <c r="M478" t="inlineStr">
        <is>
          <t>Y</t>
        </is>
      </c>
      <c r="N478" t="inlineStr">
        <is>
          <t>Lower Risk</t>
        </is>
      </c>
    </row>
    <row r="479">
      <c r="A479" t="inlineStr">
        <is>
          <t>LP002530</t>
        </is>
      </c>
      <c r="B479" t="n">
        <v/>
      </c>
      <c r="C479" t="inlineStr">
        <is>
          <t>Yes</t>
        </is>
      </c>
      <c r="D479" t="n">
        <v>2</v>
      </c>
      <c r="E479" t="inlineStr">
        <is>
          <t>Graduate</t>
        </is>
      </c>
      <c r="F479" t="inlineStr">
        <is>
          <t>No</t>
        </is>
      </c>
      <c r="G479" t="n">
        <v>2873</v>
      </c>
      <c r="H479" t="n">
        <v>1872</v>
      </c>
      <c r="I479" t="n">
        <v>132</v>
      </c>
      <c r="J479" t="n">
        <v>360</v>
      </c>
      <c r="K479" t="n">
        <v>0</v>
      </c>
      <c r="L479" t="inlineStr">
        <is>
          <t>Semiurban</t>
        </is>
      </c>
      <c r="M479" t="inlineStr">
        <is>
          <t>N</t>
        </is>
      </c>
      <c r="N479" t="inlineStr">
        <is>
          <t>High Risk</t>
        </is>
      </c>
    </row>
    <row r="480">
      <c r="A480" t="inlineStr">
        <is>
          <t>LP002531</t>
        </is>
      </c>
      <c r="B480" t="inlineStr">
        <is>
          <t>Male</t>
        </is>
      </c>
      <c r="C480" t="inlineStr">
        <is>
          <t>Yes</t>
        </is>
      </c>
      <c r="D480" t="n">
        <v>1</v>
      </c>
      <c r="E480" t="inlineStr">
        <is>
          <t>Graduate</t>
        </is>
      </c>
      <c r="F480" t="inlineStr">
        <is>
          <t>Yes</t>
        </is>
      </c>
      <c r="G480" t="n">
        <v>16667</v>
      </c>
      <c r="H480" t="n">
        <v>2250</v>
      </c>
      <c r="I480" t="n">
        <v>86</v>
      </c>
      <c r="J480" t="n">
        <v>360</v>
      </c>
      <c r="K480" t="n">
        <v>1</v>
      </c>
      <c r="L480" t="inlineStr">
        <is>
          <t>Semiurban</t>
        </is>
      </c>
      <c r="M480" t="inlineStr">
        <is>
          <t>Y</t>
        </is>
      </c>
      <c r="N480" t="inlineStr">
        <is>
          <t>Lower Risk</t>
        </is>
      </c>
    </row>
    <row r="481">
      <c r="A481" t="inlineStr">
        <is>
          <t>LP002533</t>
        </is>
      </c>
      <c r="B481" t="inlineStr">
        <is>
          <t>Male</t>
        </is>
      </c>
      <c r="C481" t="inlineStr">
        <is>
          <t>Yes</t>
        </is>
      </c>
      <c r="D481" t="n">
        <v>2</v>
      </c>
      <c r="E481" t="inlineStr">
        <is>
          <t>Graduate</t>
        </is>
      </c>
      <c r="F481" t="inlineStr">
        <is>
          <t>No</t>
        </is>
      </c>
      <c r="G481" t="n">
        <v>2947</v>
      </c>
      <c r="H481" t="n">
        <v>1603</v>
      </c>
      <c r="I481" t="n">
        <v/>
      </c>
      <c r="J481" t="n">
        <v>360</v>
      </c>
      <c r="K481" t="n">
        <v>1</v>
      </c>
      <c r="L481" t="inlineStr">
        <is>
          <t>Urban</t>
        </is>
      </c>
      <c r="M481" t="inlineStr">
        <is>
          <t>N</t>
        </is>
      </c>
      <c r="N481" t="inlineStr">
        <is>
          <t>Medium Risk</t>
        </is>
      </c>
    </row>
    <row r="482">
      <c r="A482" t="inlineStr">
        <is>
          <t>LP002534</t>
        </is>
      </c>
      <c r="B482" t="inlineStr">
        <is>
          <t>Female</t>
        </is>
      </c>
      <c r="C482" t="inlineStr">
        <is>
          <t>No</t>
        </is>
      </c>
      <c r="D482" t="n">
        <v>0</v>
      </c>
      <c r="E482" t="inlineStr">
        <is>
          <t>Not Graduate</t>
        </is>
      </c>
      <c r="F482" t="inlineStr">
        <is>
          <t>No</t>
        </is>
      </c>
      <c r="G482" t="n">
        <v>4350</v>
      </c>
      <c r="H482" t="n">
        <v>0</v>
      </c>
      <c r="I482" t="n">
        <v>154</v>
      </c>
      <c r="J482" t="n">
        <v>360</v>
      </c>
      <c r="K482" t="n">
        <v>1</v>
      </c>
      <c r="L482" t="inlineStr">
        <is>
          <t>Rural</t>
        </is>
      </c>
      <c r="M482" t="inlineStr">
        <is>
          <t>Y</t>
        </is>
      </c>
      <c r="N482" t="inlineStr">
        <is>
          <t>Lower Risk</t>
        </is>
      </c>
    </row>
    <row r="483">
      <c r="A483" t="inlineStr">
        <is>
          <t>LP002536</t>
        </is>
      </c>
      <c r="B483" t="inlineStr">
        <is>
          <t>Male</t>
        </is>
      </c>
      <c r="C483" t="inlineStr">
        <is>
          <t>Yes</t>
        </is>
      </c>
      <c r="D483" t="inlineStr">
        <is>
          <t>3+</t>
        </is>
      </c>
      <c r="E483" t="inlineStr">
        <is>
          <t>Not Graduate</t>
        </is>
      </c>
      <c r="F483" t="inlineStr">
        <is>
          <t>No</t>
        </is>
      </c>
      <c r="G483" t="n">
        <v>3095</v>
      </c>
      <c r="H483" t="n">
        <v>0</v>
      </c>
      <c r="I483" t="n">
        <v>113</v>
      </c>
      <c r="J483" t="n">
        <v>360</v>
      </c>
      <c r="K483" t="n">
        <v>1</v>
      </c>
      <c r="L483" t="inlineStr">
        <is>
          <t>Rural</t>
        </is>
      </c>
      <c r="M483" t="inlineStr">
        <is>
          <t>Y</t>
        </is>
      </c>
      <c r="N483" t="inlineStr">
        <is>
          <t>Lower Risk</t>
        </is>
      </c>
    </row>
    <row r="484">
      <c r="A484" t="inlineStr">
        <is>
          <t>LP002537</t>
        </is>
      </c>
      <c r="B484" t="inlineStr">
        <is>
          <t>Male</t>
        </is>
      </c>
      <c r="C484" t="inlineStr">
        <is>
          <t>Yes</t>
        </is>
      </c>
      <c r="D484" t="n">
        <v>0</v>
      </c>
      <c r="E484" t="inlineStr">
        <is>
          <t>Graduate</t>
        </is>
      </c>
      <c r="F484" t="inlineStr">
        <is>
          <t>No</t>
        </is>
      </c>
      <c r="G484" t="n">
        <v>2083</v>
      </c>
      <c r="H484" t="n">
        <v>3150</v>
      </c>
      <c r="I484" t="n">
        <v>128</v>
      </c>
      <c r="J484" t="n">
        <v>360</v>
      </c>
      <c r="K484" t="n">
        <v>1</v>
      </c>
      <c r="L484" t="inlineStr">
        <is>
          <t>Semiurban</t>
        </is>
      </c>
      <c r="M484" t="inlineStr">
        <is>
          <t>Y</t>
        </is>
      </c>
      <c r="N484" t="inlineStr">
        <is>
          <t>Lower Risk</t>
        </is>
      </c>
    </row>
    <row r="485">
      <c r="A485" t="inlineStr">
        <is>
          <t>LP002541</t>
        </is>
      </c>
      <c r="B485" t="inlineStr">
        <is>
          <t>Male</t>
        </is>
      </c>
      <c r="C485" t="inlineStr">
        <is>
          <t>Yes</t>
        </is>
      </c>
      <c r="D485" t="n">
        <v>0</v>
      </c>
      <c r="E485" t="inlineStr">
        <is>
          <t>Graduate</t>
        </is>
      </c>
      <c r="F485" t="inlineStr">
        <is>
          <t>No</t>
        </is>
      </c>
      <c r="G485" t="n">
        <v>10833</v>
      </c>
      <c r="H485" t="n">
        <v>0</v>
      </c>
      <c r="I485" t="n">
        <v>234</v>
      </c>
      <c r="J485" t="n">
        <v>360</v>
      </c>
      <c r="K485" t="n">
        <v>1</v>
      </c>
      <c r="L485" t="inlineStr">
        <is>
          <t>Semiurban</t>
        </is>
      </c>
      <c r="M485" t="inlineStr">
        <is>
          <t>Y</t>
        </is>
      </c>
      <c r="N485" t="inlineStr">
        <is>
          <t>Lower Risk</t>
        </is>
      </c>
    </row>
    <row r="486">
      <c r="A486" t="inlineStr">
        <is>
          <t>LP002543</t>
        </is>
      </c>
      <c r="B486" t="inlineStr">
        <is>
          <t>Male</t>
        </is>
      </c>
      <c r="C486" t="inlineStr">
        <is>
          <t>Yes</t>
        </is>
      </c>
      <c r="D486" t="n">
        <v>2</v>
      </c>
      <c r="E486" t="inlineStr">
        <is>
          <t>Graduate</t>
        </is>
      </c>
      <c r="F486" t="inlineStr">
        <is>
          <t>No</t>
        </is>
      </c>
      <c r="G486" t="n">
        <v>8333</v>
      </c>
      <c r="H486" t="n">
        <v>0</v>
      </c>
      <c r="I486" t="n">
        <v>246</v>
      </c>
      <c r="J486" t="n">
        <v>360</v>
      </c>
      <c r="K486" t="n">
        <v>1</v>
      </c>
      <c r="L486" t="inlineStr">
        <is>
          <t>Semiurban</t>
        </is>
      </c>
      <c r="M486" t="inlineStr">
        <is>
          <t>Y</t>
        </is>
      </c>
      <c r="N486" t="inlineStr">
        <is>
          <t>Lower Risk</t>
        </is>
      </c>
    </row>
    <row r="487">
      <c r="A487" t="inlineStr">
        <is>
          <t>LP002544</t>
        </is>
      </c>
      <c r="B487" t="inlineStr">
        <is>
          <t>Male</t>
        </is>
      </c>
      <c r="C487" t="inlineStr">
        <is>
          <t>Yes</t>
        </is>
      </c>
      <c r="D487" t="n">
        <v>1</v>
      </c>
      <c r="E487" t="inlineStr">
        <is>
          <t>Not Graduate</t>
        </is>
      </c>
      <c r="F487" t="inlineStr">
        <is>
          <t>No</t>
        </is>
      </c>
      <c r="G487" t="n">
        <v>1958</v>
      </c>
      <c r="H487" t="n">
        <v>2436</v>
      </c>
      <c r="I487" t="n">
        <v>131</v>
      </c>
      <c r="J487" t="n">
        <v>360</v>
      </c>
      <c r="K487" t="n">
        <v>1</v>
      </c>
      <c r="L487" t="inlineStr">
        <is>
          <t>Rural</t>
        </is>
      </c>
      <c r="M487" t="inlineStr">
        <is>
          <t>Y</t>
        </is>
      </c>
      <c r="N487" t="inlineStr">
        <is>
          <t>Lower Risk</t>
        </is>
      </c>
    </row>
    <row r="488">
      <c r="A488" t="inlineStr">
        <is>
          <t>LP002545</t>
        </is>
      </c>
      <c r="B488" t="inlineStr">
        <is>
          <t>Male</t>
        </is>
      </c>
      <c r="C488" t="inlineStr">
        <is>
          <t>No</t>
        </is>
      </c>
      <c r="D488" t="n">
        <v>2</v>
      </c>
      <c r="E488" t="inlineStr">
        <is>
          <t>Graduate</t>
        </is>
      </c>
      <c r="F488" t="inlineStr">
        <is>
          <t>No</t>
        </is>
      </c>
      <c r="G488" t="n">
        <v>3547</v>
      </c>
      <c r="H488" t="n">
        <v>0</v>
      </c>
      <c r="I488" t="n">
        <v>80</v>
      </c>
      <c r="J488" t="n">
        <v>360</v>
      </c>
      <c r="K488" t="n">
        <v>0</v>
      </c>
      <c r="L488" t="inlineStr">
        <is>
          <t>Rural</t>
        </is>
      </c>
      <c r="M488" t="inlineStr">
        <is>
          <t>N</t>
        </is>
      </c>
      <c r="N488" t="inlineStr">
        <is>
          <t>High Risk</t>
        </is>
      </c>
    </row>
    <row r="489">
      <c r="A489" t="inlineStr">
        <is>
          <t>LP002547</t>
        </is>
      </c>
      <c r="B489" t="inlineStr">
        <is>
          <t>Male</t>
        </is>
      </c>
      <c r="C489" t="inlineStr">
        <is>
          <t>Yes</t>
        </is>
      </c>
      <c r="D489" t="n">
        <v>1</v>
      </c>
      <c r="E489" t="inlineStr">
        <is>
          <t>Graduate</t>
        </is>
      </c>
      <c r="F489" t="inlineStr">
        <is>
          <t>No</t>
        </is>
      </c>
      <c r="G489" t="n">
        <v>18333</v>
      </c>
      <c r="H489" t="n">
        <v>0</v>
      </c>
      <c r="I489" t="n">
        <v>500</v>
      </c>
      <c r="J489" t="n">
        <v>360</v>
      </c>
      <c r="K489" t="n">
        <v>1</v>
      </c>
      <c r="L489" t="inlineStr">
        <is>
          <t>Urban</t>
        </is>
      </c>
      <c r="M489" t="inlineStr">
        <is>
          <t>N</t>
        </is>
      </c>
      <c r="N489" t="inlineStr">
        <is>
          <t>Medium Risk</t>
        </is>
      </c>
    </row>
    <row r="490">
      <c r="A490" t="inlineStr">
        <is>
          <t>LP002555</t>
        </is>
      </c>
      <c r="B490" t="inlineStr">
        <is>
          <t>Male</t>
        </is>
      </c>
      <c r="C490" t="inlineStr">
        <is>
          <t>Yes</t>
        </is>
      </c>
      <c r="D490" t="n">
        <v>2</v>
      </c>
      <c r="E490" t="inlineStr">
        <is>
          <t>Graduate</t>
        </is>
      </c>
      <c r="F490" t="inlineStr">
        <is>
          <t>Yes</t>
        </is>
      </c>
      <c r="G490" t="n">
        <v>4583</v>
      </c>
      <c r="H490" t="n">
        <v>2083</v>
      </c>
      <c r="I490" t="n">
        <v>160</v>
      </c>
      <c r="J490" t="n">
        <v>360</v>
      </c>
      <c r="K490" t="n">
        <v>1</v>
      </c>
      <c r="L490" t="inlineStr">
        <is>
          <t>Semiurban</t>
        </is>
      </c>
      <c r="M490" t="inlineStr">
        <is>
          <t>Y</t>
        </is>
      </c>
      <c r="N490" t="inlineStr">
        <is>
          <t>Lower Risk</t>
        </is>
      </c>
    </row>
    <row r="491">
      <c r="A491" t="inlineStr">
        <is>
          <t>LP002556</t>
        </is>
      </c>
      <c r="B491" t="inlineStr">
        <is>
          <t>Male</t>
        </is>
      </c>
      <c r="C491" t="inlineStr">
        <is>
          <t>No</t>
        </is>
      </c>
      <c r="D491" t="n">
        <v>0</v>
      </c>
      <c r="E491" t="inlineStr">
        <is>
          <t>Graduate</t>
        </is>
      </c>
      <c r="F491" t="inlineStr">
        <is>
          <t>No</t>
        </is>
      </c>
      <c r="G491" t="n">
        <v>2435</v>
      </c>
      <c r="H491" t="n">
        <v>0</v>
      </c>
      <c r="I491" t="n">
        <v>75</v>
      </c>
      <c r="J491" t="n">
        <v>360</v>
      </c>
      <c r="K491" t="n">
        <v>1</v>
      </c>
      <c r="L491" t="inlineStr">
        <is>
          <t>Urban</t>
        </is>
      </c>
      <c r="M491" t="inlineStr">
        <is>
          <t>N</t>
        </is>
      </c>
      <c r="N491" t="inlineStr">
        <is>
          <t>Medium Risk</t>
        </is>
      </c>
    </row>
    <row r="492">
      <c r="A492" t="inlineStr">
        <is>
          <t>LP002560</t>
        </is>
      </c>
      <c r="B492" t="inlineStr">
        <is>
          <t>Male</t>
        </is>
      </c>
      <c r="C492" t="inlineStr">
        <is>
          <t>No</t>
        </is>
      </c>
      <c r="D492" t="n">
        <v>0</v>
      </c>
      <c r="E492" t="inlineStr">
        <is>
          <t>Not Graduate</t>
        </is>
      </c>
      <c r="F492" t="inlineStr">
        <is>
          <t>No</t>
        </is>
      </c>
      <c r="G492" t="n">
        <v>2699</v>
      </c>
      <c r="H492" t="n">
        <v>2785</v>
      </c>
      <c r="I492" t="n">
        <v>96</v>
      </c>
      <c r="J492" t="n">
        <v>360</v>
      </c>
      <c r="K492" t="n">
        <v/>
      </c>
      <c r="L492" t="inlineStr">
        <is>
          <t>Semiurban</t>
        </is>
      </c>
      <c r="M492" t="inlineStr">
        <is>
          <t>Y</t>
        </is>
      </c>
      <c r="N492" t="inlineStr">
        <is>
          <t>Medium Risk</t>
        </is>
      </c>
    </row>
    <row r="493">
      <c r="A493" t="inlineStr">
        <is>
          <t>LP002562</t>
        </is>
      </c>
      <c r="B493" t="inlineStr">
        <is>
          <t>Male</t>
        </is>
      </c>
      <c r="C493" t="inlineStr">
        <is>
          <t>Yes</t>
        </is>
      </c>
      <c r="D493" t="n">
        <v>1</v>
      </c>
      <c r="E493" t="inlineStr">
        <is>
          <t>Not Graduate</t>
        </is>
      </c>
      <c r="F493" t="inlineStr">
        <is>
          <t>No</t>
        </is>
      </c>
      <c r="G493" t="n">
        <v>5333</v>
      </c>
      <c r="H493" t="n">
        <v>1131</v>
      </c>
      <c r="I493" t="n">
        <v>186</v>
      </c>
      <c r="J493" t="n">
        <v>360</v>
      </c>
      <c r="K493" t="n">
        <v/>
      </c>
      <c r="L493" t="inlineStr">
        <is>
          <t>Urban</t>
        </is>
      </c>
      <c r="M493" t="inlineStr">
        <is>
          <t>Y</t>
        </is>
      </c>
      <c r="N493" t="inlineStr">
        <is>
          <t>Medium Risk</t>
        </is>
      </c>
    </row>
    <row r="494">
      <c r="A494" t="inlineStr">
        <is>
          <t>LP002571</t>
        </is>
      </c>
      <c r="B494" t="inlineStr">
        <is>
          <t>Male</t>
        </is>
      </c>
      <c r="C494" t="inlineStr">
        <is>
          <t>No</t>
        </is>
      </c>
      <c r="D494" t="n">
        <v>0</v>
      </c>
      <c r="E494" t="inlineStr">
        <is>
          <t>Not Graduate</t>
        </is>
      </c>
      <c r="F494" t="inlineStr">
        <is>
          <t>No</t>
        </is>
      </c>
      <c r="G494" t="n">
        <v>3691</v>
      </c>
      <c r="H494" t="n">
        <v>0</v>
      </c>
      <c r="I494" t="n">
        <v>110</v>
      </c>
      <c r="J494" t="n">
        <v>360</v>
      </c>
      <c r="K494" t="n">
        <v>1</v>
      </c>
      <c r="L494" t="inlineStr">
        <is>
          <t>Rural</t>
        </is>
      </c>
      <c r="M494" t="inlineStr">
        <is>
          <t>Y</t>
        </is>
      </c>
      <c r="N494" t="inlineStr">
        <is>
          <t>Lower Risk</t>
        </is>
      </c>
    </row>
    <row r="495">
      <c r="A495" t="inlineStr">
        <is>
          <t>LP002582</t>
        </is>
      </c>
      <c r="B495" t="inlineStr">
        <is>
          <t>Female</t>
        </is>
      </c>
      <c r="C495" t="inlineStr">
        <is>
          <t>No</t>
        </is>
      </c>
      <c r="D495" t="n">
        <v>0</v>
      </c>
      <c r="E495" t="inlineStr">
        <is>
          <t>Not Graduate</t>
        </is>
      </c>
      <c r="F495" t="inlineStr">
        <is>
          <t>Yes</t>
        </is>
      </c>
      <c r="G495" t="n">
        <v>17263</v>
      </c>
      <c r="H495" t="n">
        <v>0</v>
      </c>
      <c r="I495" t="n">
        <v>225</v>
      </c>
      <c r="J495" t="n">
        <v>360</v>
      </c>
      <c r="K495" t="n">
        <v>1</v>
      </c>
      <c r="L495" t="inlineStr">
        <is>
          <t>Semiurban</t>
        </is>
      </c>
      <c r="M495" t="inlineStr">
        <is>
          <t>Y</t>
        </is>
      </c>
      <c r="N495" t="inlineStr">
        <is>
          <t>Lower Risk</t>
        </is>
      </c>
    </row>
    <row r="496">
      <c r="A496" t="inlineStr">
        <is>
          <t>LP002585</t>
        </is>
      </c>
      <c r="B496" t="inlineStr">
        <is>
          <t>Male</t>
        </is>
      </c>
      <c r="C496" t="inlineStr">
        <is>
          <t>Yes</t>
        </is>
      </c>
      <c r="D496" t="n">
        <v>0</v>
      </c>
      <c r="E496" t="inlineStr">
        <is>
          <t>Graduate</t>
        </is>
      </c>
      <c r="F496" t="inlineStr">
        <is>
          <t>No</t>
        </is>
      </c>
      <c r="G496" t="n">
        <v>3597</v>
      </c>
      <c r="H496" t="n">
        <v>2157</v>
      </c>
      <c r="I496" t="n">
        <v>119</v>
      </c>
      <c r="J496" t="n">
        <v>360</v>
      </c>
      <c r="K496" t="n">
        <v>0</v>
      </c>
      <c r="L496" t="inlineStr">
        <is>
          <t>Rural</t>
        </is>
      </c>
      <c r="M496" t="inlineStr">
        <is>
          <t>N</t>
        </is>
      </c>
      <c r="N496" t="inlineStr">
        <is>
          <t>High Risk</t>
        </is>
      </c>
    </row>
    <row r="497">
      <c r="A497" t="inlineStr">
        <is>
          <t>LP002586</t>
        </is>
      </c>
      <c r="B497" t="inlineStr">
        <is>
          <t>Female</t>
        </is>
      </c>
      <c r="C497" t="inlineStr">
        <is>
          <t>Yes</t>
        </is>
      </c>
      <c r="D497" t="n">
        <v>1</v>
      </c>
      <c r="E497" t="inlineStr">
        <is>
          <t>Graduate</t>
        </is>
      </c>
      <c r="F497" t="inlineStr">
        <is>
          <t>No</t>
        </is>
      </c>
      <c r="G497" t="n">
        <v>3326</v>
      </c>
      <c r="H497" t="n">
        <v>913</v>
      </c>
      <c r="I497" t="n">
        <v>105</v>
      </c>
      <c r="J497" t="n">
        <v>84</v>
      </c>
      <c r="K497" t="n">
        <v>1</v>
      </c>
      <c r="L497" t="inlineStr">
        <is>
          <t>Semiurban</t>
        </is>
      </c>
      <c r="M497" t="inlineStr">
        <is>
          <t>Y</t>
        </is>
      </c>
      <c r="N497" t="inlineStr">
        <is>
          <t>Lower Risk</t>
        </is>
      </c>
    </row>
    <row r="498">
      <c r="A498" t="inlineStr">
        <is>
          <t>LP002587</t>
        </is>
      </c>
      <c r="B498" t="inlineStr">
        <is>
          <t>Male</t>
        </is>
      </c>
      <c r="C498" t="inlineStr">
        <is>
          <t>Yes</t>
        </is>
      </c>
      <c r="D498" t="n">
        <v>0</v>
      </c>
      <c r="E498" t="inlineStr">
        <is>
          <t>Not Graduate</t>
        </is>
      </c>
      <c r="F498" t="inlineStr">
        <is>
          <t>No</t>
        </is>
      </c>
      <c r="G498" t="n">
        <v>2600</v>
      </c>
      <c r="H498" t="n">
        <v>1700</v>
      </c>
      <c r="I498" t="n">
        <v>107</v>
      </c>
      <c r="J498" t="n">
        <v>360</v>
      </c>
      <c r="K498" t="n">
        <v>1</v>
      </c>
      <c r="L498" t="inlineStr">
        <is>
          <t>Rural</t>
        </is>
      </c>
      <c r="M498" t="inlineStr">
        <is>
          <t>Y</t>
        </is>
      </c>
      <c r="N498" t="inlineStr">
        <is>
          <t>Lower Risk</t>
        </is>
      </c>
    </row>
    <row r="499">
      <c r="A499" t="inlineStr">
        <is>
          <t>LP002588</t>
        </is>
      </c>
      <c r="B499" t="inlineStr">
        <is>
          <t>Male</t>
        </is>
      </c>
      <c r="C499" t="inlineStr">
        <is>
          <t>Yes</t>
        </is>
      </c>
      <c r="D499" t="n">
        <v>0</v>
      </c>
      <c r="E499" t="inlineStr">
        <is>
          <t>Graduate</t>
        </is>
      </c>
      <c r="F499" t="inlineStr">
        <is>
          <t>No</t>
        </is>
      </c>
      <c r="G499" t="n">
        <v>4625</v>
      </c>
      <c r="H499" t="n">
        <v>2857</v>
      </c>
      <c r="I499" t="n">
        <v>111</v>
      </c>
      <c r="J499" t="n">
        <v>12</v>
      </c>
      <c r="K499" t="n">
        <v/>
      </c>
      <c r="L499" t="inlineStr">
        <is>
          <t>Urban</t>
        </is>
      </c>
      <c r="M499" t="inlineStr">
        <is>
          <t>Y</t>
        </is>
      </c>
      <c r="N499" t="inlineStr">
        <is>
          <t>Medium Risk</t>
        </is>
      </c>
    </row>
    <row r="500">
      <c r="A500" t="inlineStr">
        <is>
          <t>LP002600</t>
        </is>
      </c>
      <c r="B500" t="inlineStr">
        <is>
          <t>Male</t>
        </is>
      </c>
      <c r="C500" t="inlineStr">
        <is>
          <t>Yes</t>
        </is>
      </c>
      <c r="D500" t="n">
        <v>1</v>
      </c>
      <c r="E500" t="inlineStr">
        <is>
          <t>Graduate</t>
        </is>
      </c>
      <c r="F500" t="inlineStr">
        <is>
          <t>Yes</t>
        </is>
      </c>
      <c r="G500" t="n">
        <v>2895</v>
      </c>
      <c r="H500" t="n">
        <v>0</v>
      </c>
      <c r="I500" t="n">
        <v>95</v>
      </c>
      <c r="J500" t="n">
        <v>360</v>
      </c>
      <c r="K500" t="n">
        <v>1</v>
      </c>
      <c r="L500" t="inlineStr">
        <is>
          <t>Semiurban</t>
        </is>
      </c>
      <c r="M500" t="inlineStr">
        <is>
          <t>Y</t>
        </is>
      </c>
      <c r="N500" t="inlineStr">
        <is>
          <t>Lower Risk</t>
        </is>
      </c>
    </row>
    <row r="501">
      <c r="A501" t="inlineStr">
        <is>
          <t>LP002602</t>
        </is>
      </c>
      <c r="B501" t="inlineStr">
        <is>
          <t>Male</t>
        </is>
      </c>
      <c r="C501" t="inlineStr">
        <is>
          <t>No</t>
        </is>
      </c>
      <c r="D501" t="n">
        <v>0</v>
      </c>
      <c r="E501" t="inlineStr">
        <is>
          <t>Graduate</t>
        </is>
      </c>
      <c r="F501" t="inlineStr">
        <is>
          <t>No</t>
        </is>
      </c>
      <c r="G501" t="n">
        <v>6283</v>
      </c>
      <c r="H501" t="n">
        <v>4416</v>
      </c>
      <c r="I501" t="n">
        <v>209</v>
      </c>
      <c r="J501" t="n">
        <v>360</v>
      </c>
      <c r="K501" t="n">
        <v>0</v>
      </c>
      <c r="L501" t="inlineStr">
        <is>
          <t>Rural</t>
        </is>
      </c>
      <c r="M501" t="inlineStr">
        <is>
          <t>N</t>
        </is>
      </c>
      <c r="N501" t="inlineStr">
        <is>
          <t>High Risk</t>
        </is>
      </c>
    </row>
    <row r="502">
      <c r="A502" t="inlineStr">
        <is>
          <t>LP002603</t>
        </is>
      </c>
      <c r="B502" t="inlineStr">
        <is>
          <t>Female</t>
        </is>
      </c>
      <c r="C502" t="inlineStr">
        <is>
          <t>No</t>
        </is>
      </c>
      <c r="D502" t="n">
        <v>0</v>
      </c>
      <c r="E502" t="inlineStr">
        <is>
          <t>Graduate</t>
        </is>
      </c>
      <c r="F502" t="inlineStr">
        <is>
          <t>No</t>
        </is>
      </c>
      <c r="G502" t="n">
        <v>645</v>
      </c>
      <c r="H502" t="n">
        <v>3683</v>
      </c>
      <c r="I502" t="n">
        <v>113</v>
      </c>
      <c r="J502" t="n">
        <v>480</v>
      </c>
      <c r="K502" t="n">
        <v>1</v>
      </c>
      <c r="L502" t="inlineStr">
        <is>
          <t>Rural</t>
        </is>
      </c>
      <c r="M502" t="inlineStr">
        <is>
          <t>Y</t>
        </is>
      </c>
      <c r="N502" t="inlineStr">
        <is>
          <t>Lower Risk</t>
        </is>
      </c>
    </row>
    <row r="503">
      <c r="A503" t="inlineStr">
        <is>
          <t>LP002606</t>
        </is>
      </c>
      <c r="B503" t="inlineStr">
        <is>
          <t>Female</t>
        </is>
      </c>
      <c r="C503" t="inlineStr">
        <is>
          <t>No</t>
        </is>
      </c>
      <c r="D503" t="n">
        <v>0</v>
      </c>
      <c r="E503" t="inlineStr">
        <is>
          <t>Graduate</t>
        </is>
      </c>
      <c r="F503" t="inlineStr">
        <is>
          <t>No</t>
        </is>
      </c>
      <c r="G503" t="n">
        <v>3159</v>
      </c>
      <c r="H503" t="n">
        <v>0</v>
      </c>
      <c r="I503" t="n">
        <v>100</v>
      </c>
      <c r="J503" t="n">
        <v>360</v>
      </c>
      <c r="K503" t="n">
        <v>1</v>
      </c>
      <c r="L503" t="inlineStr">
        <is>
          <t>Semiurban</t>
        </is>
      </c>
      <c r="M503" t="inlineStr">
        <is>
          <t>Y</t>
        </is>
      </c>
      <c r="N503" t="inlineStr">
        <is>
          <t>Lower Risk</t>
        </is>
      </c>
    </row>
    <row r="504">
      <c r="A504" t="inlineStr">
        <is>
          <t>LP002615</t>
        </is>
      </c>
      <c r="B504" t="inlineStr">
        <is>
          <t>Male</t>
        </is>
      </c>
      <c r="C504" t="inlineStr">
        <is>
          <t>Yes</t>
        </is>
      </c>
      <c r="D504" t="n">
        <v>2</v>
      </c>
      <c r="E504" t="inlineStr">
        <is>
          <t>Graduate</t>
        </is>
      </c>
      <c r="F504" t="inlineStr">
        <is>
          <t>No</t>
        </is>
      </c>
      <c r="G504" t="n">
        <v>4865</v>
      </c>
      <c r="H504" t="n">
        <v>5624</v>
      </c>
      <c r="I504" t="n">
        <v>208</v>
      </c>
      <c r="J504" t="n">
        <v>360</v>
      </c>
      <c r="K504" t="n">
        <v>1</v>
      </c>
      <c r="L504" t="inlineStr">
        <is>
          <t>Semiurban</t>
        </is>
      </c>
      <c r="M504" t="inlineStr">
        <is>
          <t>Y</t>
        </is>
      </c>
      <c r="N504" t="inlineStr">
        <is>
          <t>Lower Risk</t>
        </is>
      </c>
    </row>
    <row r="505">
      <c r="A505" t="inlineStr">
        <is>
          <t>LP002618</t>
        </is>
      </c>
      <c r="B505" t="inlineStr">
        <is>
          <t>Male</t>
        </is>
      </c>
      <c r="C505" t="inlineStr">
        <is>
          <t>Yes</t>
        </is>
      </c>
      <c r="D505" t="n">
        <v>1</v>
      </c>
      <c r="E505" t="inlineStr">
        <is>
          <t>Not Graduate</t>
        </is>
      </c>
      <c r="F505" t="inlineStr">
        <is>
          <t>No</t>
        </is>
      </c>
      <c r="G505" t="n">
        <v>4050</v>
      </c>
      <c r="H505" t="n">
        <v>5302</v>
      </c>
      <c r="I505" t="n">
        <v>138</v>
      </c>
      <c r="J505" t="n">
        <v>360</v>
      </c>
      <c r="K505" t="n">
        <v/>
      </c>
      <c r="L505" t="inlineStr">
        <is>
          <t>Rural</t>
        </is>
      </c>
      <c r="M505" t="inlineStr">
        <is>
          <t>N</t>
        </is>
      </c>
      <c r="N505" t="inlineStr">
        <is>
          <t>High Risk</t>
        </is>
      </c>
    </row>
    <row r="506">
      <c r="A506" t="inlineStr">
        <is>
          <t>LP002619</t>
        </is>
      </c>
      <c r="B506" t="inlineStr">
        <is>
          <t>Male</t>
        </is>
      </c>
      <c r="C506" t="inlineStr">
        <is>
          <t>Yes</t>
        </is>
      </c>
      <c r="D506" t="n">
        <v>0</v>
      </c>
      <c r="E506" t="inlineStr">
        <is>
          <t>Not Graduate</t>
        </is>
      </c>
      <c r="F506" t="inlineStr">
        <is>
          <t>No</t>
        </is>
      </c>
      <c r="G506" t="n">
        <v>3814</v>
      </c>
      <c r="H506" t="n">
        <v>1483</v>
      </c>
      <c r="I506" t="n">
        <v>124</v>
      </c>
      <c r="J506" t="n">
        <v>300</v>
      </c>
      <c r="K506" t="n">
        <v>1</v>
      </c>
      <c r="L506" t="inlineStr">
        <is>
          <t>Semiurban</t>
        </is>
      </c>
      <c r="M506" t="inlineStr">
        <is>
          <t>Y</t>
        </is>
      </c>
      <c r="N506" t="inlineStr">
        <is>
          <t>Lower Risk</t>
        </is>
      </c>
    </row>
    <row r="507">
      <c r="A507" t="inlineStr">
        <is>
          <t>LP002622</t>
        </is>
      </c>
      <c r="B507" t="inlineStr">
        <is>
          <t>Male</t>
        </is>
      </c>
      <c r="C507" t="inlineStr">
        <is>
          <t>Yes</t>
        </is>
      </c>
      <c r="D507" t="n">
        <v>2</v>
      </c>
      <c r="E507" t="inlineStr">
        <is>
          <t>Graduate</t>
        </is>
      </c>
      <c r="F507" t="inlineStr">
        <is>
          <t>No</t>
        </is>
      </c>
      <c r="G507" t="n">
        <v>3510</v>
      </c>
      <c r="H507" t="n">
        <v>4416</v>
      </c>
      <c r="I507" t="n">
        <v>243</v>
      </c>
      <c r="J507" t="n">
        <v>360</v>
      </c>
      <c r="K507" t="n">
        <v>1</v>
      </c>
      <c r="L507" t="inlineStr">
        <is>
          <t>Rural</t>
        </is>
      </c>
      <c r="M507" t="inlineStr">
        <is>
          <t>Y</t>
        </is>
      </c>
      <c r="N507" t="inlineStr">
        <is>
          <t>Lower Risk</t>
        </is>
      </c>
    </row>
    <row r="508">
      <c r="A508" t="inlineStr">
        <is>
          <t>LP002624</t>
        </is>
      </c>
      <c r="B508" t="inlineStr">
        <is>
          <t>Male</t>
        </is>
      </c>
      <c r="C508" t="inlineStr">
        <is>
          <t>Yes</t>
        </is>
      </c>
      <c r="D508" t="n">
        <v>0</v>
      </c>
      <c r="E508" t="inlineStr">
        <is>
          <t>Graduate</t>
        </is>
      </c>
      <c r="F508" t="inlineStr">
        <is>
          <t>No</t>
        </is>
      </c>
      <c r="G508" t="n">
        <v>20833</v>
      </c>
      <c r="H508" t="n">
        <v>6667</v>
      </c>
      <c r="I508" t="n">
        <v>480</v>
      </c>
      <c r="J508" t="n">
        <v>360</v>
      </c>
      <c r="K508" t="n">
        <v/>
      </c>
      <c r="L508" t="inlineStr">
        <is>
          <t>Urban</t>
        </is>
      </c>
      <c r="M508" t="inlineStr">
        <is>
          <t>Y</t>
        </is>
      </c>
      <c r="N508" t="inlineStr">
        <is>
          <t>Medium Risk</t>
        </is>
      </c>
    </row>
    <row r="509">
      <c r="A509" t="inlineStr">
        <is>
          <t>LP002625</t>
        </is>
      </c>
      <c r="B509" t="n">
        <v/>
      </c>
      <c r="C509" t="inlineStr">
        <is>
          <t>No</t>
        </is>
      </c>
      <c r="D509" t="n">
        <v>0</v>
      </c>
      <c r="E509" t="inlineStr">
        <is>
          <t>Graduate</t>
        </is>
      </c>
      <c r="F509" t="inlineStr">
        <is>
          <t>No</t>
        </is>
      </c>
      <c r="G509" t="n">
        <v>3583</v>
      </c>
      <c r="H509" t="n">
        <v>0</v>
      </c>
      <c r="I509" t="n">
        <v>96</v>
      </c>
      <c r="J509" t="n">
        <v>360</v>
      </c>
      <c r="K509" t="n">
        <v>1</v>
      </c>
      <c r="L509" t="inlineStr">
        <is>
          <t>Urban</t>
        </is>
      </c>
      <c r="M509" t="inlineStr">
        <is>
          <t>N</t>
        </is>
      </c>
      <c r="N509" t="inlineStr">
        <is>
          <t>Medium Risk</t>
        </is>
      </c>
    </row>
    <row r="510">
      <c r="A510" t="inlineStr">
        <is>
          <t>LP002626</t>
        </is>
      </c>
      <c r="B510" t="inlineStr">
        <is>
          <t>Male</t>
        </is>
      </c>
      <c r="C510" t="inlineStr">
        <is>
          <t>Yes</t>
        </is>
      </c>
      <c r="D510" t="n">
        <v>0</v>
      </c>
      <c r="E510" t="inlineStr">
        <is>
          <t>Graduate</t>
        </is>
      </c>
      <c r="F510" t="inlineStr">
        <is>
          <t>Yes</t>
        </is>
      </c>
      <c r="G510" t="n">
        <v>2479</v>
      </c>
      <c r="H510" t="n">
        <v>3013</v>
      </c>
      <c r="I510" t="n">
        <v>188</v>
      </c>
      <c r="J510" t="n">
        <v>360</v>
      </c>
      <c r="K510" t="n">
        <v>1</v>
      </c>
      <c r="L510" t="inlineStr">
        <is>
          <t>Urban</t>
        </is>
      </c>
      <c r="M510" t="inlineStr">
        <is>
          <t>Y</t>
        </is>
      </c>
      <c r="N510" t="inlineStr">
        <is>
          <t>Lower Risk</t>
        </is>
      </c>
    </row>
    <row r="511">
      <c r="A511" t="inlineStr">
        <is>
          <t>LP002634</t>
        </is>
      </c>
      <c r="B511" t="inlineStr">
        <is>
          <t>Female</t>
        </is>
      </c>
      <c r="C511" t="inlineStr">
        <is>
          <t>No</t>
        </is>
      </c>
      <c r="D511" t="n">
        <v>1</v>
      </c>
      <c r="E511" t="inlineStr">
        <is>
          <t>Graduate</t>
        </is>
      </c>
      <c r="F511" t="inlineStr">
        <is>
          <t>No</t>
        </is>
      </c>
      <c r="G511" t="n">
        <v>13262</v>
      </c>
      <c r="H511" t="n">
        <v>0</v>
      </c>
      <c r="I511" t="n">
        <v>40</v>
      </c>
      <c r="J511" t="n">
        <v>360</v>
      </c>
      <c r="K511" t="n">
        <v>1</v>
      </c>
      <c r="L511" t="inlineStr">
        <is>
          <t>Urban</t>
        </is>
      </c>
      <c r="M511" t="inlineStr">
        <is>
          <t>Y</t>
        </is>
      </c>
      <c r="N511" t="inlineStr">
        <is>
          <t>Lower Risk</t>
        </is>
      </c>
    </row>
    <row r="512">
      <c r="A512" t="inlineStr">
        <is>
          <t>LP002637</t>
        </is>
      </c>
      <c r="B512" t="inlineStr">
        <is>
          <t>Male</t>
        </is>
      </c>
      <c r="C512" t="inlineStr">
        <is>
          <t>No</t>
        </is>
      </c>
      <c r="D512" t="n">
        <v>0</v>
      </c>
      <c r="E512" t="inlineStr">
        <is>
          <t>Not Graduate</t>
        </is>
      </c>
      <c r="F512" t="inlineStr">
        <is>
          <t>No</t>
        </is>
      </c>
      <c r="G512" t="n">
        <v>3598</v>
      </c>
      <c r="H512" t="n">
        <v>1287</v>
      </c>
      <c r="I512" t="n">
        <v>100</v>
      </c>
      <c r="J512" t="n">
        <v>360</v>
      </c>
      <c r="K512" t="n">
        <v>1</v>
      </c>
      <c r="L512" t="inlineStr">
        <is>
          <t>Rural</t>
        </is>
      </c>
      <c r="M512" t="inlineStr">
        <is>
          <t>N</t>
        </is>
      </c>
      <c r="N512" t="inlineStr">
        <is>
          <t>Medium Risk</t>
        </is>
      </c>
    </row>
    <row r="513">
      <c r="A513" t="inlineStr">
        <is>
          <t>LP002640</t>
        </is>
      </c>
      <c r="B513" t="inlineStr">
        <is>
          <t>Male</t>
        </is>
      </c>
      <c r="C513" t="inlineStr">
        <is>
          <t>Yes</t>
        </is>
      </c>
      <c r="D513" t="n">
        <v>1</v>
      </c>
      <c r="E513" t="inlineStr">
        <is>
          <t>Graduate</t>
        </is>
      </c>
      <c r="F513" t="inlineStr">
        <is>
          <t>No</t>
        </is>
      </c>
      <c r="G513" t="n">
        <v>6065</v>
      </c>
      <c r="H513" t="n">
        <v>2004</v>
      </c>
      <c r="I513" t="n">
        <v>250</v>
      </c>
      <c r="J513" t="n">
        <v>360</v>
      </c>
      <c r="K513" t="n">
        <v>1</v>
      </c>
      <c r="L513" t="inlineStr">
        <is>
          <t>Semiurban</t>
        </is>
      </c>
      <c r="M513" t="inlineStr">
        <is>
          <t>Y</t>
        </is>
      </c>
      <c r="N513" t="inlineStr">
        <is>
          <t>Lower Risk</t>
        </is>
      </c>
    </row>
    <row r="514">
      <c r="A514" t="inlineStr">
        <is>
          <t>LP002643</t>
        </is>
      </c>
      <c r="B514" t="inlineStr">
        <is>
          <t>Male</t>
        </is>
      </c>
      <c r="C514" t="inlineStr">
        <is>
          <t>Yes</t>
        </is>
      </c>
      <c r="D514" t="n">
        <v>2</v>
      </c>
      <c r="E514" t="inlineStr">
        <is>
          <t>Graduate</t>
        </is>
      </c>
      <c r="F514" t="inlineStr">
        <is>
          <t>No</t>
        </is>
      </c>
      <c r="G514" t="n">
        <v>3283</v>
      </c>
      <c r="H514" t="n">
        <v>2035</v>
      </c>
      <c r="I514" t="n">
        <v>148</v>
      </c>
      <c r="J514" t="n">
        <v>360</v>
      </c>
      <c r="K514" t="n">
        <v>1</v>
      </c>
      <c r="L514" t="inlineStr">
        <is>
          <t>Urban</t>
        </is>
      </c>
      <c r="M514" t="inlineStr">
        <is>
          <t>Y</t>
        </is>
      </c>
      <c r="N514" t="inlineStr">
        <is>
          <t>Lower Risk</t>
        </is>
      </c>
    </row>
    <row r="515">
      <c r="A515" t="inlineStr">
        <is>
          <t>LP002648</t>
        </is>
      </c>
      <c r="B515" t="inlineStr">
        <is>
          <t>Male</t>
        </is>
      </c>
      <c r="C515" t="inlineStr">
        <is>
          <t>Yes</t>
        </is>
      </c>
      <c r="D515" t="n">
        <v>0</v>
      </c>
      <c r="E515" t="inlineStr">
        <is>
          <t>Graduate</t>
        </is>
      </c>
      <c r="F515" t="inlineStr">
        <is>
          <t>No</t>
        </is>
      </c>
      <c r="G515" t="n">
        <v>2130</v>
      </c>
      <c r="H515" t="n">
        <v>6666</v>
      </c>
      <c r="I515" t="n">
        <v>70</v>
      </c>
      <c r="J515" t="n">
        <v>180</v>
      </c>
      <c r="K515" t="n">
        <v>1</v>
      </c>
      <c r="L515" t="inlineStr">
        <is>
          <t>Semiurban</t>
        </is>
      </c>
      <c r="M515" t="inlineStr">
        <is>
          <t>N</t>
        </is>
      </c>
      <c r="N515" t="inlineStr">
        <is>
          <t>Medium Risk</t>
        </is>
      </c>
    </row>
    <row r="516">
      <c r="A516" t="inlineStr">
        <is>
          <t>LP002652</t>
        </is>
      </c>
      <c r="B516" t="inlineStr">
        <is>
          <t>Male</t>
        </is>
      </c>
      <c r="C516" t="inlineStr">
        <is>
          <t>No</t>
        </is>
      </c>
      <c r="D516" t="n">
        <v>0</v>
      </c>
      <c r="E516" t="inlineStr">
        <is>
          <t>Graduate</t>
        </is>
      </c>
      <c r="F516" t="inlineStr">
        <is>
          <t>No</t>
        </is>
      </c>
      <c r="G516" t="n">
        <v>5815</v>
      </c>
      <c r="H516" t="n">
        <v>3666</v>
      </c>
      <c r="I516" t="n">
        <v>311</v>
      </c>
      <c r="J516" t="n">
        <v>360</v>
      </c>
      <c r="K516" t="n">
        <v>1</v>
      </c>
      <c r="L516" t="inlineStr">
        <is>
          <t>Rural</t>
        </is>
      </c>
      <c r="M516" t="inlineStr">
        <is>
          <t>N</t>
        </is>
      </c>
      <c r="N516" t="inlineStr">
        <is>
          <t>Medium Risk</t>
        </is>
      </c>
    </row>
    <row r="517">
      <c r="A517" t="inlineStr">
        <is>
          <t>LP002659</t>
        </is>
      </c>
      <c r="B517" t="inlineStr">
        <is>
          <t>Male</t>
        </is>
      </c>
      <c r="C517" t="inlineStr">
        <is>
          <t>Yes</t>
        </is>
      </c>
      <c r="D517" t="inlineStr">
        <is>
          <t>3+</t>
        </is>
      </c>
      <c r="E517" t="inlineStr">
        <is>
          <t>Graduate</t>
        </is>
      </c>
      <c r="F517" t="inlineStr">
        <is>
          <t>No</t>
        </is>
      </c>
      <c r="G517" t="n">
        <v>3466</v>
      </c>
      <c r="H517" t="n">
        <v>3428</v>
      </c>
      <c r="I517" t="n">
        <v>150</v>
      </c>
      <c r="J517" t="n">
        <v>360</v>
      </c>
      <c r="K517" t="n">
        <v>1</v>
      </c>
      <c r="L517" t="inlineStr">
        <is>
          <t>Rural</t>
        </is>
      </c>
      <c r="M517" t="inlineStr">
        <is>
          <t>Y</t>
        </is>
      </c>
      <c r="N517" t="inlineStr">
        <is>
          <t>Lower Risk</t>
        </is>
      </c>
    </row>
    <row r="518">
      <c r="A518" t="inlineStr">
        <is>
          <t>LP002670</t>
        </is>
      </c>
      <c r="B518" t="inlineStr">
        <is>
          <t>Female</t>
        </is>
      </c>
      <c r="C518" t="inlineStr">
        <is>
          <t>Yes</t>
        </is>
      </c>
      <c r="D518" t="n">
        <v>2</v>
      </c>
      <c r="E518" t="inlineStr">
        <is>
          <t>Graduate</t>
        </is>
      </c>
      <c r="F518" t="inlineStr">
        <is>
          <t>No</t>
        </is>
      </c>
      <c r="G518" t="n">
        <v>2031</v>
      </c>
      <c r="H518" t="n">
        <v>1632</v>
      </c>
      <c r="I518" t="n">
        <v>113</v>
      </c>
      <c r="J518" t="n">
        <v>480</v>
      </c>
      <c r="K518" t="n">
        <v>1</v>
      </c>
      <c r="L518" t="inlineStr">
        <is>
          <t>Semiurban</t>
        </is>
      </c>
      <c r="M518" t="inlineStr">
        <is>
          <t>Y</t>
        </is>
      </c>
      <c r="N518" t="inlineStr">
        <is>
          <t>Lower Risk</t>
        </is>
      </c>
    </row>
    <row r="519">
      <c r="A519" t="inlineStr">
        <is>
          <t>LP002682</t>
        </is>
      </c>
      <c r="B519" t="inlineStr">
        <is>
          <t>Male</t>
        </is>
      </c>
      <c r="C519" t="inlineStr">
        <is>
          <t>Yes</t>
        </is>
      </c>
      <c r="D519" t="n">
        <v/>
      </c>
      <c r="E519" t="inlineStr">
        <is>
          <t>Not Graduate</t>
        </is>
      </c>
      <c r="F519" t="inlineStr">
        <is>
          <t>No</t>
        </is>
      </c>
      <c r="G519" t="n">
        <v>3074</v>
      </c>
      <c r="H519" t="n">
        <v>1800</v>
      </c>
      <c r="I519" t="n">
        <v>123</v>
      </c>
      <c r="J519" t="n">
        <v>360</v>
      </c>
      <c r="K519" t="n">
        <v>0</v>
      </c>
      <c r="L519" t="inlineStr">
        <is>
          <t>Semiurban</t>
        </is>
      </c>
      <c r="M519" t="inlineStr">
        <is>
          <t>N</t>
        </is>
      </c>
      <c r="N519" t="inlineStr">
        <is>
          <t>High Risk</t>
        </is>
      </c>
    </row>
    <row r="520">
      <c r="A520" t="inlineStr">
        <is>
          <t>LP002683</t>
        </is>
      </c>
      <c r="B520" t="inlineStr">
        <is>
          <t>Male</t>
        </is>
      </c>
      <c r="C520" t="inlineStr">
        <is>
          <t>No</t>
        </is>
      </c>
      <c r="D520" t="n">
        <v>0</v>
      </c>
      <c r="E520" t="inlineStr">
        <is>
          <t>Graduate</t>
        </is>
      </c>
      <c r="F520" t="inlineStr">
        <is>
          <t>No</t>
        </is>
      </c>
      <c r="G520" t="n">
        <v>4683</v>
      </c>
      <c r="H520" t="n">
        <v>1915</v>
      </c>
      <c r="I520" t="n">
        <v>185</v>
      </c>
      <c r="J520" t="n">
        <v>360</v>
      </c>
      <c r="K520" t="n">
        <v>1</v>
      </c>
      <c r="L520" t="inlineStr">
        <is>
          <t>Semiurban</t>
        </is>
      </c>
      <c r="M520" t="inlineStr">
        <is>
          <t>N</t>
        </is>
      </c>
      <c r="N520" t="inlineStr">
        <is>
          <t>Medium Risk</t>
        </is>
      </c>
    </row>
    <row r="521">
      <c r="A521" t="inlineStr">
        <is>
          <t>LP002684</t>
        </is>
      </c>
      <c r="B521" t="inlineStr">
        <is>
          <t>Female</t>
        </is>
      </c>
      <c r="C521" t="inlineStr">
        <is>
          <t>No</t>
        </is>
      </c>
      <c r="D521" t="n">
        <v>0</v>
      </c>
      <c r="E521" t="inlineStr">
        <is>
          <t>Not Graduate</t>
        </is>
      </c>
      <c r="F521" t="inlineStr">
        <is>
          <t>No</t>
        </is>
      </c>
      <c r="G521" t="n">
        <v>3400</v>
      </c>
      <c r="H521" t="n">
        <v>0</v>
      </c>
      <c r="I521" t="n">
        <v>95</v>
      </c>
      <c r="J521" t="n">
        <v>360</v>
      </c>
      <c r="K521" t="n">
        <v>1</v>
      </c>
      <c r="L521" t="inlineStr">
        <is>
          <t>Rural</t>
        </is>
      </c>
      <c r="M521" t="inlineStr">
        <is>
          <t>N</t>
        </is>
      </c>
      <c r="N521" t="inlineStr">
        <is>
          <t>Medium Risk</t>
        </is>
      </c>
    </row>
    <row r="522">
      <c r="A522" t="inlineStr">
        <is>
          <t>LP002689</t>
        </is>
      </c>
      <c r="B522" t="inlineStr">
        <is>
          <t>Male</t>
        </is>
      </c>
      <c r="C522" t="inlineStr">
        <is>
          <t>Yes</t>
        </is>
      </c>
      <c r="D522" t="n">
        <v>2</v>
      </c>
      <c r="E522" t="inlineStr">
        <is>
          <t>Not Graduate</t>
        </is>
      </c>
      <c r="F522" t="inlineStr">
        <is>
          <t>No</t>
        </is>
      </c>
      <c r="G522" t="n">
        <v>2192</v>
      </c>
      <c r="H522" t="n">
        <v>1742</v>
      </c>
      <c r="I522" t="n">
        <v>45</v>
      </c>
      <c r="J522" t="n">
        <v>360</v>
      </c>
      <c r="K522" t="n">
        <v>1</v>
      </c>
      <c r="L522" t="inlineStr">
        <is>
          <t>Semiurban</t>
        </is>
      </c>
      <c r="M522" t="inlineStr">
        <is>
          <t>Y</t>
        </is>
      </c>
      <c r="N522" t="inlineStr">
        <is>
          <t>Lower Risk</t>
        </is>
      </c>
    </row>
    <row r="523">
      <c r="A523" t="inlineStr">
        <is>
          <t>LP002690</t>
        </is>
      </c>
      <c r="B523" t="inlineStr">
        <is>
          <t>Male</t>
        </is>
      </c>
      <c r="C523" t="inlineStr">
        <is>
          <t>No</t>
        </is>
      </c>
      <c r="D523" t="n">
        <v>0</v>
      </c>
      <c r="E523" t="inlineStr">
        <is>
          <t>Graduate</t>
        </is>
      </c>
      <c r="F523" t="inlineStr">
        <is>
          <t>No</t>
        </is>
      </c>
      <c r="G523" t="n">
        <v>2500</v>
      </c>
      <c r="H523" t="n">
        <v>0</v>
      </c>
      <c r="I523" t="n">
        <v>55</v>
      </c>
      <c r="J523" t="n">
        <v>360</v>
      </c>
      <c r="K523" t="n">
        <v>1</v>
      </c>
      <c r="L523" t="inlineStr">
        <is>
          <t>Semiurban</t>
        </is>
      </c>
      <c r="M523" t="inlineStr">
        <is>
          <t>Y</t>
        </is>
      </c>
      <c r="N523" t="inlineStr">
        <is>
          <t>Lower Risk</t>
        </is>
      </c>
    </row>
    <row r="524">
      <c r="A524" t="inlineStr">
        <is>
          <t>LP002692</t>
        </is>
      </c>
      <c r="B524" t="inlineStr">
        <is>
          <t>Male</t>
        </is>
      </c>
      <c r="C524" t="inlineStr">
        <is>
          <t>Yes</t>
        </is>
      </c>
      <c r="D524" t="inlineStr">
        <is>
          <t>3+</t>
        </is>
      </c>
      <c r="E524" t="inlineStr">
        <is>
          <t>Graduate</t>
        </is>
      </c>
      <c r="F524" t="inlineStr">
        <is>
          <t>Yes</t>
        </is>
      </c>
      <c r="G524" t="n">
        <v>5677</v>
      </c>
      <c r="H524" t="n">
        <v>1424</v>
      </c>
      <c r="I524" t="n">
        <v>100</v>
      </c>
      <c r="J524" t="n">
        <v>360</v>
      </c>
      <c r="K524" t="n">
        <v>1</v>
      </c>
      <c r="L524" t="inlineStr">
        <is>
          <t>Rural</t>
        </is>
      </c>
      <c r="M524" t="inlineStr">
        <is>
          <t>Y</t>
        </is>
      </c>
      <c r="N524" t="inlineStr">
        <is>
          <t>Lower Risk</t>
        </is>
      </c>
    </row>
    <row r="525">
      <c r="A525" t="inlineStr">
        <is>
          <t>LP002693</t>
        </is>
      </c>
      <c r="B525" t="inlineStr">
        <is>
          <t>Male</t>
        </is>
      </c>
      <c r="C525" t="inlineStr">
        <is>
          <t>Yes</t>
        </is>
      </c>
      <c r="D525" t="n">
        <v>2</v>
      </c>
      <c r="E525" t="inlineStr">
        <is>
          <t>Graduate</t>
        </is>
      </c>
      <c r="F525" t="inlineStr">
        <is>
          <t>Yes</t>
        </is>
      </c>
      <c r="G525" t="n">
        <v>7948</v>
      </c>
      <c r="H525" t="n">
        <v>7166</v>
      </c>
      <c r="I525" t="n">
        <v>480</v>
      </c>
      <c r="J525" t="n">
        <v>360</v>
      </c>
      <c r="K525" t="n">
        <v>1</v>
      </c>
      <c r="L525" t="inlineStr">
        <is>
          <t>Rural</t>
        </is>
      </c>
      <c r="M525" t="inlineStr">
        <is>
          <t>Y</t>
        </is>
      </c>
      <c r="N525" t="inlineStr">
        <is>
          <t>Lower Risk</t>
        </is>
      </c>
    </row>
    <row r="526">
      <c r="A526" t="inlineStr">
        <is>
          <t>LP002697</t>
        </is>
      </c>
      <c r="B526" t="inlineStr">
        <is>
          <t>Male</t>
        </is>
      </c>
      <c r="C526" t="inlineStr">
        <is>
          <t>No</t>
        </is>
      </c>
      <c r="D526" t="n">
        <v>0</v>
      </c>
      <c r="E526" t="inlineStr">
        <is>
          <t>Graduate</t>
        </is>
      </c>
      <c r="F526" t="inlineStr">
        <is>
          <t>No</t>
        </is>
      </c>
      <c r="G526" t="n">
        <v>4680</v>
      </c>
      <c r="H526" t="n">
        <v>2087</v>
      </c>
      <c r="I526" t="n">
        <v/>
      </c>
      <c r="J526" t="n">
        <v>360</v>
      </c>
      <c r="K526" t="n">
        <v>1</v>
      </c>
      <c r="L526" t="inlineStr">
        <is>
          <t>Semiurban</t>
        </is>
      </c>
      <c r="M526" t="inlineStr">
        <is>
          <t>N</t>
        </is>
      </c>
      <c r="N526" t="inlineStr">
        <is>
          <t>Medium Risk</t>
        </is>
      </c>
    </row>
    <row r="527">
      <c r="A527" t="inlineStr">
        <is>
          <t>LP002699</t>
        </is>
      </c>
      <c r="B527" t="inlineStr">
        <is>
          <t>Male</t>
        </is>
      </c>
      <c r="C527" t="inlineStr">
        <is>
          <t>Yes</t>
        </is>
      </c>
      <c r="D527" t="n">
        <v>2</v>
      </c>
      <c r="E527" t="inlineStr">
        <is>
          <t>Graduate</t>
        </is>
      </c>
      <c r="F527" t="inlineStr">
        <is>
          <t>Yes</t>
        </is>
      </c>
      <c r="G527" t="n">
        <v>17500</v>
      </c>
      <c r="H527" t="n">
        <v>0</v>
      </c>
      <c r="I527" t="n">
        <v>400</v>
      </c>
      <c r="J527" t="n">
        <v>360</v>
      </c>
      <c r="K527" t="n">
        <v>1</v>
      </c>
      <c r="L527" t="inlineStr">
        <is>
          <t>Rural</t>
        </is>
      </c>
      <c r="M527" t="inlineStr">
        <is>
          <t>Y</t>
        </is>
      </c>
      <c r="N527" t="inlineStr">
        <is>
          <t>Lower Risk</t>
        </is>
      </c>
    </row>
    <row r="528">
      <c r="A528" t="inlineStr">
        <is>
          <t>LP002705</t>
        </is>
      </c>
      <c r="B528" t="inlineStr">
        <is>
          <t>Male</t>
        </is>
      </c>
      <c r="C528" t="inlineStr">
        <is>
          <t>Yes</t>
        </is>
      </c>
      <c r="D528" t="n">
        <v>0</v>
      </c>
      <c r="E528" t="inlineStr">
        <is>
          <t>Graduate</t>
        </is>
      </c>
      <c r="F528" t="inlineStr">
        <is>
          <t>No</t>
        </is>
      </c>
      <c r="G528" t="n">
        <v>3775</v>
      </c>
      <c r="H528" t="n">
        <v>0</v>
      </c>
      <c r="I528" t="n">
        <v>110</v>
      </c>
      <c r="J528" t="n">
        <v>360</v>
      </c>
      <c r="K528" t="n">
        <v>1</v>
      </c>
      <c r="L528" t="inlineStr">
        <is>
          <t>Semiurban</t>
        </is>
      </c>
      <c r="M528" t="inlineStr">
        <is>
          <t>Y</t>
        </is>
      </c>
      <c r="N528" t="inlineStr">
        <is>
          <t>Lower Risk</t>
        </is>
      </c>
    </row>
    <row r="529">
      <c r="A529" t="inlineStr">
        <is>
          <t>LP002706</t>
        </is>
      </c>
      <c r="B529" t="inlineStr">
        <is>
          <t>Male</t>
        </is>
      </c>
      <c r="C529" t="inlineStr">
        <is>
          <t>Yes</t>
        </is>
      </c>
      <c r="D529" t="n">
        <v>1</v>
      </c>
      <c r="E529" t="inlineStr">
        <is>
          <t>Not Graduate</t>
        </is>
      </c>
      <c r="F529" t="inlineStr">
        <is>
          <t>No</t>
        </is>
      </c>
      <c r="G529" t="n">
        <v>5285</v>
      </c>
      <c r="H529" t="n">
        <v>1430</v>
      </c>
      <c r="I529" t="n">
        <v>161</v>
      </c>
      <c r="J529" t="n">
        <v>360</v>
      </c>
      <c r="K529" t="n">
        <v>0</v>
      </c>
      <c r="L529" t="inlineStr">
        <is>
          <t>Semiurban</t>
        </is>
      </c>
      <c r="M529" t="inlineStr">
        <is>
          <t>Y</t>
        </is>
      </c>
      <c r="N529" t="inlineStr">
        <is>
          <t>Medium Risk</t>
        </is>
      </c>
    </row>
    <row r="530">
      <c r="A530" t="inlineStr">
        <is>
          <t>LP002714</t>
        </is>
      </c>
      <c r="B530" t="inlineStr">
        <is>
          <t>Male</t>
        </is>
      </c>
      <c r="C530" t="inlineStr">
        <is>
          <t>No</t>
        </is>
      </c>
      <c r="D530" t="n">
        <v>1</v>
      </c>
      <c r="E530" t="inlineStr">
        <is>
          <t>Not Graduate</t>
        </is>
      </c>
      <c r="F530" t="inlineStr">
        <is>
          <t>No</t>
        </is>
      </c>
      <c r="G530" t="n">
        <v>2679</v>
      </c>
      <c r="H530" t="n">
        <v>1302</v>
      </c>
      <c r="I530" t="n">
        <v>94</v>
      </c>
      <c r="J530" t="n">
        <v>360</v>
      </c>
      <c r="K530" t="n">
        <v>1</v>
      </c>
      <c r="L530" t="inlineStr">
        <is>
          <t>Semiurban</t>
        </is>
      </c>
      <c r="M530" t="inlineStr">
        <is>
          <t>Y</t>
        </is>
      </c>
      <c r="N530" t="inlineStr">
        <is>
          <t>Lower Risk</t>
        </is>
      </c>
    </row>
    <row r="531">
      <c r="A531" t="inlineStr">
        <is>
          <t>LP002716</t>
        </is>
      </c>
      <c r="B531" t="inlineStr">
        <is>
          <t>Male</t>
        </is>
      </c>
      <c r="C531" t="inlineStr">
        <is>
          <t>No</t>
        </is>
      </c>
      <c r="D531" t="n">
        <v>0</v>
      </c>
      <c r="E531" t="inlineStr">
        <is>
          <t>Not Graduate</t>
        </is>
      </c>
      <c r="F531" t="inlineStr">
        <is>
          <t>No</t>
        </is>
      </c>
      <c r="G531" t="n">
        <v>6783</v>
      </c>
      <c r="H531" t="n">
        <v>0</v>
      </c>
      <c r="I531" t="n">
        <v>130</v>
      </c>
      <c r="J531" t="n">
        <v>360</v>
      </c>
      <c r="K531" t="n">
        <v>1</v>
      </c>
      <c r="L531" t="inlineStr">
        <is>
          <t>Semiurban</t>
        </is>
      </c>
      <c r="M531" t="inlineStr">
        <is>
          <t>Y</t>
        </is>
      </c>
      <c r="N531" t="inlineStr">
        <is>
          <t>Lower Risk</t>
        </is>
      </c>
    </row>
    <row r="532">
      <c r="A532" t="inlineStr">
        <is>
          <t>LP002717</t>
        </is>
      </c>
      <c r="B532" t="inlineStr">
        <is>
          <t>Male</t>
        </is>
      </c>
      <c r="C532" t="inlineStr">
        <is>
          <t>Yes</t>
        </is>
      </c>
      <c r="D532" t="n">
        <v>0</v>
      </c>
      <c r="E532" t="inlineStr">
        <is>
          <t>Graduate</t>
        </is>
      </c>
      <c r="F532" t="inlineStr">
        <is>
          <t>No</t>
        </is>
      </c>
      <c r="G532" t="n">
        <v>1025</v>
      </c>
      <c r="H532" t="n">
        <v>5500</v>
      </c>
      <c r="I532" t="n">
        <v>216</v>
      </c>
      <c r="J532" t="n">
        <v>360</v>
      </c>
      <c r="K532" t="n">
        <v/>
      </c>
      <c r="L532" t="inlineStr">
        <is>
          <t>Rural</t>
        </is>
      </c>
      <c r="M532" t="inlineStr">
        <is>
          <t>Y</t>
        </is>
      </c>
      <c r="N532" t="inlineStr">
        <is>
          <t>Medium Risk</t>
        </is>
      </c>
    </row>
    <row r="533">
      <c r="A533" t="inlineStr">
        <is>
          <t>LP002720</t>
        </is>
      </c>
      <c r="B533" t="inlineStr">
        <is>
          <t>Male</t>
        </is>
      </c>
      <c r="C533" t="inlineStr">
        <is>
          <t>Yes</t>
        </is>
      </c>
      <c r="D533" t="inlineStr">
        <is>
          <t>3+</t>
        </is>
      </c>
      <c r="E533" t="inlineStr">
        <is>
          <t>Graduate</t>
        </is>
      </c>
      <c r="F533" t="inlineStr">
        <is>
          <t>No</t>
        </is>
      </c>
      <c r="G533" t="n">
        <v>4281</v>
      </c>
      <c r="H533" t="n">
        <v>0</v>
      </c>
      <c r="I533" t="n">
        <v>100</v>
      </c>
      <c r="J533" t="n">
        <v>360</v>
      </c>
      <c r="K533" t="n">
        <v>1</v>
      </c>
      <c r="L533" t="inlineStr">
        <is>
          <t>Urban</t>
        </is>
      </c>
      <c r="M533" t="inlineStr">
        <is>
          <t>Y</t>
        </is>
      </c>
      <c r="N533" t="inlineStr">
        <is>
          <t>Lower Risk</t>
        </is>
      </c>
    </row>
    <row r="534">
      <c r="A534" t="inlineStr">
        <is>
          <t>LP002723</t>
        </is>
      </c>
      <c r="B534" t="inlineStr">
        <is>
          <t>Male</t>
        </is>
      </c>
      <c r="C534" t="inlineStr">
        <is>
          <t>No</t>
        </is>
      </c>
      <c r="D534" t="n">
        <v>2</v>
      </c>
      <c r="E534" t="inlineStr">
        <is>
          <t>Graduate</t>
        </is>
      </c>
      <c r="F534" t="inlineStr">
        <is>
          <t>No</t>
        </is>
      </c>
      <c r="G534" t="n">
        <v>3588</v>
      </c>
      <c r="H534" t="n">
        <v>0</v>
      </c>
      <c r="I534" t="n">
        <v>110</v>
      </c>
      <c r="J534" t="n">
        <v>360</v>
      </c>
      <c r="K534" t="n">
        <v>0</v>
      </c>
      <c r="L534" t="inlineStr">
        <is>
          <t>Rural</t>
        </is>
      </c>
      <c r="M534" t="inlineStr">
        <is>
          <t>N</t>
        </is>
      </c>
      <c r="N534" t="inlineStr">
        <is>
          <t>High Risk</t>
        </is>
      </c>
    </row>
    <row r="535">
      <c r="A535" t="inlineStr">
        <is>
          <t>LP002729</t>
        </is>
      </c>
      <c r="B535" t="inlineStr">
        <is>
          <t>Male</t>
        </is>
      </c>
      <c r="C535" t="inlineStr">
        <is>
          <t>No</t>
        </is>
      </c>
      <c r="D535" t="n">
        <v>1</v>
      </c>
      <c r="E535" t="inlineStr">
        <is>
          <t>Graduate</t>
        </is>
      </c>
      <c r="F535" t="inlineStr">
        <is>
          <t>No</t>
        </is>
      </c>
      <c r="G535" t="n">
        <v>11250</v>
      </c>
      <c r="H535" t="n">
        <v>0</v>
      </c>
      <c r="I535" t="n">
        <v>196</v>
      </c>
      <c r="J535" t="n">
        <v>360</v>
      </c>
      <c r="K535" t="n">
        <v/>
      </c>
      <c r="L535" t="inlineStr">
        <is>
          <t>Semiurban</t>
        </is>
      </c>
      <c r="M535" t="inlineStr">
        <is>
          <t>N</t>
        </is>
      </c>
      <c r="N535" t="inlineStr">
        <is>
          <t>High Risk</t>
        </is>
      </c>
    </row>
    <row r="536">
      <c r="A536" t="inlineStr">
        <is>
          <t>LP002731</t>
        </is>
      </c>
      <c r="B536" t="inlineStr">
        <is>
          <t>Female</t>
        </is>
      </c>
      <c r="C536" t="inlineStr">
        <is>
          <t>No</t>
        </is>
      </c>
      <c r="D536" t="n">
        <v>0</v>
      </c>
      <c r="E536" t="inlineStr">
        <is>
          <t>Not Graduate</t>
        </is>
      </c>
      <c r="F536" t="inlineStr">
        <is>
          <t>Yes</t>
        </is>
      </c>
      <c r="G536" t="n">
        <v>18165</v>
      </c>
      <c r="H536" t="n">
        <v>0</v>
      </c>
      <c r="I536" t="n">
        <v>125</v>
      </c>
      <c r="J536" t="n">
        <v>360</v>
      </c>
      <c r="K536" t="n">
        <v>1</v>
      </c>
      <c r="L536" t="inlineStr">
        <is>
          <t>Urban</t>
        </is>
      </c>
      <c r="M536" t="inlineStr">
        <is>
          <t>Y</t>
        </is>
      </c>
      <c r="N536" t="inlineStr">
        <is>
          <t>Lower Risk</t>
        </is>
      </c>
    </row>
    <row r="537">
      <c r="A537" t="inlineStr">
        <is>
          <t>LP002732</t>
        </is>
      </c>
      <c r="B537" t="inlineStr">
        <is>
          <t>Male</t>
        </is>
      </c>
      <c r="C537" t="inlineStr">
        <is>
          <t>No</t>
        </is>
      </c>
      <c r="D537" t="n">
        <v>0</v>
      </c>
      <c r="E537" t="inlineStr">
        <is>
          <t>Not Graduate</t>
        </is>
      </c>
      <c r="F537" t="n">
        <v/>
      </c>
      <c r="G537" t="n">
        <v>2550</v>
      </c>
      <c r="H537" t="n">
        <v>2042</v>
      </c>
      <c r="I537" t="n">
        <v>126</v>
      </c>
      <c r="J537" t="n">
        <v>360</v>
      </c>
      <c r="K537" t="n">
        <v>1</v>
      </c>
      <c r="L537" t="inlineStr">
        <is>
          <t>Rural</t>
        </is>
      </c>
      <c r="M537" t="inlineStr">
        <is>
          <t>Y</t>
        </is>
      </c>
      <c r="N537" t="inlineStr">
        <is>
          <t>Lower Risk</t>
        </is>
      </c>
    </row>
    <row r="538">
      <c r="A538" t="inlineStr">
        <is>
          <t>LP002734</t>
        </is>
      </c>
      <c r="B538" t="inlineStr">
        <is>
          <t>Male</t>
        </is>
      </c>
      <c r="C538" t="inlineStr">
        <is>
          <t>Yes</t>
        </is>
      </c>
      <c r="D538" t="n">
        <v>0</v>
      </c>
      <c r="E538" t="inlineStr">
        <is>
          <t>Graduate</t>
        </is>
      </c>
      <c r="F538" t="inlineStr">
        <is>
          <t>No</t>
        </is>
      </c>
      <c r="G538" t="n">
        <v>6133</v>
      </c>
      <c r="H538" t="n">
        <v>3906</v>
      </c>
      <c r="I538" t="n">
        <v>324</v>
      </c>
      <c r="J538" t="n">
        <v>360</v>
      </c>
      <c r="K538" t="n">
        <v>1</v>
      </c>
      <c r="L538" t="inlineStr">
        <is>
          <t>Urban</t>
        </is>
      </c>
      <c r="M538" t="inlineStr">
        <is>
          <t>Y</t>
        </is>
      </c>
      <c r="N538" t="inlineStr">
        <is>
          <t>Lower Risk</t>
        </is>
      </c>
    </row>
    <row r="539">
      <c r="A539" t="inlineStr">
        <is>
          <t>LP002738</t>
        </is>
      </c>
      <c r="B539" t="inlineStr">
        <is>
          <t>Male</t>
        </is>
      </c>
      <c r="C539" t="inlineStr">
        <is>
          <t>No</t>
        </is>
      </c>
      <c r="D539" t="n">
        <v>2</v>
      </c>
      <c r="E539" t="inlineStr">
        <is>
          <t>Graduate</t>
        </is>
      </c>
      <c r="F539" t="inlineStr">
        <is>
          <t>No</t>
        </is>
      </c>
      <c r="G539" t="n">
        <v>3617</v>
      </c>
      <c r="H539" t="n">
        <v>0</v>
      </c>
      <c r="I539" t="n">
        <v>107</v>
      </c>
      <c r="J539" t="n">
        <v>360</v>
      </c>
      <c r="K539" t="n">
        <v>1</v>
      </c>
      <c r="L539" t="inlineStr">
        <is>
          <t>Semiurban</t>
        </is>
      </c>
      <c r="M539" t="inlineStr">
        <is>
          <t>Y</t>
        </is>
      </c>
      <c r="N539" t="inlineStr">
        <is>
          <t>Lower Risk</t>
        </is>
      </c>
    </row>
    <row r="540">
      <c r="A540" t="inlineStr">
        <is>
          <t>LP002739</t>
        </is>
      </c>
      <c r="B540" t="inlineStr">
        <is>
          <t>Male</t>
        </is>
      </c>
      <c r="C540" t="inlineStr">
        <is>
          <t>Yes</t>
        </is>
      </c>
      <c r="D540" t="n">
        <v>0</v>
      </c>
      <c r="E540" t="inlineStr">
        <is>
          <t>Not Graduate</t>
        </is>
      </c>
      <c r="F540" t="inlineStr">
        <is>
          <t>No</t>
        </is>
      </c>
      <c r="G540" t="n">
        <v>2917</v>
      </c>
      <c r="H540" t="n">
        <v>536</v>
      </c>
      <c r="I540" t="n">
        <v>66</v>
      </c>
      <c r="J540" t="n">
        <v>360</v>
      </c>
      <c r="K540" t="n">
        <v>1</v>
      </c>
      <c r="L540" t="inlineStr">
        <is>
          <t>Rural</t>
        </is>
      </c>
      <c r="M540" t="inlineStr">
        <is>
          <t>N</t>
        </is>
      </c>
      <c r="N540" t="inlineStr">
        <is>
          <t>Medium Risk</t>
        </is>
      </c>
    </row>
    <row r="541">
      <c r="A541" t="inlineStr">
        <is>
          <t>LP002740</t>
        </is>
      </c>
      <c r="B541" t="inlineStr">
        <is>
          <t>Male</t>
        </is>
      </c>
      <c r="C541" t="inlineStr">
        <is>
          <t>Yes</t>
        </is>
      </c>
      <c r="D541" t="inlineStr">
        <is>
          <t>3+</t>
        </is>
      </c>
      <c r="E541" t="inlineStr">
        <is>
          <t>Graduate</t>
        </is>
      </c>
      <c r="F541" t="inlineStr">
        <is>
          <t>No</t>
        </is>
      </c>
      <c r="G541" t="n">
        <v>6417</v>
      </c>
      <c r="H541" t="n">
        <v>0</v>
      </c>
      <c r="I541" t="n">
        <v>157</v>
      </c>
      <c r="J541" t="n">
        <v>180</v>
      </c>
      <c r="K541" t="n">
        <v>1</v>
      </c>
      <c r="L541" t="inlineStr">
        <is>
          <t>Rural</t>
        </is>
      </c>
      <c r="M541" t="inlineStr">
        <is>
          <t>Y</t>
        </is>
      </c>
      <c r="N541" t="inlineStr">
        <is>
          <t>Lower Risk</t>
        </is>
      </c>
    </row>
    <row r="542">
      <c r="A542" t="inlineStr">
        <is>
          <t>LP002741</t>
        </is>
      </c>
      <c r="B542" t="inlineStr">
        <is>
          <t>Female</t>
        </is>
      </c>
      <c r="C542" t="inlineStr">
        <is>
          <t>Yes</t>
        </is>
      </c>
      <c r="D542" t="n">
        <v>1</v>
      </c>
      <c r="E542" t="inlineStr">
        <is>
          <t>Graduate</t>
        </is>
      </c>
      <c r="F542" t="inlineStr">
        <is>
          <t>No</t>
        </is>
      </c>
      <c r="G542" t="n">
        <v>4608</v>
      </c>
      <c r="H542" t="n">
        <v>2845</v>
      </c>
      <c r="I542" t="n">
        <v>140</v>
      </c>
      <c r="J542" t="n">
        <v>180</v>
      </c>
      <c r="K542" t="n">
        <v>1</v>
      </c>
      <c r="L542" t="inlineStr">
        <is>
          <t>Semiurban</t>
        </is>
      </c>
      <c r="M542" t="inlineStr">
        <is>
          <t>Y</t>
        </is>
      </c>
      <c r="N542" t="inlineStr">
        <is>
          <t>Lower Risk</t>
        </is>
      </c>
    </row>
    <row r="543">
      <c r="A543" t="inlineStr">
        <is>
          <t>LP002743</t>
        </is>
      </c>
      <c r="B543" t="inlineStr">
        <is>
          <t>Female</t>
        </is>
      </c>
      <c r="C543" t="inlineStr">
        <is>
          <t>No</t>
        </is>
      </c>
      <c r="D543" t="n">
        <v>0</v>
      </c>
      <c r="E543" t="inlineStr">
        <is>
          <t>Graduate</t>
        </is>
      </c>
      <c r="F543" t="inlineStr">
        <is>
          <t>No</t>
        </is>
      </c>
      <c r="G543" t="n">
        <v>2138</v>
      </c>
      <c r="H543" t="n">
        <v>0</v>
      </c>
      <c r="I543" t="n">
        <v>99</v>
      </c>
      <c r="J543" t="n">
        <v>360</v>
      </c>
      <c r="K543" t="n">
        <v>0</v>
      </c>
      <c r="L543" t="inlineStr">
        <is>
          <t>Semiurban</t>
        </is>
      </c>
      <c r="M543" t="inlineStr">
        <is>
          <t>N</t>
        </is>
      </c>
      <c r="N543" t="inlineStr">
        <is>
          <t>High Risk</t>
        </is>
      </c>
    </row>
    <row r="544">
      <c r="A544" t="inlineStr">
        <is>
          <t>LP002753</t>
        </is>
      </c>
      <c r="B544" t="inlineStr">
        <is>
          <t>Female</t>
        </is>
      </c>
      <c r="C544" t="inlineStr">
        <is>
          <t>No</t>
        </is>
      </c>
      <c r="D544" t="n">
        <v>1</v>
      </c>
      <c r="E544" t="inlineStr">
        <is>
          <t>Graduate</t>
        </is>
      </c>
      <c r="F544" t="n">
        <v/>
      </c>
      <c r="G544" t="n">
        <v>3652</v>
      </c>
      <c r="H544" t="n">
        <v>0</v>
      </c>
      <c r="I544" t="n">
        <v>95</v>
      </c>
      <c r="J544" t="n">
        <v>360</v>
      </c>
      <c r="K544" t="n">
        <v>1</v>
      </c>
      <c r="L544" t="inlineStr">
        <is>
          <t>Semiurban</t>
        </is>
      </c>
      <c r="M544" t="inlineStr">
        <is>
          <t>Y</t>
        </is>
      </c>
      <c r="N544" t="inlineStr">
        <is>
          <t>Lower Risk</t>
        </is>
      </c>
    </row>
    <row r="545">
      <c r="A545" t="inlineStr">
        <is>
          <t>LP002755</t>
        </is>
      </c>
      <c r="B545" t="inlineStr">
        <is>
          <t>Male</t>
        </is>
      </c>
      <c r="C545" t="inlineStr">
        <is>
          <t>Yes</t>
        </is>
      </c>
      <c r="D545" t="n">
        <v>1</v>
      </c>
      <c r="E545" t="inlineStr">
        <is>
          <t>Not Graduate</t>
        </is>
      </c>
      <c r="F545" t="inlineStr">
        <is>
          <t>No</t>
        </is>
      </c>
      <c r="G545" t="n">
        <v>2239</v>
      </c>
      <c r="H545" t="n">
        <v>2524</v>
      </c>
      <c r="I545" t="n">
        <v>128</v>
      </c>
      <c r="J545" t="n">
        <v>360</v>
      </c>
      <c r="K545" t="n">
        <v>1</v>
      </c>
      <c r="L545" t="inlineStr">
        <is>
          <t>Urban</t>
        </is>
      </c>
      <c r="M545" t="inlineStr">
        <is>
          <t>Y</t>
        </is>
      </c>
      <c r="N545" t="inlineStr">
        <is>
          <t>Lower Risk</t>
        </is>
      </c>
    </row>
    <row r="546">
      <c r="A546" t="inlineStr">
        <is>
          <t>LP002757</t>
        </is>
      </c>
      <c r="B546" t="inlineStr">
        <is>
          <t>Female</t>
        </is>
      </c>
      <c r="C546" t="inlineStr">
        <is>
          <t>Yes</t>
        </is>
      </c>
      <c r="D546" t="n">
        <v>0</v>
      </c>
      <c r="E546" t="inlineStr">
        <is>
          <t>Not Graduate</t>
        </is>
      </c>
      <c r="F546" t="inlineStr">
        <is>
          <t>No</t>
        </is>
      </c>
      <c r="G546" t="n">
        <v>3017</v>
      </c>
      <c r="H546" t="n">
        <v>663</v>
      </c>
      <c r="I546" t="n">
        <v>102</v>
      </c>
      <c r="J546" t="n">
        <v>360</v>
      </c>
      <c r="K546" t="n">
        <v/>
      </c>
      <c r="L546" t="inlineStr">
        <is>
          <t>Semiurban</t>
        </is>
      </c>
      <c r="M546" t="inlineStr">
        <is>
          <t>Y</t>
        </is>
      </c>
      <c r="N546" t="inlineStr">
        <is>
          <t>Medium Risk</t>
        </is>
      </c>
    </row>
    <row r="547">
      <c r="A547" t="inlineStr">
        <is>
          <t>LP002767</t>
        </is>
      </c>
      <c r="B547" t="inlineStr">
        <is>
          <t>Male</t>
        </is>
      </c>
      <c r="C547" t="inlineStr">
        <is>
          <t>Yes</t>
        </is>
      </c>
      <c r="D547" t="n">
        <v>0</v>
      </c>
      <c r="E547" t="inlineStr">
        <is>
          <t>Graduate</t>
        </is>
      </c>
      <c r="F547" t="inlineStr">
        <is>
          <t>No</t>
        </is>
      </c>
      <c r="G547" t="n">
        <v>2768</v>
      </c>
      <c r="H547" t="n">
        <v>1950</v>
      </c>
      <c r="I547" t="n">
        <v>155</v>
      </c>
      <c r="J547" t="n">
        <v>360</v>
      </c>
      <c r="K547" t="n">
        <v>1</v>
      </c>
      <c r="L547" t="inlineStr">
        <is>
          <t>Rural</t>
        </is>
      </c>
      <c r="M547" t="inlineStr">
        <is>
          <t>Y</t>
        </is>
      </c>
      <c r="N547" t="inlineStr">
        <is>
          <t>Lower Risk</t>
        </is>
      </c>
    </row>
    <row r="548">
      <c r="A548" t="inlineStr">
        <is>
          <t>LP002768</t>
        </is>
      </c>
      <c r="B548" t="inlineStr">
        <is>
          <t>Male</t>
        </is>
      </c>
      <c r="C548" t="inlineStr">
        <is>
          <t>No</t>
        </is>
      </c>
      <c r="D548" t="n">
        <v>0</v>
      </c>
      <c r="E548" t="inlineStr">
        <is>
          <t>Not Graduate</t>
        </is>
      </c>
      <c r="F548" t="inlineStr">
        <is>
          <t>No</t>
        </is>
      </c>
      <c r="G548" t="n">
        <v>3358</v>
      </c>
      <c r="H548" t="n">
        <v>0</v>
      </c>
      <c r="I548" t="n">
        <v>80</v>
      </c>
      <c r="J548" t="n">
        <v>36</v>
      </c>
      <c r="K548" t="n">
        <v>1</v>
      </c>
      <c r="L548" t="inlineStr">
        <is>
          <t>Semiurban</t>
        </is>
      </c>
      <c r="M548" t="inlineStr">
        <is>
          <t>N</t>
        </is>
      </c>
      <c r="N548" t="inlineStr">
        <is>
          <t>Medium Risk</t>
        </is>
      </c>
    </row>
    <row r="549">
      <c r="A549" t="inlineStr">
        <is>
          <t>LP002772</t>
        </is>
      </c>
      <c r="B549" t="inlineStr">
        <is>
          <t>Male</t>
        </is>
      </c>
      <c r="C549" t="inlineStr">
        <is>
          <t>No</t>
        </is>
      </c>
      <c r="D549" t="n">
        <v>0</v>
      </c>
      <c r="E549" t="inlineStr">
        <is>
          <t>Graduate</t>
        </is>
      </c>
      <c r="F549" t="inlineStr">
        <is>
          <t>No</t>
        </is>
      </c>
      <c r="G549" t="n">
        <v>2526</v>
      </c>
      <c r="H549" t="n">
        <v>1783</v>
      </c>
      <c r="I549" t="n">
        <v>145</v>
      </c>
      <c r="J549" t="n">
        <v>360</v>
      </c>
      <c r="K549" t="n">
        <v>1</v>
      </c>
      <c r="L549" t="inlineStr">
        <is>
          <t>Rural</t>
        </is>
      </c>
      <c r="M549" t="inlineStr">
        <is>
          <t>Y</t>
        </is>
      </c>
      <c r="N549" t="inlineStr">
        <is>
          <t>Lower Risk</t>
        </is>
      </c>
    </row>
    <row r="550">
      <c r="A550" t="inlineStr">
        <is>
          <t>LP002776</t>
        </is>
      </c>
      <c r="B550" t="inlineStr">
        <is>
          <t>Female</t>
        </is>
      </c>
      <c r="C550" t="inlineStr">
        <is>
          <t>No</t>
        </is>
      </c>
      <c r="D550" t="n">
        <v>0</v>
      </c>
      <c r="E550" t="inlineStr">
        <is>
          <t>Graduate</t>
        </is>
      </c>
      <c r="F550" t="inlineStr">
        <is>
          <t>No</t>
        </is>
      </c>
      <c r="G550" t="n">
        <v>5000</v>
      </c>
      <c r="H550" t="n">
        <v>0</v>
      </c>
      <c r="I550" t="n">
        <v>103</v>
      </c>
      <c r="J550" t="n">
        <v>360</v>
      </c>
      <c r="K550" t="n">
        <v>0</v>
      </c>
      <c r="L550" t="inlineStr">
        <is>
          <t>Semiurban</t>
        </is>
      </c>
      <c r="M550" t="inlineStr">
        <is>
          <t>N</t>
        </is>
      </c>
      <c r="N550" t="inlineStr">
        <is>
          <t>High Risk</t>
        </is>
      </c>
    </row>
    <row r="551">
      <c r="A551" t="inlineStr">
        <is>
          <t>LP002777</t>
        </is>
      </c>
      <c r="B551" t="inlineStr">
        <is>
          <t>Male</t>
        </is>
      </c>
      <c r="C551" t="inlineStr">
        <is>
          <t>Yes</t>
        </is>
      </c>
      <c r="D551" t="n">
        <v>0</v>
      </c>
      <c r="E551" t="inlineStr">
        <is>
          <t>Graduate</t>
        </is>
      </c>
      <c r="F551" t="inlineStr">
        <is>
          <t>No</t>
        </is>
      </c>
      <c r="G551" t="n">
        <v>2785</v>
      </c>
      <c r="H551" t="n">
        <v>2016</v>
      </c>
      <c r="I551" t="n">
        <v>110</v>
      </c>
      <c r="J551" t="n">
        <v>360</v>
      </c>
      <c r="K551" t="n">
        <v>1</v>
      </c>
      <c r="L551" t="inlineStr">
        <is>
          <t>Rural</t>
        </is>
      </c>
      <c r="M551" t="inlineStr">
        <is>
          <t>Y</t>
        </is>
      </c>
      <c r="N551" t="inlineStr">
        <is>
          <t>Lower Risk</t>
        </is>
      </c>
    </row>
    <row r="552">
      <c r="A552" t="inlineStr">
        <is>
          <t>LP002778</t>
        </is>
      </c>
      <c r="B552" t="inlineStr">
        <is>
          <t>Male</t>
        </is>
      </c>
      <c r="C552" t="inlineStr">
        <is>
          <t>Yes</t>
        </is>
      </c>
      <c r="D552" t="n">
        <v>2</v>
      </c>
      <c r="E552" t="inlineStr">
        <is>
          <t>Graduate</t>
        </is>
      </c>
      <c r="F552" t="inlineStr">
        <is>
          <t>Yes</t>
        </is>
      </c>
      <c r="G552" t="n">
        <v>6633</v>
      </c>
      <c r="H552" t="n">
        <v>0</v>
      </c>
      <c r="I552" t="n">
        <v/>
      </c>
      <c r="J552" t="n">
        <v>360</v>
      </c>
      <c r="K552" t="n">
        <v>0</v>
      </c>
      <c r="L552" t="inlineStr">
        <is>
          <t>Rural</t>
        </is>
      </c>
      <c r="M552" t="inlineStr">
        <is>
          <t>N</t>
        </is>
      </c>
      <c r="N552" t="inlineStr">
        <is>
          <t>High Risk</t>
        </is>
      </c>
    </row>
    <row r="553">
      <c r="A553" t="inlineStr">
        <is>
          <t>LP002784</t>
        </is>
      </c>
      <c r="B553" t="inlineStr">
        <is>
          <t>Male</t>
        </is>
      </c>
      <c r="C553" t="inlineStr">
        <is>
          <t>Yes</t>
        </is>
      </c>
      <c r="D553" t="n">
        <v>1</v>
      </c>
      <c r="E553" t="inlineStr">
        <is>
          <t>Not Graduate</t>
        </is>
      </c>
      <c r="F553" t="inlineStr">
        <is>
          <t>No</t>
        </is>
      </c>
      <c r="G553" t="n">
        <v>2492</v>
      </c>
      <c r="H553" t="n">
        <v>2375</v>
      </c>
      <c r="I553" t="n">
        <v/>
      </c>
      <c r="J553" t="n">
        <v>360</v>
      </c>
      <c r="K553" t="n">
        <v>1</v>
      </c>
      <c r="L553" t="inlineStr">
        <is>
          <t>Rural</t>
        </is>
      </c>
      <c r="M553" t="inlineStr">
        <is>
          <t>Y</t>
        </is>
      </c>
      <c r="N553" t="inlineStr">
        <is>
          <t>Lower Risk</t>
        </is>
      </c>
    </row>
    <row r="554">
      <c r="A554" t="inlineStr">
        <is>
          <t>LP002785</t>
        </is>
      </c>
      <c r="B554" t="inlineStr">
        <is>
          <t>Male</t>
        </is>
      </c>
      <c r="C554" t="inlineStr">
        <is>
          <t>Yes</t>
        </is>
      </c>
      <c r="D554" t="n">
        <v>1</v>
      </c>
      <c r="E554" t="inlineStr">
        <is>
          <t>Graduate</t>
        </is>
      </c>
      <c r="F554" t="inlineStr">
        <is>
          <t>No</t>
        </is>
      </c>
      <c r="G554" t="n">
        <v>3333</v>
      </c>
      <c r="H554" t="n">
        <v>3250</v>
      </c>
      <c r="I554" t="n">
        <v>158</v>
      </c>
      <c r="J554" t="n">
        <v>360</v>
      </c>
      <c r="K554" t="n">
        <v>1</v>
      </c>
      <c r="L554" t="inlineStr">
        <is>
          <t>Urban</t>
        </is>
      </c>
      <c r="M554" t="inlineStr">
        <is>
          <t>Y</t>
        </is>
      </c>
      <c r="N554" t="inlineStr">
        <is>
          <t>Lower Risk</t>
        </is>
      </c>
    </row>
    <row r="555">
      <c r="A555" t="inlineStr">
        <is>
          <t>LP002788</t>
        </is>
      </c>
      <c r="B555" t="inlineStr">
        <is>
          <t>Male</t>
        </is>
      </c>
      <c r="C555" t="inlineStr">
        <is>
          <t>Yes</t>
        </is>
      </c>
      <c r="D555" t="n">
        <v>0</v>
      </c>
      <c r="E555" t="inlineStr">
        <is>
          <t>Not Graduate</t>
        </is>
      </c>
      <c r="F555" t="inlineStr">
        <is>
          <t>No</t>
        </is>
      </c>
      <c r="G555" t="n">
        <v>2454</v>
      </c>
      <c r="H555" t="n">
        <v>2333</v>
      </c>
      <c r="I555" t="n">
        <v>181</v>
      </c>
      <c r="J555" t="n">
        <v>360</v>
      </c>
      <c r="K555" t="n">
        <v>0</v>
      </c>
      <c r="L555" t="inlineStr">
        <is>
          <t>Urban</t>
        </is>
      </c>
      <c r="M555" t="inlineStr">
        <is>
          <t>N</t>
        </is>
      </c>
      <c r="N555" t="inlineStr">
        <is>
          <t>High Risk</t>
        </is>
      </c>
    </row>
    <row r="556">
      <c r="A556" t="inlineStr">
        <is>
          <t>LP002789</t>
        </is>
      </c>
      <c r="B556" t="inlineStr">
        <is>
          <t>Male</t>
        </is>
      </c>
      <c r="C556" t="inlineStr">
        <is>
          <t>Yes</t>
        </is>
      </c>
      <c r="D556" t="n">
        <v>0</v>
      </c>
      <c r="E556" t="inlineStr">
        <is>
          <t>Graduate</t>
        </is>
      </c>
      <c r="F556" t="inlineStr">
        <is>
          <t>No</t>
        </is>
      </c>
      <c r="G556" t="n">
        <v>3593</v>
      </c>
      <c r="H556" t="n">
        <v>4266</v>
      </c>
      <c r="I556" t="n">
        <v>132</v>
      </c>
      <c r="J556" t="n">
        <v>180</v>
      </c>
      <c r="K556" t="n">
        <v>0</v>
      </c>
      <c r="L556" t="inlineStr">
        <is>
          <t>Rural</t>
        </is>
      </c>
      <c r="M556" t="inlineStr">
        <is>
          <t>N</t>
        </is>
      </c>
      <c r="N556" t="inlineStr">
        <is>
          <t>High Risk</t>
        </is>
      </c>
    </row>
    <row r="557">
      <c r="A557" t="inlineStr">
        <is>
          <t>LP002792</t>
        </is>
      </c>
      <c r="B557" t="inlineStr">
        <is>
          <t>Male</t>
        </is>
      </c>
      <c r="C557" t="inlineStr">
        <is>
          <t>Yes</t>
        </is>
      </c>
      <c r="D557" t="n">
        <v>1</v>
      </c>
      <c r="E557" t="inlineStr">
        <is>
          <t>Graduate</t>
        </is>
      </c>
      <c r="F557" t="inlineStr">
        <is>
          <t>No</t>
        </is>
      </c>
      <c r="G557" t="n">
        <v>5468</v>
      </c>
      <c r="H557" t="n">
        <v>1032</v>
      </c>
      <c r="I557" t="n">
        <v>26</v>
      </c>
      <c r="J557" t="n">
        <v>360</v>
      </c>
      <c r="K557" t="n">
        <v>1</v>
      </c>
      <c r="L557" t="inlineStr">
        <is>
          <t>Semiurban</t>
        </is>
      </c>
      <c r="M557" t="inlineStr">
        <is>
          <t>Y</t>
        </is>
      </c>
      <c r="N557" t="inlineStr">
        <is>
          <t>Lower Risk</t>
        </is>
      </c>
    </row>
    <row r="558">
      <c r="A558" t="inlineStr">
        <is>
          <t>LP002794</t>
        </is>
      </c>
      <c r="B558" t="inlineStr">
        <is>
          <t>Female</t>
        </is>
      </c>
      <c r="C558" t="inlineStr">
        <is>
          <t>No</t>
        </is>
      </c>
      <c r="D558" t="n">
        <v>0</v>
      </c>
      <c r="E558" t="inlineStr">
        <is>
          <t>Graduate</t>
        </is>
      </c>
      <c r="F558" t="inlineStr">
        <is>
          <t>No</t>
        </is>
      </c>
      <c r="G558" t="n">
        <v>2667</v>
      </c>
      <c r="H558" t="n">
        <v>1625</v>
      </c>
      <c r="I558" t="n">
        <v>84</v>
      </c>
      <c r="J558" t="n">
        <v>360</v>
      </c>
      <c r="K558" t="n">
        <v/>
      </c>
      <c r="L558" t="inlineStr">
        <is>
          <t>Urban</t>
        </is>
      </c>
      <c r="M558" t="inlineStr">
        <is>
          <t>Y</t>
        </is>
      </c>
      <c r="N558" t="inlineStr">
        <is>
          <t>Medium Risk</t>
        </is>
      </c>
    </row>
    <row r="559">
      <c r="A559" t="inlineStr">
        <is>
          <t>LP002795</t>
        </is>
      </c>
      <c r="B559" t="inlineStr">
        <is>
          <t>Male</t>
        </is>
      </c>
      <c r="C559" t="inlineStr">
        <is>
          <t>Yes</t>
        </is>
      </c>
      <c r="D559" t="inlineStr">
        <is>
          <t>3+</t>
        </is>
      </c>
      <c r="E559" t="inlineStr">
        <is>
          <t>Graduate</t>
        </is>
      </c>
      <c r="F559" t="inlineStr">
        <is>
          <t>Yes</t>
        </is>
      </c>
      <c r="G559" t="n">
        <v>10139</v>
      </c>
      <c r="H559" t="n">
        <v>0</v>
      </c>
      <c r="I559" t="n">
        <v>260</v>
      </c>
      <c r="J559" t="n">
        <v>360</v>
      </c>
      <c r="K559" t="n">
        <v>1</v>
      </c>
      <c r="L559" t="inlineStr">
        <is>
          <t>Semiurban</t>
        </is>
      </c>
      <c r="M559" t="inlineStr">
        <is>
          <t>Y</t>
        </is>
      </c>
      <c r="N559" t="inlineStr">
        <is>
          <t>Lower Risk</t>
        </is>
      </c>
    </row>
    <row r="560">
      <c r="A560" t="inlineStr">
        <is>
          <t>LP002798</t>
        </is>
      </c>
      <c r="B560" t="inlineStr">
        <is>
          <t>Male</t>
        </is>
      </c>
      <c r="C560" t="inlineStr">
        <is>
          <t>Yes</t>
        </is>
      </c>
      <c r="D560" t="n">
        <v>0</v>
      </c>
      <c r="E560" t="inlineStr">
        <is>
          <t>Graduate</t>
        </is>
      </c>
      <c r="F560" t="inlineStr">
        <is>
          <t>No</t>
        </is>
      </c>
      <c r="G560" t="n">
        <v>3887</v>
      </c>
      <c r="H560" t="n">
        <v>2669</v>
      </c>
      <c r="I560" t="n">
        <v>162</v>
      </c>
      <c r="J560" t="n">
        <v>360</v>
      </c>
      <c r="K560" t="n">
        <v>1</v>
      </c>
      <c r="L560" t="inlineStr">
        <is>
          <t>Semiurban</t>
        </is>
      </c>
      <c r="M560" t="inlineStr">
        <is>
          <t>Y</t>
        </is>
      </c>
      <c r="N560" t="inlineStr">
        <is>
          <t>Lower Risk</t>
        </is>
      </c>
    </row>
    <row r="561">
      <c r="A561" t="inlineStr">
        <is>
          <t>LP002804</t>
        </is>
      </c>
      <c r="B561" t="inlineStr">
        <is>
          <t>Female</t>
        </is>
      </c>
      <c r="C561" t="inlineStr">
        <is>
          <t>Yes</t>
        </is>
      </c>
      <c r="D561" t="n">
        <v>0</v>
      </c>
      <c r="E561" t="inlineStr">
        <is>
          <t>Graduate</t>
        </is>
      </c>
      <c r="F561" t="inlineStr">
        <is>
          <t>No</t>
        </is>
      </c>
      <c r="G561" t="n">
        <v>4180</v>
      </c>
      <c r="H561" t="n">
        <v>2306</v>
      </c>
      <c r="I561" t="n">
        <v>182</v>
      </c>
      <c r="J561" t="n">
        <v>360</v>
      </c>
      <c r="K561" t="n">
        <v>1</v>
      </c>
      <c r="L561" t="inlineStr">
        <is>
          <t>Semiurban</t>
        </is>
      </c>
      <c r="M561" t="inlineStr">
        <is>
          <t>Y</t>
        </is>
      </c>
      <c r="N561" t="inlineStr">
        <is>
          <t>Lower Risk</t>
        </is>
      </c>
    </row>
    <row r="562">
      <c r="A562" t="inlineStr">
        <is>
          <t>LP002807</t>
        </is>
      </c>
      <c r="B562" t="inlineStr">
        <is>
          <t>Male</t>
        </is>
      </c>
      <c r="C562" t="inlineStr">
        <is>
          <t>Yes</t>
        </is>
      </c>
      <c r="D562" t="n">
        <v>2</v>
      </c>
      <c r="E562" t="inlineStr">
        <is>
          <t>Not Graduate</t>
        </is>
      </c>
      <c r="F562" t="inlineStr">
        <is>
          <t>No</t>
        </is>
      </c>
      <c r="G562" t="n">
        <v>3675</v>
      </c>
      <c r="H562" t="n">
        <v>242</v>
      </c>
      <c r="I562" t="n">
        <v>108</v>
      </c>
      <c r="J562" t="n">
        <v>360</v>
      </c>
      <c r="K562" t="n">
        <v>1</v>
      </c>
      <c r="L562" t="inlineStr">
        <is>
          <t>Semiurban</t>
        </is>
      </c>
      <c r="M562" t="inlineStr">
        <is>
          <t>Y</t>
        </is>
      </c>
      <c r="N562" t="inlineStr">
        <is>
          <t>Lower Risk</t>
        </is>
      </c>
    </row>
    <row r="563">
      <c r="A563" t="inlineStr">
        <is>
          <t>LP002813</t>
        </is>
      </c>
      <c r="B563" t="inlineStr">
        <is>
          <t>Female</t>
        </is>
      </c>
      <c r="C563" t="inlineStr">
        <is>
          <t>Yes</t>
        </is>
      </c>
      <c r="D563" t="n">
        <v>1</v>
      </c>
      <c r="E563" t="inlineStr">
        <is>
          <t>Graduate</t>
        </is>
      </c>
      <c r="F563" t="inlineStr">
        <is>
          <t>Yes</t>
        </is>
      </c>
      <c r="G563" t="n">
        <v>19484</v>
      </c>
      <c r="H563" t="n">
        <v>0</v>
      </c>
      <c r="I563" t="n">
        <v>600</v>
      </c>
      <c r="J563" t="n">
        <v>360</v>
      </c>
      <c r="K563" t="n">
        <v>1</v>
      </c>
      <c r="L563" t="inlineStr">
        <is>
          <t>Semiurban</t>
        </is>
      </c>
      <c r="M563" t="inlineStr">
        <is>
          <t>Y</t>
        </is>
      </c>
      <c r="N563" t="inlineStr">
        <is>
          <t>Lower Risk</t>
        </is>
      </c>
    </row>
    <row r="564">
      <c r="A564" t="inlineStr">
        <is>
          <t>LP002820</t>
        </is>
      </c>
      <c r="B564" t="inlineStr">
        <is>
          <t>Male</t>
        </is>
      </c>
      <c r="C564" t="inlineStr">
        <is>
          <t>Yes</t>
        </is>
      </c>
      <c r="D564" t="n">
        <v>0</v>
      </c>
      <c r="E564" t="inlineStr">
        <is>
          <t>Graduate</t>
        </is>
      </c>
      <c r="F564" t="inlineStr">
        <is>
          <t>No</t>
        </is>
      </c>
      <c r="G564" t="n">
        <v>5923</v>
      </c>
      <c r="H564" t="n">
        <v>2054</v>
      </c>
      <c r="I564" t="n">
        <v>211</v>
      </c>
      <c r="J564" t="n">
        <v>360</v>
      </c>
      <c r="K564" t="n">
        <v>1</v>
      </c>
      <c r="L564" t="inlineStr">
        <is>
          <t>Rural</t>
        </is>
      </c>
      <c r="M564" t="inlineStr">
        <is>
          <t>Y</t>
        </is>
      </c>
      <c r="N564" t="inlineStr">
        <is>
          <t>Lower Risk</t>
        </is>
      </c>
    </row>
    <row r="565">
      <c r="A565" t="inlineStr">
        <is>
          <t>LP002821</t>
        </is>
      </c>
      <c r="B565" t="inlineStr">
        <is>
          <t>Male</t>
        </is>
      </c>
      <c r="C565" t="inlineStr">
        <is>
          <t>No</t>
        </is>
      </c>
      <c r="D565" t="n">
        <v>0</v>
      </c>
      <c r="E565" t="inlineStr">
        <is>
          <t>Not Graduate</t>
        </is>
      </c>
      <c r="F565" t="inlineStr">
        <is>
          <t>Yes</t>
        </is>
      </c>
      <c r="G565" t="n">
        <v>5800</v>
      </c>
      <c r="H565" t="n">
        <v>0</v>
      </c>
      <c r="I565" t="n">
        <v>132</v>
      </c>
      <c r="J565" t="n">
        <v>360</v>
      </c>
      <c r="K565" t="n">
        <v>1</v>
      </c>
      <c r="L565" t="inlineStr">
        <is>
          <t>Semiurban</t>
        </is>
      </c>
      <c r="M565" t="inlineStr">
        <is>
          <t>Y</t>
        </is>
      </c>
      <c r="N565" t="inlineStr">
        <is>
          <t>Lower Risk</t>
        </is>
      </c>
    </row>
    <row r="566">
      <c r="A566" t="inlineStr">
        <is>
          <t>LP002832</t>
        </is>
      </c>
      <c r="B566" t="inlineStr">
        <is>
          <t>Male</t>
        </is>
      </c>
      <c r="C566" t="inlineStr">
        <is>
          <t>Yes</t>
        </is>
      </c>
      <c r="D566" t="n">
        <v>2</v>
      </c>
      <c r="E566" t="inlineStr">
        <is>
          <t>Graduate</t>
        </is>
      </c>
      <c r="F566" t="inlineStr">
        <is>
          <t>No</t>
        </is>
      </c>
      <c r="G566" t="n">
        <v>8799</v>
      </c>
      <c r="H566" t="n">
        <v>0</v>
      </c>
      <c r="I566" t="n">
        <v>258</v>
      </c>
      <c r="J566" t="n">
        <v>360</v>
      </c>
      <c r="K566" t="n">
        <v>0</v>
      </c>
      <c r="L566" t="inlineStr">
        <is>
          <t>Urban</t>
        </is>
      </c>
      <c r="M566" t="inlineStr">
        <is>
          <t>N</t>
        </is>
      </c>
      <c r="N566" t="inlineStr">
        <is>
          <t>High Risk</t>
        </is>
      </c>
    </row>
    <row r="567">
      <c r="A567" t="inlineStr">
        <is>
          <t>LP002833</t>
        </is>
      </c>
      <c r="B567" t="inlineStr">
        <is>
          <t>Male</t>
        </is>
      </c>
      <c r="C567" t="inlineStr">
        <is>
          <t>Yes</t>
        </is>
      </c>
      <c r="D567" t="n">
        <v>0</v>
      </c>
      <c r="E567" t="inlineStr">
        <is>
          <t>Not Graduate</t>
        </is>
      </c>
      <c r="F567" t="inlineStr">
        <is>
          <t>No</t>
        </is>
      </c>
      <c r="G567" t="n">
        <v>4467</v>
      </c>
      <c r="H567" t="n">
        <v>0</v>
      </c>
      <c r="I567" t="n">
        <v>120</v>
      </c>
      <c r="J567" t="n">
        <v>360</v>
      </c>
      <c r="K567" t="n">
        <v/>
      </c>
      <c r="L567" t="inlineStr">
        <is>
          <t>Rural</t>
        </is>
      </c>
      <c r="M567" t="inlineStr">
        <is>
          <t>Y</t>
        </is>
      </c>
      <c r="N567" t="inlineStr">
        <is>
          <t>Medium Risk</t>
        </is>
      </c>
    </row>
    <row r="568">
      <c r="A568" t="inlineStr">
        <is>
          <t>LP002836</t>
        </is>
      </c>
      <c r="B568" t="inlineStr">
        <is>
          <t>Male</t>
        </is>
      </c>
      <c r="C568" t="inlineStr">
        <is>
          <t>No</t>
        </is>
      </c>
      <c r="D568" t="n">
        <v>0</v>
      </c>
      <c r="E568" t="inlineStr">
        <is>
          <t>Graduate</t>
        </is>
      </c>
      <c r="F568" t="inlineStr">
        <is>
          <t>No</t>
        </is>
      </c>
      <c r="G568" t="n">
        <v>3333</v>
      </c>
      <c r="H568" t="n">
        <v>0</v>
      </c>
      <c r="I568" t="n">
        <v>70</v>
      </c>
      <c r="J568" t="n">
        <v>360</v>
      </c>
      <c r="K568" t="n">
        <v>1</v>
      </c>
      <c r="L568" t="inlineStr">
        <is>
          <t>Urban</t>
        </is>
      </c>
      <c r="M568" t="inlineStr">
        <is>
          <t>Y</t>
        </is>
      </c>
      <c r="N568" t="inlineStr">
        <is>
          <t>Lower Risk</t>
        </is>
      </c>
    </row>
    <row r="569">
      <c r="A569" t="inlineStr">
        <is>
          <t>LP002837</t>
        </is>
      </c>
      <c r="B569" t="inlineStr">
        <is>
          <t>Male</t>
        </is>
      </c>
      <c r="C569" t="inlineStr">
        <is>
          <t>Yes</t>
        </is>
      </c>
      <c r="D569" t="inlineStr">
        <is>
          <t>3+</t>
        </is>
      </c>
      <c r="E569" t="inlineStr">
        <is>
          <t>Graduate</t>
        </is>
      </c>
      <c r="F569" t="inlineStr">
        <is>
          <t>No</t>
        </is>
      </c>
      <c r="G569" t="n">
        <v>3400</v>
      </c>
      <c r="H569" t="n">
        <v>2500</v>
      </c>
      <c r="I569" t="n">
        <v>123</v>
      </c>
      <c r="J569" t="n">
        <v>360</v>
      </c>
      <c r="K569" t="n">
        <v>0</v>
      </c>
      <c r="L569" t="inlineStr">
        <is>
          <t>Rural</t>
        </is>
      </c>
      <c r="M569" t="inlineStr">
        <is>
          <t>N</t>
        </is>
      </c>
      <c r="N569" t="inlineStr">
        <is>
          <t>High Risk</t>
        </is>
      </c>
    </row>
    <row r="570">
      <c r="A570" t="inlineStr">
        <is>
          <t>LP002840</t>
        </is>
      </c>
      <c r="B570" t="inlineStr">
        <is>
          <t>Female</t>
        </is>
      </c>
      <c r="C570" t="inlineStr">
        <is>
          <t>No</t>
        </is>
      </c>
      <c r="D570" t="n">
        <v>0</v>
      </c>
      <c r="E570" t="inlineStr">
        <is>
          <t>Graduate</t>
        </is>
      </c>
      <c r="F570" t="inlineStr">
        <is>
          <t>No</t>
        </is>
      </c>
      <c r="G570" t="n">
        <v>2378</v>
      </c>
      <c r="H570" t="n">
        <v>0</v>
      </c>
      <c r="I570" t="n">
        <v>9</v>
      </c>
      <c r="J570" t="n">
        <v>360</v>
      </c>
      <c r="K570" t="n">
        <v>1</v>
      </c>
      <c r="L570" t="inlineStr">
        <is>
          <t>Urban</t>
        </is>
      </c>
      <c r="M570" t="inlineStr">
        <is>
          <t>N</t>
        </is>
      </c>
      <c r="N570" t="inlineStr">
        <is>
          <t>Medium Risk</t>
        </is>
      </c>
    </row>
    <row r="571">
      <c r="A571" t="inlineStr">
        <is>
          <t>LP002841</t>
        </is>
      </c>
      <c r="B571" t="inlineStr">
        <is>
          <t>Male</t>
        </is>
      </c>
      <c r="C571" t="inlineStr">
        <is>
          <t>Yes</t>
        </is>
      </c>
      <c r="D571" t="n">
        <v>0</v>
      </c>
      <c r="E571" t="inlineStr">
        <is>
          <t>Graduate</t>
        </is>
      </c>
      <c r="F571" t="inlineStr">
        <is>
          <t>No</t>
        </is>
      </c>
      <c r="G571" t="n">
        <v>3166</v>
      </c>
      <c r="H571" t="n">
        <v>2064</v>
      </c>
      <c r="I571" t="n">
        <v>104</v>
      </c>
      <c r="J571" t="n">
        <v>360</v>
      </c>
      <c r="K571" t="n">
        <v>0</v>
      </c>
      <c r="L571" t="inlineStr">
        <is>
          <t>Urban</t>
        </is>
      </c>
      <c r="M571" t="inlineStr">
        <is>
          <t>N</t>
        </is>
      </c>
      <c r="N571" t="inlineStr">
        <is>
          <t>High Risk</t>
        </is>
      </c>
    </row>
    <row r="572">
      <c r="A572" t="inlineStr">
        <is>
          <t>LP002842</t>
        </is>
      </c>
      <c r="B572" t="inlineStr">
        <is>
          <t>Male</t>
        </is>
      </c>
      <c r="C572" t="inlineStr">
        <is>
          <t>Yes</t>
        </is>
      </c>
      <c r="D572" t="n">
        <v>1</v>
      </c>
      <c r="E572" t="inlineStr">
        <is>
          <t>Graduate</t>
        </is>
      </c>
      <c r="F572" t="inlineStr">
        <is>
          <t>No</t>
        </is>
      </c>
      <c r="G572" t="n">
        <v>3417</v>
      </c>
      <c r="H572" t="n">
        <v>1750</v>
      </c>
      <c r="I572" t="n">
        <v>186</v>
      </c>
      <c r="J572" t="n">
        <v>360</v>
      </c>
      <c r="K572" t="n">
        <v>1</v>
      </c>
      <c r="L572" t="inlineStr">
        <is>
          <t>Urban</t>
        </is>
      </c>
      <c r="M572" t="inlineStr">
        <is>
          <t>Y</t>
        </is>
      </c>
      <c r="N572" t="inlineStr">
        <is>
          <t>Lower Risk</t>
        </is>
      </c>
    </row>
    <row r="573">
      <c r="A573" t="inlineStr">
        <is>
          <t>LP002847</t>
        </is>
      </c>
      <c r="B573" t="inlineStr">
        <is>
          <t>Male</t>
        </is>
      </c>
      <c r="C573" t="inlineStr">
        <is>
          <t>Yes</t>
        </is>
      </c>
      <c r="D573" t="n">
        <v/>
      </c>
      <c r="E573" t="inlineStr">
        <is>
          <t>Graduate</t>
        </is>
      </c>
      <c r="F573" t="inlineStr">
        <is>
          <t>No</t>
        </is>
      </c>
      <c r="G573" t="n">
        <v>5116</v>
      </c>
      <c r="H573" t="n">
        <v>1451</v>
      </c>
      <c r="I573" t="n">
        <v>165</v>
      </c>
      <c r="J573" t="n">
        <v>360</v>
      </c>
      <c r="K573" t="n">
        <v>0</v>
      </c>
      <c r="L573" t="inlineStr">
        <is>
          <t>Urban</t>
        </is>
      </c>
      <c r="M573" t="inlineStr">
        <is>
          <t>N</t>
        </is>
      </c>
      <c r="N573" t="inlineStr">
        <is>
          <t>High Risk</t>
        </is>
      </c>
    </row>
    <row r="574">
      <c r="A574" t="inlineStr">
        <is>
          <t>LP002855</t>
        </is>
      </c>
      <c r="B574" t="inlineStr">
        <is>
          <t>Male</t>
        </is>
      </c>
      <c r="C574" t="inlineStr">
        <is>
          <t>Yes</t>
        </is>
      </c>
      <c r="D574" t="n">
        <v>2</v>
      </c>
      <c r="E574" t="inlineStr">
        <is>
          <t>Graduate</t>
        </is>
      </c>
      <c r="F574" t="inlineStr">
        <is>
          <t>No</t>
        </is>
      </c>
      <c r="G574" t="n">
        <v>16666</v>
      </c>
      <c r="H574" t="n">
        <v>0</v>
      </c>
      <c r="I574" t="n">
        <v>275</v>
      </c>
      <c r="J574" t="n">
        <v>360</v>
      </c>
      <c r="K574" t="n">
        <v>1</v>
      </c>
      <c r="L574" t="inlineStr">
        <is>
          <t>Urban</t>
        </is>
      </c>
      <c r="M574" t="inlineStr">
        <is>
          <t>Y</t>
        </is>
      </c>
      <c r="N574" t="inlineStr">
        <is>
          <t>Lower Risk</t>
        </is>
      </c>
    </row>
    <row r="575">
      <c r="A575" t="inlineStr">
        <is>
          <t>LP002862</t>
        </is>
      </c>
      <c r="B575" t="inlineStr">
        <is>
          <t>Male</t>
        </is>
      </c>
      <c r="C575" t="inlineStr">
        <is>
          <t>Yes</t>
        </is>
      </c>
      <c r="D575" t="n">
        <v>2</v>
      </c>
      <c r="E575" t="inlineStr">
        <is>
          <t>Not Graduate</t>
        </is>
      </c>
      <c r="F575" t="inlineStr">
        <is>
          <t>No</t>
        </is>
      </c>
      <c r="G575" t="n">
        <v>6125</v>
      </c>
      <c r="H575" t="n">
        <v>1625</v>
      </c>
      <c r="I575" t="n">
        <v>187</v>
      </c>
      <c r="J575" t="n">
        <v>480</v>
      </c>
      <c r="K575" t="n">
        <v>1</v>
      </c>
      <c r="L575" t="inlineStr">
        <is>
          <t>Semiurban</t>
        </is>
      </c>
      <c r="M575" t="inlineStr">
        <is>
          <t>N</t>
        </is>
      </c>
      <c r="N575" t="inlineStr">
        <is>
          <t>Medium Risk</t>
        </is>
      </c>
    </row>
    <row r="576">
      <c r="A576" t="inlineStr">
        <is>
          <t>LP002863</t>
        </is>
      </c>
      <c r="B576" t="inlineStr">
        <is>
          <t>Male</t>
        </is>
      </c>
      <c r="C576" t="inlineStr">
        <is>
          <t>Yes</t>
        </is>
      </c>
      <c r="D576" t="inlineStr">
        <is>
          <t>3+</t>
        </is>
      </c>
      <c r="E576" t="inlineStr">
        <is>
          <t>Graduate</t>
        </is>
      </c>
      <c r="F576" t="inlineStr">
        <is>
          <t>No</t>
        </is>
      </c>
      <c r="G576" t="n">
        <v>6406</v>
      </c>
      <c r="H576" t="n">
        <v>0</v>
      </c>
      <c r="I576" t="n">
        <v>150</v>
      </c>
      <c r="J576" t="n">
        <v>360</v>
      </c>
      <c r="K576" t="n">
        <v>1</v>
      </c>
      <c r="L576" t="inlineStr">
        <is>
          <t>Semiurban</t>
        </is>
      </c>
      <c r="M576" t="inlineStr">
        <is>
          <t>N</t>
        </is>
      </c>
      <c r="N576" t="inlineStr">
        <is>
          <t>Medium Risk</t>
        </is>
      </c>
    </row>
    <row r="577">
      <c r="A577" t="inlineStr">
        <is>
          <t>LP002868</t>
        </is>
      </c>
      <c r="B577" t="inlineStr">
        <is>
          <t>Male</t>
        </is>
      </c>
      <c r="C577" t="inlineStr">
        <is>
          <t>Yes</t>
        </is>
      </c>
      <c r="D577" t="n">
        <v>2</v>
      </c>
      <c r="E577" t="inlineStr">
        <is>
          <t>Graduate</t>
        </is>
      </c>
      <c r="F577" t="inlineStr">
        <is>
          <t>No</t>
        </is>
      </c>
      <c r="G577" t="n">
        <v>3159</v>
      </c>
      <c r="H577" t="n">
        <v>461</v>
      </c>
      <c r="I577" t="n">
        <v>108</v>
      </c>
      <c r="J577" t="n">
        <v>84</v>
      </c>
      <c r="K577" t="n">
        <v>1</v>
      </c>
      <c r="L577" t="inlineStr">
        <is>
          <t>Urban</t>
        </is>
      </c>
      <c r="M577" t="inlineStr">
        <is>
          <t>Y</t>
        </is>
      </c>
      <c r="N577" t="inlineStr">
        <is>
          <t>Lower Risk</t>
        </is>
      </c>
    </row>
    <row r="578">
      <c r="A578" t="inlineStr">
        <is>
          <t>LP002872</t>
        </is>
      </c>
      <c r="B578" t="n">
        <v/>
      </c>
      <c r="C578" t="inlineStr">
        <is>
          <t>Yes</t>
        </is>
      </c>
      <c r="D578" t="n">
        <v>0</v>
      </c>
      <c r="E578" t="inlineStr">
        <is>
          <t>Graduate</t>
        </is>
      </c>
      <c r="F578" t="inlineStr">
        <is>
          <t>No</t>
        </is>
      </c>
      <c r="G578" t="n">
        <v>3087</v>
      </c>
      <c r="H578" t="n">
        <v>2210</v>
      </c>
      <c r="I578" t="n">
        <v>136</v>
      </c>
      <c r="J578" t="n">
        <v>360</v>
      </c>
      <c r="K578" t="n">
        <v>0</v>
      </c>
      <c r="L578" t="inlineStr">
        <is>
          <t>Semiurban</t>
        </is>
      </c>
      <c r="M578" t="inlineStr">
        <is>
          <t>N</t>
        </is>
      </c>
      <c r="N578" t="inlineStr">
        <is>
          <t>High Risk</t>
        </is>
      </c>
    </row>
    <row r="579">
      <c r="A579" t="inlineStr">
        <is>
          <t>LP002874</t>
        </is>
      </c>
      <c r="B579" t="inlineStr">
        <is>
          <t>Male</t>
        </is>
      </c>
      <c r="C579" t="inlineStr">
        <is>
          <t>No</t>
        </is>
      </c>
      <c r="D579" t="n">
        <v>0</v>
      </c>
      <c r="E579" t="inlineStr">
        <is>
          <t>Graduate</t>
        </is>
      </c>
      <c r="F579" t="inlineStr">
        <is>
          <t>No</t>
        </is>
      </c>
      <c r="G579" t="n">
        <v>3229</v>
      </c>
      <c r="H579" t="n">
        <v>2739</v>
      </c>
      <c r="I579" t="n">
        <v>110</v>
      </c>
      <c r="J579" t="n">
        <v>360</v>
      </c>
      <c r="K579" t="n">
        <v>1</v>
      </c>
      <c r="L579" t="inlineStr">
        <is>
          <t>Urban</t>
        </is>
      </c>
      <c r="M579" t="inlineStr">
        <is>
          <t>Y</t>
        </is>
      </c>
      <c r="N579" t="inlineStr">
        <is>
          <t>Lower Risk</t>
        </is>
      </c>
    </row>
    <row r="580">
      <c r="A580" t="inlineStr">
        <is>
          <t>LP002877</t>
        </is>
      </c>
      <c r="B580" t="inlineStr">
        <is>
          <t>Male</t>
        </is>
      </c>
      <c r="C580" t="inlineStr">
        <is>
          <t>Yes</t>
        </is>
      </c>
      <c r="D580" t="n">
        <v>1</v>
      </c>
      <c r="E580" t="inlineStr">
        <is>
          <t>Graduate</t>
        </is>
      </c>
      <c r="F580" t="inlineStr">
        <is>
          <t>No</t>
        </is>
      </c>
      <c r="G580" t="n">
        <v>1782</v>
      </c>
      <c r="H580" t="n">
        <v>2232</v>
      </c>
      <c r="I580" t="n">
        <v>107</v>
      </c>
      <c r="J580" t="n">
        <v>360</v>
      </c>
      <c r="K580" t="n">
        <v>1</v>
      </c>
      <c r="L580" t="inlineStr">
        <is>
          <t>Rural</t>
        </is>
      </c>
      <c r="M580" t="inlineStr">
        <is>
          <t>Y</t>
        </is>
      </c>
      <c r="N580" t="inlineStr">
        <is>
          <t>Lower Risk</t>
        </is>
      </c>
    </row>
    <row r="581">
      <c r="A581" t="inlineStr">
        <is>
          <t>LP002888</t>
        </is>
      </c>
      <c r="B581" t="inlineStr">
        <is>
          <t>Male</t>
        </is>
      </c>
      <c r="C581" t="inlineStr">
        <is>
          <t>No</t>
        </is>
      </c>
      <c r="D581" t="n">
        <v>0</v>
      </c>
      <c r="E581" t="inlineStr">
        <is>
          <t>Graduate</t>
        </is>
      </c>
      <c r="F581" t="n">
        <v/>
      </c>
      <c r="G581" t="n">
        <v>3182</v>
      </c>
      <c r="H581" t="n">
        <v>2917</v>
      </c>
      <c r="I581" t="n">
        <v>161</v>
      </c>
      <c r="J581" t="n">
        <v>360</v>
      </c>
      <c r="K581" t="n">
        <v>1</v>
      </c>
      <c r="L581" t="inlineStr">
        <is>
          <t>Urban</t>
        </is>
      </c>
      <c r="M581" t="inlineStr">
        <is>
          <t>Y</t>
        </is>
      </c>
      <c r="N581" t="inlineStr">
        <is>
          <t>Lower Risk</t>
        </is>
      </c>
    </row>
    <row r="582">
      <c r="A582" t="inlineStr">
        <is>
          <t>LP002892</t>
        </is>
      </c>
      <c r="B582" t="inlineStr">
        <is>
          <t>Male</t>
        </is>
      </c>
      <c r="C582" t="inlineStr">
        <is>
          <t>Yes</t>
        </is>
      </c>
      <c r="D582" t="n">
        <v>2</v>
      </c>
      <c r="E582" t="inlineStr">
        <is>
          <t>Graduate</t>
        </is>
      </c>
      <c r="F582" t="inlineStr">
        <is>
          <t>No</t>
        </is>
      </c>
      <c r="G582" t="n">
        <v>6540</v>
      </c>
      <c r="H582" t="n">
        <v>0</v>
      </c>
      <c r="I582" t="n">
        <v>205</v>
      </c>
      <c r="J582" t="n">
        <v>360</v>
      </c>
      <c r="K582" t="n">
        <v>1</v>
      </c>
      <c r="L582" t="inlineStr">
        <is>
          <t>Semiurban</t>
        </is>
      </c>
      <c r="M582" t="inlineStr">
        <is>
          <t>Y</t>
        </is>
      </c>
      <c r="N582" t="inlineStr">
        <is>
          <t>Lower Risk</t>
        </is>
      </c>
    </row>
    <row r="583">
      <c r="A583" t="inlineStr">
        <is>
          <t>LP002893</t>
        </is>
      </c>
      <c r="B583" t="inlineStr">
        <is>
          <t>Male</t>
        </is>
      </c>
      <c r="C583" t="inlineStr">
        <is>
          <t>No</t>
        </is>
      </c>
      <c r="D583" t="n">
        <v>0</v>
      </c>
      <c r="E583" t="inlineStr">
        <is>
          <t>Graduate</t>
        </is>
      </c>
      <c r="F583" t="inlineStr">
        <is>
          <t>No</t>
        </is>
      </c>
      <c r="G583" t="n">
        <v>1836</v>
      </c>
      <c r="H583" t="n">
        <v>33837</v>
      </c>
      <c r="I583" t="n">
        <v>90</v>
      </c>
      <c r="J583" t="n">
        <v>360</v>
      </c>
      <c r="K583" t="n">
        <v>1</v>
      </c>
      <c r="L583" t="inlineStr">
        <is>
          <t>Urban</t>
        </is>
      </c>
      <c r="M583" t="inlineStr">
        <is>
          <t>N</t>
        </is>
      </c>
      <c r="N583" t="inlineStr">
        <is>
          <t>Medium Risk</t>
        </is>
      </c>
    </row>
    <row r="584">
      <c r="A584" t="inlineStr">
        <is>
          <t>LP002894</t>
        </is>
      </c>
      <c r="B584" t="inlineStr">
        <is>
          <t>Female</t>
        </is>
      </c>
      <c r="C584" t="inlineStr">
        <is>
          <t>Yes</t>
        </is>
      </c>
      <c r="D584" t="n">
        <v>0</v>
      </c>
      <c r="E584" t="inlineStr">
        <is>
          <t>Graduate</t>
        </is>
      </c>
      <c r="F584" t="inlineStr">
        <is>
          <t>No</t>
        </is>
      </c>
      <c r="G584" t="n">
        <v>3166</v>
      </c>
      <c r="H584" t="n">
        <v>0</v>
      </c>
      <c r="I584" t="n">
        <v>36</v>
      </c>
      <c r="J584" t="n">
        <v>360</v>
      </c>
      <c r="K584" t="n">
        <v>1</v>
      </c>
      <c r="L584" t="inlineStr">
        <is>
          <t>Semiurban</t>
        </is>
      </c>
      <c r="M584" t="inlineStr">
        <is>
          <t>Y</t>
        </is>
      </c>
      <c r="N584" t="inlineStr">
        <is>
          <t>Lower Risk</t>
        </is>
      </c>
    </row>
    <row r="585">
      <c r="A585" t="inlineStr">
        <is>
          <t>LP002898</t>
        </is>
      </c>
      <c r="B585" t="inlineStr">
        <is>
          <t>Male</t>
        </is>
      </c>
      <c r="C585" t="inlineStr">
        <is>
          <t>Yes</t>
        </is>
      </c>
      <c r="D585" t="n">
        <v>1</v>
      </c>
      <c r="E585" t="inlineStr">
        <is>
          <t>Graduate</t>
        </is>
      </c>
      <c r="F585" t="inlineStr">
        <is>
          <t>No</t>
        </is>
      </c>
      <c r="G585" t="n">
        <v>1880</v>
      </c>
      <c r="H585" t="n">
        <v>0</v>
      </c>
      <c r="I585" t="n">
        <v>61</v>
      </c>
      <c r="J585" t="n">
        <v>360</v>
      </c>
      <c r="K585" t="n">
        <v/>
      </c>
      <c r="L585" t="inlineStr">
        <is>
          <t>Rural</t>
        </is>
      </c>
      <c r="M585" t="inlineStr">
        <is>
          <t>N</t>
        </is>
      </c>
      <c r="N585" t="inlineStr">
        <is>
          <t>High Risk</t>
        </is>
      </c>
    </row>
    <row r="586">
      <c r="A586" t="inlineStr">
        <is>
          <t>LP002911</t>
        </is>
      </c>
      <c r="B586" t="inlineStr">
        <is>
          <t>Male</t>
        </is>
      </c>
      <c r="C586" t="inlineStr">
        <is>
          <t>Yes</t>
        </is>
      </c>
      <c r="D586" t="n">
        <v>1</v>
      </c>
      <c r="E586" t="inlineStr">
        <is>
          <t>Graduate</t>
        </is>
      </c>
      <c r="F586" t="inlineStr">
        <is>
          <t>No</t>
        </is>
      </c>
      <c r="G586" t="n">
        <v>2787</v>
      </c>
      <c r="H586" t="n">
        <v>1917</v>
      </c>
      <c r="I586" t="n">
        <v>146</v>
      </c>
      <c r="J586" t="n">
        <v>360</v>
      </c>
      <c r="K586" t="n">
        <v>0</v>
      </c>
      <c r="L586" t="inlineStr">
        <is>
          <t>Rural</t>
        </is>
      </c>
      <c r="M586" t="inlineStr">
        <is>
          <t>N</t>
        </is>
      </c>
      <c r="N586" t="inlineStr">
        <is>
          <t>High Risk</t>
        </is>
      </c>
    </row>
    <row r="587">
      <c r="A587" t="inlineStr">
        <is>
          <t>LP002912</t>
        </is>
      </c>
      <c r="B587" t="inlineStr">
        <is>
          <t>Male</t>
        </is>
      </c>
      <c r="C587" t="inlineStr">
        <is>
          <t>Yes</t>
        </is>
      </c>
      <c r="D587" t="n">
        <v>1</v>
      </c>
      <c r="E587" t="inlineStr">
        <is>
          <t>Graduate</t>
        </is>
      </c>
      <c r="F587" t="inlineStr">
        <is>
          <t>No</t>
        </is>
      </c>
      <c r="G587" t="n">
        <v>4283</v>
      </c>
      <c r="H587" t="n">
        <v>3000</v>
      </c>
      <c r="I587" t="n">
        <v>172</v>
      </c>
      <c r="J587" t="n">
        <v>84</v>
      </c>
      <c r="K587" t="n">
        <v>1</v>
      </c>
      <c r="L587" t="inlineStr">
        <is>
          <t>Rural</t>
        </is>
      </c>
      <c r="M587" t="inlineStr">
        <is>
          <t>N</t>
        </is>
      </c>
      <c r="N587" t="inlineStr">
        <is>
          <t>Medium Risk</t>
        </is>
      </c>
    </row>
    <row r="588">
      <c r="A588" t="inlineStr">
        <is>
          <t>LP002916</t>
        </is>
      </c>
      <c r="B588" t="inlineStr">
        <is>
          <t>Male</t>
        </is>
      </c>
      <c r="C588" t="inlineStr">
        <is>
          <t>Yes</t>
        </is>
      </c>
      <c r="D588" t="n">
        <v>0</v>
      </c>
      <c r="E588" t="inlineStr">
        <is>
          <t>Graduate</t>
        </is>
      </c>
      <c r="F588" t="inlineStr">
        <is>
          <t>No</t>
        </is>
      </c>
      <c r="G588" t="n">
        <v>2297</v>
      </c>
      <c r="H588" t="n">
        <v>1522</v>
      </c>
      <c r="I588" t="n">
        <v>104</v>
      </c>
      <c r="J588" t="n">
        <v>360</v>
      </c>
      <c r="K588" t="n">
        <v>1</v>
      </c>
      <c r="L588" t="inlineStr">
        <is>
          <t>Urban</t>
        </is>
      </c>
      <c r="M588" t="inlineStr">
        <is>
          <t>Y</t>
        </is>
      </c>
      <c r="N588" t="inlineStr">
        <is>
          <t>Lower Risk</t>
        </is>
      </c>
    </row>
    <row r="589">
      <c r="A589" t="inlineStr">
        <is>
          <t>LP002917</t>
        </is>
      </c>
      <c r="B589" t="inlineStr">
        <is>
          <t>Female</t>
        </is>
      </c>
      <c r="C589" t="inlineStr">
        <is>
          <t>No</t>
        </is>
      </c>
      <c r="D589" t="n">
        <v>0</v>
      </c>
      <c r="E589" t="inlineStr">
        <is>
          <t>Not Graduate</t>
        </is>
      </c>
      <c r="F589" t="inlineStr">
        <is>
          <t>No</t>
        </is>
      </c>
      <c r="G589" t="n">
        <v>2165</v>
      </c>
      <c r="H589" t="n">
        <v>0</v>
      </c>
      <c r="I589" t="n">
        <v>70</v>
      </c>
      <c r="J589" t="n">
        <v>360</v>
      </c>
      <c r="K589" t="n">
        <v>1</v>
      </c>
      <c r="L589" t="inlineStr">
        <is>
          <t>Semiurban</t>
        </is>
      </c>
      <c r="M589" t="inlineStr">
        <is>
          <t>Y</t>
        </is>
      </c>
      <c r="N589" t="inlineStr">
        <is>
          <t>Lower Risk</t>
        </is>
      </c>
    </row>
    <row r="590">
      <c r="A590" t="inlineStr">
        <is>
          <t>LP002925</t>
        </is>
      </c>
      <c r="B590" t="n">
        <v/>
      </c>
      <c r="C590" t="inlineStr">
        <is>
          <t>No</t>
        </is>
      </c>
      <c r="D590" t="n">
        <v>0</v>
      </c>
      <c r="E590" t="inlineStr">
        <is>
          <t>Graduate</t>
        </is>
      </c>
      <c r="F590" t="inlineStr">
        <is>
          <t>No</t>
        </is>
      </c>
      <c r="G590" t="n">
        <v>4750</v>
      </c>
      <c r="H590" t="n">
        <v>0</v>
      </c>
      <c r="I590" t="n">
        <v>94</v>
      </c>
      <c r="J590" t="n">
        <v>360</v>
      </c>
      <c r="K590" t="n">
        <v>1</v>
      </c>
      <c r="L590" t="inlineStr">
        <is>
          <t>Semiurban</t>
        </is>
      </c>
      <c r="M590" t="inlineStr">
        <is>
          <t>Y</t>
        </is>
      </c>
      <c r="N590" t="inlineStr">
        <is>
          <t>Lower Risk</t>
        </is>
      </c>
    </row>
    <row r="591">
      <c r="A591" t="inlineStr">
        <is>
          <t>LP002926</t>
        </is>
      </c>
      <c r="B591" t="inlineStr">
        <is>
          <t>Male</t>
        </is>
      </c>
      <c r="C591" t="inlineStr">
        <is>
          <t>Yes</t>
        </is>
      </c>
      <c r="D591" t="n">
        <v>2</v>
      </c>
      <c r="E591" t="inlineStr">
        <is>
          <t>Graduate</t>
        </is>
      </c>
      <c r="F591" t="inlineStr">
        <is>
          <t>Yes</t>
        </is>
      </c>
      <c r="G591" t="n">
        <v>2726</v>
      </c>
      <c r="H591" t="n">
        <v>0</v>
      </c>
      <c r="I591" t="n">
        <v>106</v>
      </c>
      <c r="J591" t="n">
        <v>360</v>
      </c>
      <c r="K591" t="n">
        <v>0</v>
      </c>
      <c r="L591" t="inlineStr">
        <is>
          <t>Semiurban</t>
        </is>
      </c>
      <c r="M591" t="inlineStr">
        <is>
          <t>N</t>
        </is>
      </c>
      <c r="N591" t="inlineStr">
        <is>
          <t>High Risk</t>
        </is>
      </c>
    </row>
    <row r="592">
      <c r="A592" t="inlineStr">
        <is>
          <t>LP002928</t>
        </is>
      </c>
      <c r="B592" t="inlineStr">
        <is>
          <t>Male</t>
        </is>
      </c>
      <c r="C592" t="inlineStr">
        <is>
          <t>Yes</t>
        </is>
      </c>
      <c r="D592" t="n">
        <v>0</v>
      </c>
      <c r="E592" t="inlineStr">
        <is>
          <t>Graduate</t>
        </is>
      </c>
      <c r="F592" t="inlineStr">
        <is>
          <t>No</t>
        </is>
      </c>
      <c r="G592" t="n">
        <v>3000</v>
      </c>
      <c r="H592" t="n">
        <v>3416</v>
      </c>
      <c r="I592" t="n">
        <v>56</v>
      </c>
      <c r="J592" t="n">
        <v>180</v>
      </c>
      <c r="K592" t="n">
        <v>1</v>
      </c>
      <c r="L592" t="inlineStr">
        <is>
          <t>Semiurban</t>
        </is>
      </c>
      <c r="M592" t="inlineStr">
        <is>
          <t>Y</t>
        </is>
      </c>
      <c r="N592" t="inlineStr">
        <is>
          <t>Lower Risk</t>
        </is>
      </c>
    </row>
    <row r="593">
      <c r="A593" t="inlineStr">
        <is>
          <t>LP002931</t>
        </is>
      </c>
      <c r="B593" t="inlineStr">
        <is>
          <t>Male</t>
        </is>
      </c>
      <c r="C593" t="inlineStr">
        <is>
          <t>Yes</t>
        </is>
      </c>
      <c r="D593" t="n">
        <v>2</v>
      </c>
      <c r="E593" t="inlineStr">
        <is>
          <t>Graduate</t>
        </is>
      </c>
      <c r="F593" t="inlineStr">
        <is>
          <t>Yes</t>
        </is>
      </c>
      <c r="G593" t="n">
        <v>6000</v>
      </c>
      <c r="H593" t="n">
        <v>0</v>
      </c>
      <c r="I593" t="n">
        <v>205</v>
      </c>
      <c r="J593" t="n">
        <v>240</v>
      </c>
      <c r="K593" t="n">
        <v>1</v>
      </c>
      <c r="L593" t="inlineStr">
        <is>
          <t>Semiurban</t>
        </is>
      </c>
      <c r="M593" t="inlineStr">
        <is>
          <t>N</t>
        </is>
      </c>
      <c r="N593" t="inlineStr">
        <is>
          <t>Medium Risk</t>
        </is>
      </c>
    </row>
    <row r="594">
      <c r="A594" t="inlineStr">
        <is>
          <t>LP002933</t>
        </is>
      </c>
      <c r="B594" t="n">
        <v/>
      </c>
      <c r="C594" t="inlineStr">
        <is>
          <t>No</t>
        </is>
      </c>
      <c r="D594" t="inlineStr">
        <is>
          <t>3+</t>
        </is>
      </c>
      <c r="E594" t="inlineStr">
        <is>
          <t>Graduate</t>
        </is>
      </c>
      <c r="F594" t="inlineStr">
        <is>
          <t>Yes</t>
        </is>
      </c>
      <c r="G594" t="n">
        <v>9357</v>
      </c>
      <c r="H594" t="n">
        <v>0</v>
      </c>
      <c r="I594" t="n">
        <v>292</v>
      </c>
      <c r="J594" t="n">
        <v>360</v>
      </c>
      <c r="K594" t="n">
        <v>1</v>
      </c>
      <c r="L594" t="inlineStr">
        <is>
          <t>Semiurban</t>
        </is>
      </c>
      <c r="M594" t="inlineStr">
        <is>
          <t>Y</t>
        </is>
      </c>
      <c r="N594" t="inlineStr">
        <is>
          <t>Lower Risk</t>
        </is>
      </c>
    </row>
    <row r="595">
      <c r="A595" t="inlineStr">
        <is>
          <t>LP002936</t>
        </is>
      </c>
      <c r="B595" t="inlineStr">
        <is>
          <t>Male</t>
        </is>
      </c>
      <c r="C595" t="inlineStr">
        <is>
          <t>Yes</t>
        </is>
      </c>
      <c r="D595" t="n">
        <v>0</v>
      </c>
      <c r="E595" t="inlineStr">
        <is>
          <t>Graduate</t>
        </is>
      </c>
      <c r="F595" t="inlineStr">
        <is>
          <t>No</t>
        </is>
      </c>
      <c r="G595" t="n">
        <v>3859</v>
      </c>
      <c r="H595" t="n">
        <v>3300</v>
      </c>
      <c r="I595" t="n">
        <v>142</v>
      </c>
      <c r="J595" t="n">
        <v>180</v>
      </c>
      <c r="K595" t="n">
        <v>1</v>
      </c>
      <c r="L595" t="inlineStr">
        <is>
          <t>Rural</t>
        </is>
      </c>
      <c r="M595" t="inlineStr">
        <is>
          <t>Y</t>
        </is>
      </c>
      <c r="N595" t="inlineStr">
        <is>
          <t>Lower Risk</t>
        </is>
      </c>
    </row>
    <row r="596">
      <c r="A596" t="inlineStr">
        <is>
          <t>LP002938</t>
        </is>
      </c>
      <c r="B596" t="inlineStr">
        <is>
          <t>Male</t>
        </is>
      </c>
      <c r="C596" t="inlineStr">
        <is>
          <t>Yes</t>
        </is>
      </c>
      <c r="D596" t="n">
        <v>0</v>
      </c>
      <c r="E596" t="inlineStr">
        <is>
          <t>Graduate</t>
        </is>
      </c>
      <c r="F596" t="inlineStr">
        <is>
          <t>Yes</t>
        </is>
      </c>
      <c r="G596" t="n">
        <v>16120</v>
      </c>
      <c r="H596" t="n">
        <v>0</v>
      </c>
      <c r="I596" t="n">
        <v>260</v>
      </c>
      <c r="J596" t="n">
        <v>360</v>
      </c>
      <c r="K596" t="n">
        <v>1</v>
      </c>
      <c r="L596" t="inlineStr">
        <is>
          <t>Urban</t>
        </is>
      </c>
      <c r="M596" t="inlineStr">
        <is>
          <t>Y</t>
        </is>
      </c>
      <c r="N596" t="inlineStr">
        <is>
          <t>Lower Risk</t>
        </is>
      </c>
    </row>
    <row r="597">
      <c r="A597" t="inlineStr">
        <is>
          <t>LP002940</t>
        </is>
      </c>
      <c r="B597" t="inlineStr">
        <is>
          <t>Male</t>
        </is>
      </c>
      <c r="C597" t="inlineStr">
        <is>
          <t>No</t>
        </is>
      </c>
      <c r="D597" t="n">
        <v>0</v>
      </c>
      <c r="E597" t="inlineStr">
        <is>
          <t>Not Graduate</t>
        </is>
      </c>
      <c r="F597" t="inlineStr">
        <is>
          <t>No</t>
        </is>
      </c>
      <c r="G597" t="n">
        <v>3833</v>
      </c>
      <c r="H597" t="n">
        <v>0</v>
      </c>
      <c r="I597" t="n">
        <v>110</v>
      </c>
      <c r="J597" t="n">
        <v>360</v>
      </c>
      <c r="K597" t="n">
        <v>1</v>
      </c>
      <c r="L597" t="inlineStr">
        <is>
          <t>Rural</t>
        </is>
      </c>
      <c r="M597" t="inlineStr">
        <is>
          <t>Y</t>
        </is>
      </c>
      <c r="N597" t="inlineStr">
        <is>
          <t>Lower Risk</t>
        </is>
      </c>
    </row>
    <row r="598">
      <c r="A598" t="inlineStr">
        <is>
          <t>LP002941</t>
        </is>
      </c>
      <c r="B598" t="inlineStr">
        <is>
          <t>Male</t>
        </is>
      </c>
      <c r="C598" t="inlineStr">
        <is>
          <t>Yes</t>
        </is>
      </c>
      <c r="D598" t="n">
        <v>2</v>
      </c>
      <c r="E598" t="inlineStr">
        <is>
          <t>Not Graduate</t>
        </is>
      </c>
      <c r="F598" t="inlineStr">
        <is>
          <t>Yes</t>
        </is>
      </c>
      <c r="G598" t="n">
        <v>6383</v>
      </c>
      <c r="H598" t="n">
        <v>1000</v>
      </c>
      <c r="I598" t="n">
        <v>187</v>
      </c>
      <c r="J598" t="n">
        <v>360</v>
      </c>
      <c r="K598" t="n">
        <v>1</v>
      </c>
      <c r="L598" t="inlineStr">
        <is>
          <t>Rural</t>
        </is>
      </c>
      <c r="M598" t="inlineStr">
        <is>
          <t>N</t>
        </is>
      </c>
      <c r="N598" t="inlineStr">
        <is>
          <t>Medium Risk</t>
        </is>
      </c>
    </row>
    <row r="599">
      <c r="A599" t="inlineStr">
        <is>
          <t>LP002943</t>
        </is>
      </c>
      <c r="B599" t="inlineStr">
        <is>
          <t>Male</t>
        </is>
      </c>
      <c r="C599" t="inlineStr">
        <is>
          <t>No</t>
        </is>
      </c>
      <c r="D599" t="n">
        <v/>
      </c>
      <c r="E599" t="inlineStr">
        <is>
          <t>Graduate</t>
        </is>
      </c>
      <c r="F599" t="inlineStr">
        <is>
          <t>No</t>
        </is>
      </c>
      <c r="G599" t="n">
        <v>2987</v>
      </c>
      <c r="H599" t="n">
        <v>0</v>
      </c>
      <c r="I599" t="n">
        <v>88</v>
      </c>
      <c r="J599" t="n">
        <v>360</v>
      </c>
      <c r="K599" t="n">
        <v>0</v>
      </c>
      <c r="L599" t="inlineStr">
        <is>
          <t>Semiurban</t>
        </is>
      </c>
      <c r="M599" t="inlineStr">
        <is>
          <t>N</t>
        </is>
      </c>
      <c r="N599" t="inlineStr">
        <is>
          <t>High Risk</t>
        </is>
      </c>
    </row>
    <row r="600">
      <c r="A600" t="inlineStr">
        <is>
          <t>LP002945</t>
        </is>
      </c>
      <c r="B600" t="inlineStr">
        <is>
          <t>Male</t>
        </is>
      </c>
      <c r="C600" t="inlineStr">
        <is>
          <t>Yes</t>
        </is>
      </c>
      <c r="D600" t="n">
        <v>0</v>
      </c>
      <c r="E600" t="inlineStr">
        <is>
          <t>Graduate</t>
        </is>
      </c>
      <c r="F600" t="inlineStr">
        <is>
          <t>Yes</t>
        </is>
      </c>
      <c r="G600" t="n">
        <v>9963</v>
      </c>
      <c r="H600" t="n">
        <v>0</v>
      </c>
      <c r="I600" t="n">
        <v>180</v>
      </c>
      <c r="J600" t="n">
        <v>360</v>
      </c>
      <c r="K600" t="n">
        <v>1</v>
      </c>
      <c r="L600" t="inlineStr">
        <is>
          <t>Rural</t>
        </is>
      </c>
      <c r="M600" t="inlineStr">
        <is>
          <t>Y</t>
        </is>
      </c>
      <c r="N600" t="inlineStr">
        <is>
          <t>Lower Risk</t>
        </is>
      </c>
    </row>
    <row r="601">
      <c r="A601" t="inlineStr">
        <is>
          <t>LP002948</t>
        </is>
      </c>
      <c r="B601" t="inlineStr">
        <is>
          <t>Male</t>
        </is>
      </c>
      <c r="C601" t="inlineStr">
        <is>
          <t>Yes</t>
        </is>
      </c>
      <c r="D601" t="n">
        <v>2</v>
      </c>
      <c r="E601" t="inlineStr">
        <is>
          <t>Graduate</t>
        </is>
      </c>
      <c r="F601" t="inlineStr">
        <is>
          <t>No</t>
        </is>
      </c>
      <c r="G601" t="n">
        <v>5780</v>
      </c>
      <c r="H601" t="n">
        <v>0</v>
      </c>
      <c r="I601" t="n">
        <v>192</v>
      </c>
      <c r="J601" t="n">
        <v>360</v>
      </c>
      <c r="K601" t="n">
        <v>1</v>
      </c>
      <c r="L601" t="inlineStr">
        <is>
          <t>Urban</t>
        </is>
      </c>
      <c r="M601" t="inlineStr">
        <is>
          <t>Y</t>
        </is>
      </c>
      <c r="N601" t="inlineStr">
        <is>
          <t>Lower Risk</t>
        </is>
      </c>
    </row>
    <row r="602">
      <c r="A602" t="inlineStr">
        <is>
          <t>LP002949</t>
        </is>
      </c>
      <c r="B602" t="inlineStr">
        <is>
          <t>Female</t>
        </is>
      </c>
      <c r="C602" t="inlineStr">
        <is>
          <t>No</t>
        </is>
      </c>
      <c r="D602" t="inlineStr">
        <is>
          <t>3+</t>
        </is>
      </c>
      <c r="E602" t="inlineStr">
        <is>
          <t>Graduate</t>
        </is>
      </c>
      <c r="F602" t="n">
        <v/>
      </c>
      <c r="G602" t="n">
        <v>416</v>
      </c>
      <c r="H602" t="n">
        <v>41667</v>
      </c>
      <c r="I602" t="n">
        <v>350</v>
      </c>
      <c r="J602" t="n">
        <v>180</v>
      </c>
      <c r="K602" t="n">
        <v/>
      </c>
      <c r="L602" t="inlineStr">
        <is>
          <t>Urban</t>
        </is>
      </c>
      <c r="M602" t="inlineStr">
        <is>
          <t>N</t>
        </is>
      </c>
      <c r="N602" t="inlineStr">
        <is>
          <t>High Risk</t>
        </is>
      </c>
    </row>
    <row r="603">
      <c r="A603" t="inlineStr">
        <is>
          <t>LP002950</t>
        </is>
      </c>
      <c r="B603" t="inlineStr">
        <is>
          <t>Male</t>
        </is>
      </c>
      <c r="C603" t="inlineStr">
        <is>
          <t>Yes</t>
        </is>
      </c>
      <c r="D603" t="n">
        <v>0</v>
      </c>
      <c r="E603" t="inlineStr">
        <is>
          <t>Not Graduate</t>
        </is>
      </c>
      <c r="F603" t="n">
        <v/>
      </c>
      <c r="G603" t="n">
        <v>2894</v>
      </c>
      <c r="H603" t="n">
        <v>2792</v>
      </c>
      <c r="I603" t="n">
        <v>155</v>
      </c>
      <c r="J603" t="n">
        <v>360</v>
      </c>
      <c r="K603" t="n">
        <v>1</v>
      </c>
      <c r="L603" t="inlineStr">
        <is>
          <t>Rural</t>
        </is>
      </c>
      <c r="M603" t="inlineStr">
        <is>
          <t>Y</t>
        </is>
      </c>
      <c r="N603" t="inlineStr">
        <is>
          <t>Lower Risk</t>
        </is>
      </c>
    </row>
    <row r="604">
      <c r="A604" t="inlineStr">
        <is>
          <t>LP002953</t>
        </is>
      </c>
      <c r="B604" t="inlineStr">
        <is>
          <t>Male</t>
        </is>
      </c>
      <c r="C604" t="inlineStr">
        <is>
          <t>Yes</t>
        </is>
      </c>
      <c r="D604" t="inlineStr">
        <is>
          <t>3+</t>
        </is>
      </c>
      <c r="E604" t="inlineStr">
        <is>
          <t>Graduate</t>
        </is>
      </c>
      <c r="F604" t="inlineStr">
        <is>
          <t>No</t>
        </is>
      </c>
      <c r="G604" t="n">
        <v>5703</v>
      </c>
      <c r="H604" t="n">
        <v>0</v>
      </c>
      <c r="I604" t="n">
        <v>128</v>
      </c>
      <c r="J604" t="n">
        <v>360</v>
      </c>
      <c r="K604" t="n">
        <v>1</v>
      </c>
      <c r="L604" t="inlineStr">
        <is>
          <t>Urban</t>
        </is>
      </c>
      <c r="M604" t="inlineStr">
        <is>
          <t>Y</t>
        </is>
      </c>
      <c r="N604" t="inlineStr">
        <is>
          <t>Lower Risk</t>
        </is>
      </c>
    </row>
    <row r="605">
      <c r="A605" t="inlineStr">
        <is>
          <t>LP002958</t>
        </is>
      </c>
      <c r="B605" t="inlineStr">
        <is>
          <t>Male</t>
        </is>
      </c>
      <c r="C605" t="inlineStr">
        <is>
          <t>No</t>
        </is>
      </c>
      <c r="D605" t="n">
        <v>0</v>
      </c>
      <c r="E605" t="inlineStr">
        <is>
          <t>Graduate</t>
        </is>
      </c>
      <c r="F605" t="inlineStr">
        <is>
          <t>No</t>
        </is>
      </c>
      <c r="G605" t="n">
        <v>3676</v>
      </c>
      <c r="H605" t="n">
        <v>4301</v>
      </c>
      <c r="I605" t="n">
        <v>172</v>
      </c>
      <c r="J605" t="n">
        <v>360</v>
      </c>
      <c r="K605" t="n">
        <v>1</v>
      </c>
      <c r="L605" t="inlineStr">
        <is>
          <t>Rural</t>
        </is>
      </c>
      <c r="M605" t="inlineStr">
        <is>
          <t>Y</t>
        </is>
      </c>
      <c r="N605" t="inlineStr">
        <is>
          <t>Lower Risk</t>
        </is>
      </c>
    </row>
    <row r="606">
      <c r="A606" t="inlineStr">
        <is>
          <t>LP002959</t>
        </is>
      </c>
      <c r="B606" t="inlineStr">
        <is>
          <t>Female</t>
        </is>
      </c>
      <c r="C606" t="inlineStr">
        <is>
          <t>Yes</t>
        </is>
      </c>
      <c r="D606" t="n">
        <v>1</v>
      </c>
      <c r="E606" t="inlineStr">
        <is>
          <t>Graduate</t>
        </is>
      </c>
      <c r="F606" t="inlineStr">
        <is>
          <t>No</t>
        </is>
      </c>
      <c r="G606" t="n">
        <v>12000</v>
      </c>
      <c r="H606" t="n">
        <v>0</v>
      </c>
      <c r="I606" t="n">
        <v>496</v>
      </c>
      <c r="J606" t="n">
        <v>360</v>
      </c>
      <c r="K606" t="n">
        <v>1</v>
      </c>
      <c r="L606" t="inlineStr">
        <is>
          <t>Semiurban</t>
        </is>
      </c>
      <c r="M606" t="inlineStr">
        <is>
          <t>Y</t>
        </is>
      </c>
      <c r="N606" t="inlineStr">
        <is>
          <t>Lower Risk</t>
        </is>
      </c>
    </row>
    <row r="607">
      <c r="A607" t="inlineStr">
        <is>
          <t>LP002960</t>
        </is>
      </c>
      <c r="B607" t="inlineStr">
        <is>
          <t>Male</t>
        </is>
      </c>
      <c r="C607" t="inlineStr">
        <is>
          <t>Yes</t>
        </is>
      </c>
      <c r="D607" t="n">
        <v>0</v>
      </c>
      <c r="E607" t="inlineStr">
        <is>
          <t>Not Graduate</t>
        </is>
      </c>
      <c r="F607" t="inlineStr">
        <is>
          <t>No</t>
        </is>
      </c>
      <c r="G607" t="n">
        <v>2400</v>
      </c>
      <c r="H607" t="n">
        <v>3800</v>
      </c>
      <c r="I607" t="n">
        <v/>
      </c>
      <c r="J607" t="n">
        <v>180</v>
      </c>
      <c r="K607" t="n">
        <v>1</v>
      </c>
      <c r="L607" t="inlineStr">
        <is>
          <t>Urban</t>
        </is>
      </c>
      <c r="M607" t="inlineStr">
        <is>
          <t>N</t>
        </is>
      </c>
      <c r="N607" t="inlineStr">
        <is>
          <t>Medium Risk</t>
        </is>
      </c>
    </row>
    <row r="608">
      <c r="A608" t="inlineStr">
        <is>
          <t>LP002961</t>
        </is>
      </c>
      <c r="B608" t="inlineStr">
        <is>
          <t>Male</t>
        </is>
      </c>
      <c r="C608" t="inlineStr">
        <is>
          <t>Yes</t>
        </is>
      </c>
      <c r="D608" t="n">
        <v>1</v>
      </c>
      <c r="E608" t="inlineStr">
        <is>
          <t>Graduate</t>
        </is>
      </c>
      <c r="F608" t="inlineStr">
        <is>
          <t>No</t>
        </is>
      </c>
      <c r="G608" t="n">
        <v>3400</v>
      </c>
      <c r="H608" t="n">
        <v>2500</v>
      </c>
      <c r="I608" t="n">
        <v>173</v>
      </c>
      <c r="J608" t="n">
        <v>360</v>
      </c>
      <c r="K608" t="n">
        <v>1</v>
      </c>
      <c r="L608" t="inlineStr">
        <is>
          <t>Semiurban</t>
        </is>
      </c>
      <c r="M608" t="inlineStr">
        <is>
          <t>Y</t>
        </is>
      </c>
      <c r="N608" t="inlineStr">
        <is>
          <t>Lower Risk</t>
        </is>
      </c>
    </row>
    <row r="609">
      <c r="A609" t="inlineStr">
        <is>
          <t>LP002964</t>
        </is>
      </c>
      <c r="B609" t="inlineStr">
        <is>
          <t>Male</t>
        </is>
      </c>
      <c r="C609" t="inlineStr">
        <is>
          <t>Yes</t>
        </is>
      </c>
      <c r="D609" t="n">
        <v>2</v>
      </c>
      <c r="E609" t="inlineStr">
        <is>
          <t>Not Graduate</t>
        </is>
      </c>
      <c r="F609" t="inlineStr">
        <is>
          <t>No</t>
        </is>
      </c>
      <c r="G609" t="n">
        <v>3987</v>
      </c>
      <c r="H609" t="n">
        <v>1411</v>
      </c>
      <c r="I609" t="n">
        <v>157</v>
      </c>
      <c r="J609" t="n">
        <v>360</v>
      </c>
      <c r="K609" t="n">
        <v>1</v>
      </c>
      <c r="L609" t="inlineStr">
        <is>
          <t>Rural</t>
        </is>
      </c>
      <c r="M609" t="inlineStr">
        <is>
          <t>Y</t>
        </is>
      </c>
      <c r="N609" t="inlineStr">
        <is>
          <t>Lower Risk</t>
        </is>
      </c>
    </row>
    <row r="610">
      <c r="A610" t="inlineStr">
        <is>
          <t>LP002974</t>
        </is>
      </c>
      <c r="B610" t="inlineStr">
        <is>
          <t>Male</t>
        </is>
      </c>
      <c r="C610" t="inlineStr">
        <is>
          <t>Yes</t>
        </is>
      </c>
      <c r="D610" t="n">
        <v>0</v>
      </c>
      <c r="E610" t="inlineStr">
        <is>
          <t>Graduate</t>
        </is>
      </c>
      <c r="F610" t="inlineStr">
        <is>
          <t>No</t>
        </is>
      </c>
      <c r="G610" t="n">
        <v>3232</v>
      </c>
      <c r="H610" t="n">
        <v>1950</v>
      </c>
      <c r="I610" t="n">
        <v>108</v>
      </c>
      <c r="J610" t="n">
        <v>360</v>
      </c>
      <c r="K610" t="n">
        <v>1</v>
      </c>
      <c r="L610" t="inlineStr">
        <is>
          <t>Rural</t>
        </is>
      </c>
      <c r="M610" t="inlineStr">
        <is>
          <t>Y</t>
        </is>
      </c>
      <c r="N610" t="inlineStr">
        <is>
          <t>Lower Risk</t>
        </is>
      </c>
    </row>
    <row r="611">
      <c r="A611" t="inlineStr">
        <is>
          <t>LP002978</t>
        </is>
      </c>
      <c r="B611" t="inlineStr">
        <is>
          <t>Female</t>
        </is>
      </c>
      <c r="C611" t="inlineStr">
        <is>
          <t>No</t>
        </is>
      </c>
      <c r="D611" t="n">
        <v>0</v>
      </c>
      <c r="E611" t="inlineStr">
        <is>
          <t>Graduate</t>
        </is>
      </c>
      <c r="F611" t="inlineStr">
        <is>
          <t>No</t>
        </is>
      </c>
      <c r="G611" t="n">
        <v>2900</v>
      </c>
      <c r="H611" t="n">
        <v>0</v>
      </c>
      <c r="I611" t="n">
        <v>71</v>
      </c>
      <c r="J611" t="n">
        <v>360</v>
      </c>
      <c r="K611" t="n">
        <v>1</v>
      </c>
      <c r="L611" t="inlineStr">
        <is>
          <t>Rural</t>
        </is>
      </c>
      <c r="M611" t="inlineStr">
        <is>
          <t>Y</t>
        </is>
      </c>
      <c r="N611" t="inlineStr">
        <is>
          <t>Lower Risk</t>
        </is>
      </c>
    </row>
    <row r="612">
      <c r="A612" t="inlineStr">
        <is>
          <t>LP002979</t>
        </is>
      </c>
      <c r="B612" t="inlineStr">
        <is>
          <t>Male</t>
        </is>
      </c>
      <c r="C612" t="inlineStr">
        <is>
          <t>Yes</t>
        </is>
      </c>
      <c r="D612" t="inlineStr">
        <is>
          <t>3+</t>
        </is>
      </c>
      <c r="E612" t="inlineStr">
        <is>
          <t>Graduate</t>
        </is>
      </c>
      <c r="F612" t="inlineStr">
        <is>
          <t>No</t>
        </is>
      </c>
      <c r="G612" t="n">
        <v>4106</v>
      </c>
      <c r="H612" t="n">
        <v>0</v>
      </c>
      <c r="I612" t="n">
        <v>40</v>
      </c>
      <c r="J612" t="n">
        <v>180</v>
      </c>
      <c r="K612" t="n">
        <v>1</v>
      </c>
      <c r="L612" t="inlineStr">
        <is>
          <t>Rural</t>
        </is>
      </c>
      <c r="M612" t="inlineStr">
        <is>
          <t>Y</t>
        </is>
      </c>
      <c r="N612" t="inlineStr">
        <is>
          <t>Lower Risk</t>
        </is>
      </c>
    </row>
    <row r="613">
      <c r="A613" t="inlineStr">
        <is>
          <t>LP002983</t>
        </is>
      </c>
      <c r="B613" t="inlineStr">
        <is>
          <t>Male</t>
        </is>
      </c>
      <c r="C613" t="inlineStr">
        <is>
          <t>Yes</t>
        </is>
      </c>
      <c r="D613" t="n">
        <v>1</v>
      </c>
      <c r="E613" t="inlineStr">
        <is>
          <t>Graduate</t>
        </is>
      </c>
      <c r="F613" t="inlineStr">
        <is>
          <t>No</t>
        </is>
      </c>
      <c r="G613" t="n">
        <v>8072</v>
      </c>
      <c r="H613" t="n">
        <v>240</v>
      </c>
      <c r="I613" t="n">
        <v>253</v>
      </c>
      <c r="J613" t="n">
        <v>360</v>
      </c>
      <c r="K613" t="n">
        <v>1</v>
      </c>
      <c r="L613" t="inlineStr">
        <is>
          <t>Urban</t>
        </is>
      </c>
      <c r="M613" t="inlineStr">
        <is>
          <t>Y</t>
        </is>
      </c>
      <c r="N613" t="inlineStr">
        <is>
          <t>Lower Risk</t>
        </is>
      </c>
    </row>
    <row r="614">
      <c r="A614" t="inlineStr">
        <is>
          <t>LP002984</t>
        </is>
      </c>
      <c r="B614" t="inlineStr">
        <is>
          <t>Male</t>
        </is>
      </c>
      <c r="C614" t="inlineStr">
        <is>
          <t>Yes</t>
        </is>
      </c>
      <c r="D614" t="n">
        <v>2</v>
      </c>
      <c r="E614" t="inlineStr">
        <is>
          <t>Graduate</t>
        </is>
      </c>
      <c r="F614" t="inlineStr">
        <is>
          <t>No</t>
        </is>
      </c>
      <c r="G614" t="n">
        <v>7583</v>
      </c>
      <c r="H614" t="n">
        <v>0</v>
      </c>
      <c r="I614" t="n">
        <v>187</v>
      </c>
      <c r="J614" t="n">
        <v>360</v>
      </c>
      <c r="K614" t="n">
        <v>1</v>
      </c>
      <c r="L614" t="inlineStr">
        <is>
          <t>Urban</t>
        </is>
      </c>
      <c r="M614" t="inlineStr">
        <is>
          <t>Y</t>
        </is>
      </c>
      <c r="N614" t="inlineStr">
        <is>
          <t>Lower Risk</t>
        </is>
      </c>
    </row>
    <row r="615">
      <c r="A615" t="inlineStr">
        <is>
          <t>LP002990</t>
        </is>
      </c>
      <c r="B615" t="inlineStr">
        <is>
          <t>Female</t>
        </is>
      </c>
      <c r="C615" t="inlineStr">
        <is>
          <t>No</t>
        </is>
      </c>
      <c r="D615" t="n">
        <v>0</v>
      </c>
      <c r="E615" t="inlineStr">
        <is>
          <t>Graduate</t>
        </is>
      </c>
      <c r="F615" t="inlineStr">
        <is>
          <t>Yes</t>
        </is>
      </c>
      <c r="G615" t="n">
        <v>4583</v>
      </c>
      <c r="H615" t="n">
        <v>0</v>
      </c>
      <c r="I615" t="n">
        <v>133</v>
      </c>
      <c r="J615" t="n">
        <v>360</v>
      </c>
      <c r="K615" t="n">
        <v>0</v>
      </c>
      <c r="L615" t="inlineStr">
        <is>
          <t>Semiurban</t>
        </is>
      </c>
      <c r="M615" t="inlineStr">
        <is>
          <t>N</t>
        </is>
      </c>
      <c r="N615" t="inlineStr">
        <is>
          <t>High Risk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35" customWidth="1" min="3" max="3"/>
    <col width="16" customWidth="1" min="4" max="4"/>
    <col width="15" customWidth="1" min="5" max="5"/>
    <col width="32" customWidth="1" min="6" max="6"/>
  </cols>
  <sheetData>
    <row r="1" ht="28" customHeight="1">
      <c r="A1" s="29" t="inlineStr">
        <is>
          <t>Column Name</t>
        </is>
      </c>
      <c r="B1" s="29" t="inlineStr">
        <is>
          <t>Data Type</t>
        </is>
      </c>
      <c r="C1" s="29" t="inlineStr">
        <is>
          <t>Description</t>
        </is>
      </c>
      <c r="D1" s="29" t="inlineStr">
        <is>
          <t>Missing Values</t>
        </is>
      </c>
      <c r="E1" s="29" t="inlineStr">
        <is>
          <t>Unique Values</t>
        </is>
      </c>
      <c r="F1" s="29" t="inlineStr">
        <is>
          <t>Comments</t>
        </is>
      </c>
    </row>
    <row r="2">
      <c r="A2" t="inlineStr">
        <is>
          <t>Loan_ID</t>
        </is>
      </c>
      <c r="B2" t="inlineStr">
        <is>
          <t>object</t>
        </is>
      </c>
      <c r="C2" t="inlineStr">
        <is>
          <t>Unique loan application identifier</t>
        </is>
      </c>
      <c r="D2" t="n">
        <v>0</v>
      </c>
      <c r="E2" t="n">
        <v>614</v>
      </c>
      <c r="F2" t="inlineStr">
        <is>
          <t>Preserved from source workbook</t>
        </is>
      </c>
    </row>
    <row r="3">
      <c r="A3" t="inlineStr">
        <is>
          <t>Gender</t>
        </is>
      </c>
      <c r="B3" t="inlineStr">
        <is>
          <t>object</t>
        </is>
      </c>
      <c r="C3" t="inlineStr">
        <is>
          <t>Reported applicant gender category</t>
        </is>
      </c>
      <c r="D3" t="n">
        <v>13</v>
      </c>
      <c r="E3" t="n">
        <v>2</v>
      </c>
      <c r="F3" t="inlineStr">
        <is>
          <t>Preserved from source workbook</t>
        </is>
      </c>
    </row>
    <row r="4">
      <c r="A4" t="inlineStr">
        <is>
          <t>Married</t>
        </is>
      </c>
      <c r="B4" t="inlineStr">
        <is>
          <t>object</t>
        </is>
      </c>
      <c r="C4" t="inlineStr">
        <is>
          <t>Reported marital status</t>
        </is>
      </c>
      <c r="D4" t="n">
        <v>3</v>
      </c>
      <c r="E4" t="n">
        <v>2</v>
      </c>
      <c r="F4" t="inlineStr">
        <is>
          <t>Preserved from source workbook</t>
        </is>
      </c>
    </row>
    <row r="5">
      <c r="A5" t="inlineStr">
        <is>
          <t>Dependents</t>
        </is>
      </c>
      <c r="B5" t="inlineStr">
        <is>
          <t>object</t>
        </is>
      </c>
      <c r="C5" t="inlineStr">
        <is>
          <t>Reported dependents category; 3+ is open-ended</t>
        </is>
      </c>
      <c r="D5" t="n">
        <v>15</v>
      </c>
      <c r="E5" t="n">
        <v>4</v>
      </c>
      <c r="F5" t="inlineStr">
        <is>
          <t>Preserved from source workbook</t>
        </is>
      </c>
    </row>
    <row r="6">
      <c r="A6" t="inlineStr">
        <is>
          <t>Education</t>
        </is>
      </c>
      <c r="B6" t="inlineStr">
        <is>
          <t>object</t>
        </is>
      </c>
      <c r="C6" t="inlineStr">
        <is>
          <t>Education category</t>
        </is>
      </c>
      <c r="D6" t="n">
        <v>0</v>
      </c>
      <c r="E6" t="n">
        <v>2</v>
      </c>
      <c r="F6" t="inlineStr">
        <is>
          <t>Preserved from source workbook</t>
        </is>
      </c>
    </row>
    <row r="7">
      <c r="A7" t="inlineStr">
        <is>
          <t>Self_Employed</t>
        </is>
      </c>
      <c r="B7" t="inlineStr">
        <is>
          <t>object</t>
        </is>
      </c>
      <c r="C7" t="inlineStr">
        <is>
          <t>Self-employment indicator</t>
        </is>
      </c>
      <c r="D7" t="n">
        <v>32</v>
      </c>
      <c r="E7" t="n">
        <v>2</v>
      </c>
      <c r="F7" t="inlineStr">
        <is>
          <t>Preserved from source workbook</t>
        </is>
      </c>
    </row>
    <row r="8">
      <c r="A8" t="inlineStr">
        <is>
          <t>ApplicantIncome</t>
        </is>
      </c>
      <c r="B8" t="inlineStr">
        <is>
          <t>int64</t>
        </is>
      </c>
      <c r="C8" t="inlineStr">
        <is>
          <t>Reported applicant income; unit/period undocumented</t>
        </is>
      </c>
      <c r="D8" t="n">
        <v>0</v>
      </c>
      <c r="E8" t="n">
        <v>505</v>
      </c>
      <c r="F8" t="inlineStr">
        <is>
          <t>Preserved from source workbook</t>
        </is>
      </c>
    </row>
    <row r="9">
      <c r="A9" t="inlineStr">
        <is>
          <t>CoapplicantIncome</t>
        </is>
      </c>
      <c r="B9" t="inlineStr">
        <is>
          <t>float64</t>
        </is>
      </c>
      <c r="C9" t="inlineStr">
        <is>
          <t>Reported co-applicant income; unit/period undocumented</t>
        </is>
      </c>
      <c r="D9" t="n">
        <v>0</v>
      </c>
      <c r="E9" t="n">
        <v>287</v>
      </c>
      <c r="F9" t="inlineStr">
        <is>
          <t>Preserved from source workbook</t>
        </is>
      </c>
    </row>
    <row r="10">
      <c r="A10" t="inlineStr">
        <is>
          <t>LoanAmount</t>
        </is>
      </c>
      <c r="B10" t="inlineStr">
        <is>
          <t>float64</t>
        </is>
      </c>
      <c r="C10" t="inlineStr">
        <is>
          <t>Requested loan amount; unit undocumented</t>
        </is>
      </c>
      <c r="D10" t="n">
        <v>22</v>
      </c>
      <c r="E10" t="n">
        <v>203</v>
      </c>
      <c r="F10" t="inlineStr">
        <is>
          <t>Preserved from source workbook</t>
        </is>
      </c>
    </row>
    <row r="11">
      <c r="A11" t="inlineStr">
        <is>
          <t>Loan_Amount_Term</t>
        </is>
      </c>
      <c r="B11" t="inlineStr">
        <is>
          <t>float64</t>
        </is>
      </c>
      <c r="C11" t="inlineStr">
        <is>
          <t>Reported loan term; unit not explicitly documented</t>
        </is>
      </c>
      <c r="D11" t="n">
        <v>14</v>
      </c>
      <c r="E11" t="n">
        <v>10</v>
      </c>
      <c r="F11" t="inlineStr">
        <is>
          <t>Preserved from source workbook</t>
        </is>
      </c>
    </row>
    <row r="12">
      <c r="A12" t="inlineStr">
        <is>
          <t>Credit_History</t>
        </is>
      </c>
      <c r="B12" t="inlineStr">
        <is>
          <t>float64</t>
        </is>
      </c>
      <c r="C12" t="inlineStr">
        <is>
          <t>Recorded credit history indicator</t>
        </is>
      </c>
      <c r="D12" t="n">
        <v>50</v>
      </c>
      <c r="E12" t="n">
        <v>2</v>
      </c>
      <c r="F12" t="inlineStr">
        <is>
          <t>Preserved from source workbook</t>
        </is>
      </c>
    </row>
    <row r="13">
      <c r="A13" t="inlineStr">
        <is>
          <t>Property_Area</t>
        </is>
      </c>
      <c r="B13" t="inlineStr">
        <is>
          <t>object</t>
        </is>
      </c>
      <c r="C13" t="inlineStr">
        <is>
          <t>Property location category</t>
        </is>
      </c>
      <c r="D13" t="n">
        <v>0</v>
      </c>
      <c r="E13" t="n">
        <v>3</v>
      </c>
      <c r="F13" t="inlineStr">
        <is>
          <t>Preserved from source workbook</t>
        </is>
      </c>
    </row>
    <row r="14">
      <c r="A14" t="inlineStr">
        <is>
          <t>Loan_Status</t>
        </is>
      </c>
      <c r="B14" t="inlineStr">
        <is>
          <t>object</t>
        </is>
      </c>
      <c r="C14" t="inlineStr">
        <is>
          <t>Application outcome: Y approved, N rejected</t>
        </is>
      </c>
      <c r="D14" t="n">
        <v>0</v>
      </c>
      <c r="E14" t="n">
        <v>2</v>
      </c>
      <c r="F14" t="inlineStr">
        <is>
          <t>Preserved from source workbook</t>
        </is>
      </c>
    </row>
    <row r="15">
      <c r="A15" t="inlineStr">
        <is>
          <t>Risk_Category</t>
        </is>
      </c>
      <c r="B15" t="inlineStr">
        <is>
          <t>object</t>
        </is>
      </c>
      <c r="C15" t="inlineStr">
        <is>
          <t>Workbook-provided risk category; derivation not documented</t>
        </is>
      </c>
      <c r="D15" t="n">
        <v>0</v>
      </c>
      <c r="E15" t="n">
        <v>3</v>
      </c>
      <c r="F15" t="inlineStr">
        <is>
          <t>Preserved from source workbook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11" customWidth="1" min="3" max="3"/>
    <col width="22" customWidth="1" min="4" max="4"/>
    <col width="38" customWidth="1" min="5" max="5"/>
    <col width="42" customWidth="1" min="6" max="6"/>
  </cols>
  <sheetData>
    <row r="1" ht="28" customHeight="1">
      <c r="A1" s="29" t="inlineStr">
        <is>
          <t>Issue</t>
        </is>
      </c>
      <c r="B1" s="29" t="inlineStr">
        <is>
          <t>Affected Field</t>
        </is>
      </c>
      <c r="C1" s="29" t="inlineStr">
        <is>
          <t>Count</t>
        </is>
      </c>
      <c r="D1" s="29" t="inlineStr">
        <is>
          <t>Percentage</t>
        </is>
      </c>
      <c r="E1" s="29" t="inlineStr">
        <is>
          <t>Business Impact</t>
        </is>
      </c>
      <c r="F1" s="29" t="inlineStr">
        <is>
          <t>Recommended Action</t>
        </is>
      </c>
    </row>
    <row r="2">
      <c r="A2" t="inlineStr">
        <is>
          <t>Missing values</t>
        </is>
      </c>
      <c r="B2" t="inlineStr">
        <is>
          <t>Gender</t>
        </is>
      </c>
      <c r="C2" t="n">
        <v>13</v>
      </c>
      <c r="D2" s="9" t="n">
        <v>0.02117263843648208</v>
      </c>
      <c r="E2" t="inlineStr">
        <is>
          <t>Incomplete analysis and potentially inconsistent underwriting evidence</t>
        </is>
      </c>
      <c r="F2" t="inlineStr">
        <is>
          <t>Validate and complete from source; do not silently impute</t>
        </is>
      </c>
    </row>
    <row r="3">
      <c r="A3" t="inlineStr">
        <is>
          <t>Missing values</t>
        </is>
      </c>
      <c r="B3" t="inlineStr">
        <is>
          <t>Married</t>
        </is>
      </c>
      <c r="C3" t="n">
        <v>3</v>
      </c>
      <c r="D3" s="9" t="n">
        <v>0.004885993485342019</v>
      </c>
      <c r="E3" t="inlineStr">
        <is>
          <t>Incomplete analysis and potentially inconsistent underwriting evidence</t>
        </is>
      </c>
      <c r="F3" t="inlineStr">
        <is>
          <t>Validate and complete from source; do not silently impute</t>
        </is>
      </c>
    </row>
    <row r="4">
      <c r="A4" t="inlineStr">
        <is>
          <t>Missing values</t>
        </is>
      </c>
      <c r="B4" t="inlineStr">
        <is>
          <t>Dependents</t>
        </is>
      </c>
      <c r="C4" t="n">
        <v>15</v>
      </c>
      <c r="D4" s="9" t="n">
        <v>0.0244299674267101</v>
      </c>
      <c r="E4" t="inlineStr">
        <is>
          <t>Incomplete analysis and potentially inconsistent underwriting evidence</t>
        </is>
      </c>
      <c r="F4" t="inlineStr">
        <is>
          <t>Validate and complete from source; do not silently impute</t>
        </is>
      </c>
    </row>
    <row r="5">
      <c r="A5" t="inlineStr">
        <is>
          <t>Missing values</t>
        </is>
      </c>
      <c r="B5" t="inlineStr">
        <is>
          <t>Self_Employed</t>
        </is>
      </c>
      <c r="C5" t="n">
        <v>32</v>
      </c>
      <c r="D5" s="9" t="n">
        <v>0.05211726384364821</v>
      </c>
      <c r="E5" t="inlineStr">
        <is>
          <t>Incomplete analysis and potentially inconsistent underwriting evidence</t>
        </is>
      </c>
      <c r="F5" t="inlineStr">
        <is>
          <t>Validate and complete from source; do not silently impute</t>
        </is>
      </c>
    </row>
    <row r="6">
      <c r="A6" t="inlineStr">
        <is>
          <t>Missing values</t>
        </is>
      </c>
      <c r="B6" t="inlineStr">
        <is>
          <t>LoanAmount</t>
        </is>
      </c>
      <c r="C6" t="n">
        <v>22</v>
      </c>
      <c r="D6" s="9" t="n">
        <v>0.03583061889250815</v>
      </c>
      <c r="E6" t="inlineStr">
        <is>
          <t>Incomplete analysis and potentially inconsistent underwriting evidence</t>
        </is>
      </c>
      <c r="F6" t="inlineStr">
        <is>
          <t>Validate and complete from source; do not silently impute</t>
        </is>
      </c>
    </row>
    <row r="7">
      <c r="A7" t="inlineStr">
        <is>
          <t>Missing values</t>
        </is>
      </c>
      <c r="B7" t="inlineStr">
        <is>
          <t>Loan_Amount_Term</t>
        </is>
      </c>
      <c r="C7" t="n">
        <v>14</v>
      </c>
      <c r="D7" s="9" t="n">
        <v>0.02280130293159609</v>
      </c>
      <c r="E7" t="inlineStr">
        <is>
          <t>Incomplete analysis and potentially inconsistent underwriting evidence</t>
        </is>
      </c>
      <c r="F7" t="inlineStr">
        <is>
          <t>Validate and complete from source; do not silently impute</t>
        </is>
      </c>
    </row>
    <row r="8">
      <c r="A8" t="inlineStr">
        <is>
          <t>Missing values</t>
        </is>
      </c>
      <c r="B8" t="inlineStr">
        <is>
          <t>Credit_History</t>
        </is>
      </c>
      <c r="C8" t="n">
        <v>50</v>
      </c>
      <c r="D8" s="9" t="n">
        <v>0.08143322475570032</v>
      </c>
      <c r="E8" t="inlineStr">
        <is>
          <t>Incomplete analysis and potentially inconsistent underwriting evidence</t>
        </is>
      </c>
      <c r="F8" t="inlineStr">
        <is>
          <t>Validate and complete from source; do not silently impute</t>
        </is>
      </c>
    </row>
    <row r="9">
      <c r="A9" t="inlineStr">
        <is>
          <t>Duplicate full records</t>
        </is>
      </c>
      <c r="B9" t="inlineStr">
        <is>
          <t>All fields</t>
        </is>
      </c>
      <c r="C9" t="n">
        <v>0</v>
      </c>
      <c r="D9" s="9" t="n">
        <v>0</v>
      </c>
      <c r="E9" t="inlineStr">
        <is>
          <t>Could overstate portfolio volumes</t>
        </is>
      </c>
      <c r="F9" t="inlineStr">
        <is>
          <t>Investigate and remove only after source confirmation</t>
        </is>
      </c>
    </row>
    <row r="10">
      <c r="A10" t="inlineStr">
        <is>
          <t>Duplicate identifiers</t>
        </is>
      </c>
      <c r="B10" t="inlineStr">
        <is>
          <t>Loan_ID</t>
        </is>
      </c>
      <c r="C10" t="n">
        <v>0</v>
      </c>
      <c r="D10" s="9" t="n">
        <v>0</v>
      </c>
      <c r="E10" t="inlineStr">
        <is>
          <t>Could double-count applications</t>
        </is>
      </c>
      <c r="F10" t="inlineStr">
        <is>
          <t>Enforce unique identifier constraint</t>
        </is>
      </c>
    </row>
    <row r="11">
      <c r="A11" t="inlineStr">
        <is>
          <t>IQR outlier flag</t>
        </is>
      </c>
      <c r="B11" t="inlineStr">
        <is>
          <t>ApplicantIncome</t>
        </is>
      </c>
      <c r="C11" t="n">
        <v>50</v>
      </c>
      <c r="D11" s="9" t="n">
        <v>0.08143322475570032</v>
      </c>
      <c r="E11" t="inlineStr">
        <is>
          <t>May represent valid extremes, input errors or unit issues</t>
        </is>
      </c>
      <c r="F11" t="inlineStr">
        <is>
          <t>Review against source; do not delete automatically</t>
        </is>
      </c>
    </row>
    <row r="12">
      <c r="A12" t="inlineStr">
        <is>
          <t>IQR outlier flag</t>
        </is>
      </c>
      <c r="B12" t="inlineStr">
        <is>
          <t>CoapplicantIncome</t>
        </is>
      </c>
      <c r="C12" t="n">
        <v>18</v>
      </c>
      <c r="D12" s="9" t="n">
        <v>0.02931596091205212</v>
      </c>
      <c r="E12" t="inlineStr">
        <is>
          <t>May represent valid extremes, input errors or unit issues</t>
        </is>
      </c>
      <c r="F12" t="inlineStr">
        <is>
          <t>Review against source; do not delete automatically</t>
        </is>
      </c>
    </row>
    <row r="13">
      <c r="A13" t="inlineStr">
        <is>
          <t>IQR outlier flag</t>
        </is>
      </c>
      <c r="B13" t="inlineStr">
        <is>
          <t>LoanAmount</t>
        </is>
      </c>
      <c r="C13" t="n">
        <v>39</v>
      </c>
      <c r="D13" s="9" t="n">
        <v>0.06587837837837837</v>
      </c>
      <c r="E13" t="inlineStr">
        <is>
          <t>May represent valid extremes, input errors or unit issues</t>
        </is>
      </c>
      <c r="F13" t="inlineStr">
        <is>
          <t>Review against source; do not delete automatically</t>
        </is>
      </c>
    </row>
    <row r="14">
      <c r="A14" t="inlineStr">
        <is>
          <t>IQR outlier flag</t>
        </is>
      </c>
      <c r="B14" t="inlineStr">
        <is>
          <t>Loan_Amount_Term</t>
        </is>
      </c>
      <c r="C14" t="n">
        <v>88</v>
      </c>
      <c r="D14" s="9" t="n">
        <v>0.1466666666666667</v>
      </c>
      <c r="E14" t="inlineStr">
        <is>
          <t>May represent valid extremes, input errors or unit issues</t>
        </is>
      </c>
      <c r="F14" t="inlineStr">
        <is>
          <t>Review against source; do not delete automatically</t>
        </is>
      </c>
    </row>
    <row r="15">
      <c r="A15" t="inlineStr">
        <is>
          <t>Unusual non-positive term</t>
        </is>
      </c>
      <c r="B15" t="inlineStr">
        <is>
          <t>Loan_Amount_Term</t>
        </is>
      </c>
      <c r="C15" t="n">
        <v>0</v>
      </c>
      <c r="D15" s="9" t="n">
        <v>0</v>
      </c>
      <c r="E15" t="inlineStr">
        <is>
          <t>May invalidate tenor analysis</t>
        </is>
      </c>
      <c r="F15" t="inlineStr">
        <is>
          <t>Verify permitted term values and units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22" customWidth="1" min="3" max="3"/>
    <col width="27" customWidth="1" min="4" max="4"/>
    <col width="27" customWidth="1" min="5" max="5"/>
  </cols>
  <sheetData>
    <row r="1" ht="28" customHeight="1">
      <c r="A1" s="29" t="inlineStr">
        <is>
          <t>KPI</t>
        </is>
      </c>
      <c r="B1" s="29" t="inlineStr">
        <is>
          <t>Definition / Formula</t>
        </is>
      </c>
      <c r="C1" s="29" t="inlineStr">
        <is>
          <t>Calculated Value</t>
        </is>
      </c>
      <c r="D1" s="29" t="inlineStr">
        <is>
          <t>Business Interpretation</t>
        </is>
      </c>
      <c r="E1" s="29" t="inlineStr">
        <is>
          <t>Limitation</t>
        </is>
      </c>
    </row>
    <row r="2">
      <c r="A2" t="inlineStr">
        <is>
          <t>Total Records</t>
        </is>
      </c>
      <c r="B2" t="inlineStr">
        <is>
          <t>COUNT of application rows</t>
        </is>
      </c>
      <c r="C2" t="n">
        <v>614</v>
      </c>
      <c r="D2" t="inlineStr">
        <is>
          <t>Applications represented</t>
        </is>
      </c>
      <c r="E2" t="inlineStr">
        <is>
          <t>Not unique customers</t>
        </is>
      </c>
    </row>
    <row r="3">
      <c r="A3" t="inlineStr">
        <is>
          <t>Approved Applications</t>
        </is>
      </c>
      <c r="B3" t="inlineStr">
        <is>
          <t>COUNTIF Loan_Status = Y</t>
        </is>
      </c>
      <c r="C3" t="n">
        <v>422</v>
      </c>
      <c r="D3" t="inlineStr">
        <is>
          <t>Approved decisions</t>
        </is>
      </c>
      <c r="E3" t="inlineStr">
        <is>
          <t>Not disbursements</t>
        </is>
      </c>
    </row>
    <row r="4">
      <c r="A4" t="inlineStr">
        <is>
          <t>Rejected Applications</t>
        </is>
      </c>
      <c r="B4" t="inlineStr">
        <is>
          <t>COUNTIF Loan_Status = N</t>
        </is>
      </c>
      <c r="C4" t="n">
        <v>192</v>
      </c>
      <c r="D4" t="inlineStr">
        <is>
          <t>Rejected decisions</t>
        </is>
      </c>
      <c r="E4" t="inlineStr">
        <is>
          <t>Not defaults</t>
        </is>
      </c>
    </row>
    <row r="5">
      <c r="A5" t="inlineStr">
        <is>
          <t>Approval Rate</t>
        </is>
      </c>
      <c r="B5" t="inlineStr">
        <is>
          <t>Approved / Total</t>
        </is>
      </c>
      <c r="C5" s="9" t="n">
        <v>0.6872964169381107</v>
      </c>
      <c r="D5" t="inlineStr">
        <is>
          <t>Decision conversion</t>
        </is>
      </c>
      <c r="E5" t="inlineStr">
        <is>
          <t>Not repayment performance</t>
        </is>
      </c>
    </row>
    <row r="6">
      <c r="A6" t="inlineStr">
        <is>
          <t>Rejection Rate</t>
        </is>
      </c>
      <c r="B6" t="inlineStr">
        <is>
          <t>Rejected / Total</t>
        </is>
      </c>
      <c r="C6" s="9" t="n">
        <v>0.3127035830618892</v>
      </c>
      <c r="D6" t="inlineStr">
        <is>
          <t>Non-approval share</t>
        </is>
      </c>
      <c r="E6" t="inlineStr">
        <is>
          <t>Not default rate</t>
        </is>
      </c>
    </row>
    <row r="7">
      <c r="A7" t="inlineStr">
        <is>
          <t>Average Applicant Income</t>
        </is>
      </c>
      <c r="B7" t="inlineStr">
        <is>
          <t>AVERAGE ApplicantIncome</t>
        </is>
      </c>
      <c r="C7" t="n">
        <v>5403.459283387622</v>
      </c>
      <c r="D7" t="inlineStr">
        <is>
          <t>Reported income profile</t>
        </is>
      </c>
      <c r="E7" t="inlineStr">
        <is>
          <t>Units/period undocumented</t>
        </is>
      </c>
    </row>
    <row r="8">
      <c r="A8" t="inlineStr">
        <is>
          <t>Median Applicant Income</t>
        </is>
      </c>
      <c r="B8" t="inlineStr">
        <is>
          <t>MEDIAN ApplicantIncome</t>
        </is>
      </c>
      <c r="C8" t="n">
        <v>3812.5</v>
      </c>
      <c r="D8" t="inlineStr">
        <is>
          <t>Typical reported income</t>
        </is>
      </c>
      <c r="E8" t="inlineStr">
        <is>
          <t>Units/period undocumented</t>
        </is>
      </c>
    </row>
    <row r="9">
      <c r="A9" t="inlineStr">
        <is>
          <t>Average Combined Income</t>
        </is>
      </c>
      <c r="B9" t="inlineStr">
        <is>
          <t>AVERAGE ApplicantIncome + CoapplicantIncome</t>
        </is>
      </c>
      <c r="C9" t="n">
        <v>7024.705081414722</v>
      </c>
      <c r="D9" t="inlineStr">
        <is>
          <t>Household-income proxy</t>
        </is>
      </c>
      <c r="E9" t="inlineStr">
        <is>
          <t>Reported, not verified</t>
        </is>
      </c>
    </row>
    <row r="10">
      <c r="A10" t="inlineStr">
        <is>
          <t>Average Loan Amount</t>
        </is>
      </c>
      <c r="B10" t="inlineStr">
        <is>
          <t>AVERAGE LoanAmount</t>
        </is>
      </c>
      <c r="C10" t="n">
        <v>146.4121621621622</v>
      </c>
      <c r="D10" t="inlineStr">
        <is>
          <t>Average requested amount</t>
        </is>
      </c>
      <c r="E10" t="inlineStr">
        <is>
          <t>Unit undocumented</t>
        </is>
      </c>
    </row>
    <row r="11">
      <c r="A11" t="inlineStr">
        <is>
          <t>Median Loan Amount</t>
        </is>
      </c>
      <c r="B11" t="inlineStr">
        <is>
          <t>MEDIAN LoanAmount</t>
        </is>
      </c>
      <c r="C11" t="n">
        <v>128</v>
      </c>
      <c r="D11" t="inlineStr">
        <is>
          <t>Typical requested amount</t>
        </is>
      </c>
      <c r="E11" t="inlineStr">
        <is>
          <t>Missing values excluded</t>
        </is>
      </c>
    </row>
    <row r="12">
      <c r="A12" t="inlineStr">
        <is>
          <t>Missing Cell Rate</t>
        </is>
      </c>
      <c r="B12" t="inlineStr">
        <is>
          <t>Missing cells / source cells</t>
        </is>
      </c>
      <c r="C12" s="9" t="n">
        <v>0.01733364355514192</v>
      </c>
      <c r="D12" t="inlineStr">
        <is>
          <t>Overall data completeness</t>
        </is>
      </c>
      <c r="E12" t="inlineStr">
        <is>
          <t>Field-level issues vary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5" customWidth="1" min="3" max="3"/>
    <col width="2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1" customWidth="1" min="10" max="10"/>
    <col width="20" customWidth="1" min="11" max="11"/>
    <col width="11" customWidth="1" min="12" max="12"/>
    <col width="11" customWidth="1" min="13" max="13"/>
    <col width="11" customWidth="1" min="14" max="14"/>
  </cols>
  <sheetData>
    <row r="1" ht="28" customHeight="1">
      <c r="A1" s="29" t="inlineStr">
        <is>
          <t>Field</t>
        </is>
      </c>
      <c r="B1" s="29" t="inlineStr">
        <is>
          <t>Count</t>
        </is>
      </c>
      <c r="C1" s="29" t="inlineStr">
        <is>
          <t>Missing Count</t>
        </is>
      </c>
      <c r="D1" s="29" t="inlineStr">
        <is>
          <t>Mean</t>
        </is>
      </c>
      <c r="E1" s="29" t="inlineStr">
        <is>
          <t>Median</t>
        </is>
      </c>
      <c r="F1" s="29" t="inlineStr">
        <is>
          <t>Mode</t>
        </is>
      </c>
      <c r="G1" s="29" t="inlineStr">
        <is>
          <t>Minimum</t>
        </is>
      </c>
      <c r="H1" s="29" t="inlineStr">
        <is>
          <t>Maximum</t>
        </is>
      </c>
      <c r="I1" s="29" t="inlineStr">
        <is>
          <t>Range</t>
        </is>
      </c>
      <c r="J1" s="29" t="inlineStr">
        <is>
          <t>Variance</t>
        </is>
      </c>
      <c r="K1" s="29" t="inlineStr">
        <is>
          <t>Std Dev</t>
        </is>
      </c>
      <c r="L1" s="29" t="inlineStr">
        <is>
          <t>Q1</t>
        </is>
      </c>
      <c r="M1" s="29" t="inlineStr">
        <is>
          <t>Q3</t>
        </is>
      </c>
      <c r="N1" s="29" t="inlineStr">
        <is>
          <t>IQR</t>
        </is>
      </c>
    </row>
    <row r="2">
      <c r="A2" t="inlineStr">
        <is>
          <t>ApplicantIncome</t>
        </is>
      </c>
      <c r="B2" t="n">
        <v>614</v>
      </c>
      <c r="C2" t="n">
        <v>0</v>
      </c>
      <c r="D2" t="n">
        <v>5403.459283387622</v>
      </c>
      <c r="E2" t="n">
        <v>3812.5</v>
      </c>
      <c r="F2" t="n">
        <v>2500</v>
      </c>
      <c r="G2" t="n">
        <v>150</v>
      </c>
      <c r="H2" t="n">
        <v>81000</v>
      </c>
      <c r="I2" t="n">
        <v>80850</v>
      </c>
      <c r="J2" t="n">
        <v>37320390.16718121</v>
      </c>
      <c r="K2" t="n">
        <v>6109.041673387178</v>
      </c>
      <c r="L2" t="n">
        <v>2877.5</v>
      </c>
      <c r="M2" t="n">
        <v>5795</v>
      </c>
      <c r="N2" t="n">
        <v>2917.5</v>
      </c>
    </row>
    <row r="3">
      <c r="A3" t="inlineStr">
        <is>
          <t>CoapplicantIncome</t>
        </is>
      </c>
      <c r="B3" t="n">
        <v>614</v>
      </c>
      <c r="C3" t="n">
        <v>0</v>
      </c>
      <c r="D3" t="n">
        <v>1621.245798027101</v>
      </c>
      <c r="E3" t="n">
        <v>1188.5</v>
      </c>
      <c r="F3" t="n">
        <v>0</v>
      </c>
      <c r="G3" t="n">
        <v>0</v>
      </c>
      <c r="H3" t="n">
        <v>41667</v>
      </c>
      <c r="I3" t="n">
        <v>41667</v>
      </c>
      <c r="J3" t="n">
        <v>8562929.518387223</v>
      </c>
      <c r="K3" t="n">
        <v>2926.248369224189</v>
      </c>
      <c r="L3" t="n">
        <v>0</v>
      </c>
      <c r="M3" t="n">
        <v>2297.25</v>
      </c>
      <c r="N3" t="n">
        <v>2297.25</v>
      </c>
    </row>
    <row r="4">
      <c r="A4" t="inlineStr">
        <is>
          <t>LoanAmount</t>
        </is>
      </c>
      <c r="B4" t="n">
        <v>592</v>
      </c>
      <c r="C4" t="n">
        <v>22</v>
      </c>
      <c r="D4" t="n">
        <v>146.4121621621622</v>
      </c>
      <c r="E4" t="n">
        <v>128</v>
      </c>
      <c r="F4" t="n">
        <v>120</v>
      </c>
      <c r="G4" t="n">
        <v>9</v>
      </c>
      <c r="H4" t="n">
        <v>700</v>
      </c>
      <c r="I4" t="n">
        <v>691</v>
      </c>
      <c r="J4" t="n">
        <v>7325.190241002424</v>
      </c>
      <c r="K4" t="n">
        <v>85.58732523570545</v>
      </c>
      <c r="L4" t="n">
        <v>100</v>
      </c>
      <c r="M4" t="n">
        <v>168</v>
      </c>
      <c r="N4" t="n">
        <v>68</v>
      </c>
    </row>
    <row r="5">
      <c r="A5" t="inlineStr">
        <is>
          <t>Loan_Amount_Term</t>
        </is>
      </c>
      <c r="B5" t="n">
        <v>600</v>
      </c>
      <c r="C5" t="n">
        <v>14</v>
      </c>
      <c r="D5" t="n">
        <v>342</v>
      </c>
      <c r="E5" t="n">
        <v>360</v>
      </c>
      <c r="F5" t="n">
        <v>360</v>
      </c>
      <c r="G5" t="n">
        <v>12</v>
      </c>
      <c r="H5" t="n">
        <v>480</v>
      </c>
      <c r="I5" t="n">
        <v>468</v>
      </c>
      <c r="J5" t="n">
        <v>4240.667779632721</v>
      </c>
      <c r="K5" t="n">
        <v>65.12040985461256</v>
      </c>
      <c r="L5" t="n">
        <v>360</v>
      </c>
      <c r="M5" t="n">
        <v>360</v>
      </c>
      <c r="N5" t="n">
        <v>0</v>
      </c>
    </row>
    <row r="6">
      <c r="A6" t="inlineStr">
        <is>
          <t>Credit_History</t>
        </is>
      </c>
      <c r="B6" t="n">
        <v>564</v>
      </c>
      <c r="C6" t="n">
        <v>50</v>
      </c>
      <c r="D6" t="n">
        <v>0.8421985815602837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0.1331361878487837</v>
      </c>
      <c r="K6" t="n">
        <v>0.3648783192364048</v>
      </c>
      <c r="L6" t="n">
        <v>1</v>
      </c>
      <c r="M6" t="n">
        <v>1</v>
      </c>
      <c r="N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6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3" customWidth="1" min="4" max="4"/>
    <col width="11" customWidth="1" min="5" max="5"/>
  </cols>
  <sheetData>
    <row r="1" ht="28" customHeight="1">
      <c r="A1" s="29" t="inlineStr">
        <is>
          <t>Field</t>
        </is>
      </c>
      <c r="B1" s="29" t="inlineStr">
        <is>
          <t>Category</t>
        </is>
      </c>
      <c r="C1" s="29" t="inlineStr">
        <is>
          <t>Frequency</t>
        </is>
      </c>
      <c r="D1" s="29" t="inlineStr">
        <is>
          <t>Percentage</t>
        </is>
      </c>
      <c r="E1" s="29" t="inlineStr">
        <is>
          <t>Rank</t>
        </is>
      </c>
    </row>
    <row r="2">
      <c r="A2" t="inlineStr">
        <is>
          <t>Loan_ID</t>
        </is>
      </c>
      <c r="B2" t="inlineStr">
        <is>
          <t>LP002990</t>
        </is>
      </c>
      <c r="C2" t="n">
        <v>1</v>
      </c>
      <c r="D2" s="9" t="n">
        <v>0.001628664495114007</v>
      </c>
      <c r="E2" t="n">
        <v>1</v>
      </c>
    </row>
    <row r="3">
      <c r="A3" t="inlineStr">
        <is>
          <t>Loan_ID</t>
        </is>
      </c>
      <c r="B3" t="inlineStr">
        <is>
          <t>LP001002</t>
        </is>
      </c>
      <c r="C3" t="n">
        <v>1</v>
      </c>
      <c r="D3" s="9" t="n">
        <v>0.001628664495114007</v>
      </c>
      <c r="E3" t="n">
        <v>2</v>
      </c>
    </row>
    <row r="4">
      <c r="A4" t="inlineStr">
        <is>
          <t>Loan_ID</t>
        </is>
      </c>
      <c r="B4" t="inlineStr">
        <is>
          <t>LP001003</t>
        </is>
      </c>
      <c r="C4" t="n">
        <v>1</v>
      </c>
      <c r="D4" s="9" t="n">
        <v>0.001628664495114007</v>
      </c>
      <c r="E4" t="n">
        <v>3</v>
      </c>
    </row>
    <row r="5">
      <c r="A5" t="inlineStr">
        <is>
          <t>Loan_ID</t>
        </is>
      </c>
      <c r="B5" t="inlineStr">
        <is>
          <t>LP001005</t>
        </is>
      </c>
      <c r="C5" t="n">
        <v>1</v>
      </c>
      <c r="D5" s="9" t="n">
        <v>0.001628664495114007</v>
      </c>
      <c r="E5" t="n">
        <v>4</v>
      </c>
    </row>
    <row r="6">
      <c r="A6" t="inlineStr">
        <is>
          <t>Loan_ID</t>
        </is>
      </c>
      <c r="B6" t="inlineStr">
        <is>
          <t>LP001006</t>
        </is>
      </c>
      <c r="C6" t="n">
        <v>1</v>
      </c>
      <c r="D6" s="9" t="n">
        <v>0.001628664495114007</v>
      </c>
      <c r="E6" t="n">
        <v>5</v>
      </c>
    </row>
    <row r="7">
      <c r="A7" t="inlineStr">
        <is>
          <t>Loan_ID</t>
        </is>
      </c>
      <c r="B7" t="inlineStr">
        <is>
          <t>LP001008</t>
        </is>
      </c>
      <c r="C7" t="n">
        <v>1</v>
      </c>
      <c r="D7" s="9" t="n">
        <v>0.001628664495114007</v>
      </c>
      <c r="E7" t="n">
        <v>6</v>
      </c>
    </row>
    <row r="8">
      <c r="A8" t="inlineStr">
        <is>
          <t>Loan_ID</t>
        </is>
      </c>
      <c r="B8" t="inlineStr">
        <is>
          <t>LP002863</t>
        </is>
      </c>
      <c r="C8" t="n">
        <v>1</v>
      </c>
      <c r="D8" s="9" t="n">
        <v>0.001628664495114007</v>
      </c>
      <c r="E8" t="n">
        <v>7</v>
      </c>
    </row>
    <row r="9">
      <c r="A9" t="inlineStr">
        <is>
          <t>Loan_ID</t>
        </is>
      </c>
      <c r="B9" t="inlineStr">
        <is>
          <t>LP002868</t>
        </is>
      </c>
      <c r="C9" t="n">
        <v>1</v>
      </c>
      <c r="D9" s="9" t="n">
        <v>0.001628664495114007</v>
      </c>
      <c r="E9" t="n">
        <v>8</v>
      </c>
    </row>
    <row r="10">
      <c r="A10" t="inlineStr">
        <is>
          <t>Loan_ID</t>
        </is>
      </c>
      <c r="B10" t="inlineStr">
        <is>
          <t>LP002872</t>
        </is>
      </c>
      <c r="C10" t="n">
        <v>1</v>
      </c>
      <c r="D10" s="9" t="n">
        <v>0.001628664495114007</v>
      </c>
      <c r="E10" t="n">
        <v>9</v>
      </c>
    </row>
    <row r="11">
      <c r="A11" t="inlineStr">
        <is>
          <t>Loan_ID</t>
        </is>
      </c>
      <c r="B11" t="inlineStr">
        <is>
          <t>LP002874</t>
        </is>
      </c>
      <c r="C11" t="n">
        <v>1</v>
      </c>
      <c r="D11" s="9" t="n">
        <v>0.001628664495114007</v>
      </c>
      <c r="E11" t="n">
        <v>10</v>
      </c>
    </row>
    <row r="12">
      <c r="A12" t="inlineStr">
        <is>
          <t>Loan_ID</t>
        </is>
      </c>
      <c r="B12" t="inlineStr">
        <is>
          <t>LP002877</t>
        </is>
      </c>
      <c r="C12" t="n">
        <v>1</v>
      </c>
      <c r="D12" s="9" t="n">
        <v>0.001628664495114007</v>
      </c>
      <c r="E12" t="n">
        <v>11</v>
      </c>
    </row>
    <row r="13">
      <c r="A13" t="inlineStr">
        <is>
          <t>Loan_ID</t>
        </is>
      </c>
      <c r="B13" t="inlineStr">
        <is>
          <t>LP002888</t>
        </is>
      </c>
      <c r="C13" t="n">
        <v>1</v>
      </c>
      <c r="D13" s="9" t="n">
        <v>0.001628664495114007</v>
      </c>
      <c r="E13" t="n">
        <v>12</v>
      </c>
    </row>
    <row r="14">
      <c r="A14" t="inlineStr">
        <is>
          <t>Loan_ID</t>
        </is>
      </c>
      <c r="B14" t="inlineStr">
        <is>
          <t>LP002892</t>
        </is>
      </c>
      <c r="C14" t="n">
        <v>1</v>
      </c>
      <c r="D14" s="9" t="n">
        <v>0.001628664495114007</v>
      </c>
      <c r="E14" t="n">
        <v>13</v>
      </c>
    </row>
    <row r="15">
      <c r="A15" t="inlineStr">
        <is>
          <t>Loan_ID</t>
        </is>
      </c>
      <c r="B15" t="inlineStr">
        <is>
          <t>LP002893</t>
        </is>
      </c>
      <c r="C15" t="n">
        <v>1</v>
      </c>
      <c r="D15" s="9" t="n">
        <v>0.001628664495114007</v>
      </c>
      <c r="E15" t="n">
        <v>14</v>
      </c>
    </row>
    <row r="16">
      <c r="A16" t="inlineStr">
        <is>
          <t>Loan_ID</t>
        </is>
      </c>
      <c r="B16" t="inlineStr">
        <is>
          <t>LP002836</t>
        </is>
      </c>
      <c r="C16" t="n">
        <v>1</v>
      </c>
      <c r="D16" s="9" t="n">
        <v>0.001628664495114007</v>
      </c>
      <c r="E16" t="n">
        <v>15</v>
      </c>
    </row>
    <row r="17">
      <c r="A17" t="inlineStr">
        <is>
          <t>Loan_ID</t>
        </is>
      </c>
      <c r="B17" t="inlineStr">
        <is>
          <t>LP002837</t>
        </is>
      </c>
      <c r="C17" t="n">
        <v>1</v>
      </c>
      <c r="D17" s="9" t="n">
        <v>0.001628664495114007</v>
      </c>
      <c r="E17" t="n">
        <v>16</v>
      </c>
    </row>
    <row r="18">
      <c r="A18" t="inlineStr">
        <is>
          <t>Loan_ID</t>
        </is>
      </c>
      <c r="B18" t="inlineStr">
        <is>
          <t>LP002840</t>
        </is>
      </c>
      <c r="C18" t="n">
        <v>1</v>
      </c>
      <c r="D18" s="9" t="n">
        <v>0.001628664495114007</v>
      </c>
      <c r="E18" t="n">
        <v>17</v>
      </c>
    </row>
    <row r="19">
      <c r="A19" t="inlineStr">
        <is>
          <t>Loan_ID</t>
        </is>
      </c>
      <c r="B19" t="inlineStr">
        <is>
          <t>LP002841</t>
        </is>
      </c>
      <c r="C19" t="n">
        <v>1</v>
      </c>
      <c r="D19" s="9" t="n">
        <v>0.001628664495114007</v>
      </c>
      <c r="E19" t="n">
        <v>18</v>
      </c>
    </row>
    <row r="20">
      <c r="A20" t="inlineStr">
        <is>
          <t>Loan_ID</t>
        </is>
      </c>
      <c r="B20" t="inlineStr">
        <is>
          <t>LP002842</t>
        </is>
      </c>
      <c r="C20" t="n">
        <v>1</v>
      </c>
      <c r="D20" s="9" t="n">
        <v>0.001628664495114007</v>
      </c>
      <c r="E20" t="n">
        <v>19</v>
      </c>
    </row>
    <row r="21">
      <c r="A21" t="inlineStr">
        <is>
          <t>Loan_ID</t>
        </is>
      </c>
      <c r="B21" t="inlineStr">
        <is>
          <t>LP002847</t>
        </is>
      </c>
      <c r="C21" t="n">
        <v>1</v>
      </c>
      <c r="D21" s="9" t="n">
        <v>0.001628664495114007</v>
      </c>
      <c r="E21" t="n">
        <v>20</v>
      </c>
    </row>
    <row r="22">
      <c r="A22" t="inlineStr">
        <is>
          <t>Loan_ID</t>
        </is>
      </c>
      <c r="B22" t="inlineStr">
        <is>
          <t>LP002855</t>
        </is>
      </c>
      <c r="C22" t="n">
        <v>1</v>
      </c>
      <c r="D22" s="9" t="n">
        <v>0.001628664495114007</v>
      </c>
      <c r="E22" t="n">
        <v>21</v>
      </c>
    </row>
    <row r="23">
      <c r="A23" t="inlineStr">
        <is>
          <t>Loan_ID</t>
        </is>
      </c>
      <c r="B23" t="inlineStr">
        <is>
          <t>LP002862</t>
        </is>
      </c>
      <c r="C23" t="n">
        <v>1</v>
      </c>
      <c r="D23" s="9" t="n">
        <v>0.001628664495114007</v>
      </c>
      <c r="E23" t="n">
        <v>22</v>
      </c>
    </row>
    <row r="24">
      <c r="A24" t="inlineStr">
        <is>
          <t>Loan_ID</t>
        </is>
      </c>
      <c r="B24" t="inlineStr">
        <is>
          <t>LP002798</t>
        </is>
      </c>
      <c r="C24" t="n">
        <v>1</v>
      </c>
      <c r="D24" s="9" t="n">
        <v>0.001628664495114007</v>
      </c>
      <c r="E24" t="n">
        <v>23</v>
      </c>
    </row>
    <row r="25">
      <c r="A25" t="inlineStr">
        <is>
          <t>Loan_ID</t>
        </is>
      </c>
      <c r="B25" t="inlineStr">
        <is>
          <t>LP002804</t>
        </is>
      </c>
      <c r="C25" t="n">
        <v>1</v>
      </c>
      <c r="D25" s="9" t="n">
        <v>0.001628664495114007</v>
      </c>
      <c r="E25" t="n">
        <v>24</v>
      </c>
    </row>
    <row r="26">
      <c r="A26" t="inlineStr">
        <is>
          <t>Loan_ID</t>
        </is>
      </c>
      <c r="B26" t="inlineStr">
        <is>
          <t>LP002807</t>
        </is>
      </c>
      <c r="C26" t="n">
        <v>1</v>
      </c>
      <c r="D26" s="9" t="n">
        <v>0.001628664495114007</v>
      </c>
      <c r="E26" t="n">
        <v>25</v>
      </c>
    </row>
    <row r="27">
      <c r="A27" t="inlineStr">
        <is>
          <t>Loan_ID</t>
        </is>
      </c>
      <c r="B27" t="inlineStr">
        <is>
          <t>LP002813</t>
        </is>
      </c>
      <c r="C27" t="n">
        <v>1</v>
      </c>
      <c r="D27" s="9" t="n">
        <v>0.001628664495114007</v>
      </c>
      <c r="E27" t="n">
        <v>26</v>
      </c>
    </row>
    <row r="28">
      <c r="A28" t="inlineStr">
        <is>
          <t>Loan_ID</t>
        </is>
      </c>
      <c r="B28" t="inlineStr">
        <is>
          <t>LP002820</t>
        </is>
      </c>
      <c r="C28" t="n">
        <v>1</v>
      </c>
      <c r="D28" s="9" t="n">
        <v>0.001628664495114007</v>
      </c>
      <c r="E28" t="n">
        <v>27</v>
      </c>
    </row>
    <row r="29">
      <c r="A29" t="inlineStr">
        <is>
          <t>Loan_ID</t>
        </is>
      </c>
      <c r="B29" t="inlineStr">
        <is>
          <t>LP002821</t>
        </is>
      </c>
      <c r="C29" t="n">
        <v>1</v>
      </c>
      <c r="D29" s="9" t="n">
        <v>0.001628664495114007</v>
      </c>
      <c r="E29" t="n">
        <v>28</v>
      </c>
    </row>
    <row r="30">
      <c r="A30" t="inlineStr">
        <is>
          <t>Loan_ID</t>
        </is>
      </c>
      <c r="B30" t="inlineStr">
        <is>
          <t>LP002832</t>
        </is>
      </c>
      <c r="C30" t="n">
        <v>1</v>
      </c>
      <c r="D30" s="9" t="n">
        <v>0.001628664495114007</v>
      </c>
      <c r="E30" t="n">
        <v>29</v>
      </c>
    </row>
    <row r="31">
      <c r="A31" t="inlineStr">
        <is>
          <t>Loan_ID</t>
        </is>
      </c>
      <c r="B31" t="inlineStr">
        <is>
          <t>LP002833</t>
        </is>
      </c>
      <c r="C31" t="n">
        <v>1</v>
      </c>
      <c r="D31" s="9" t="n">
        <v>0.001628664495114007</v>
      </c>
      <c r="E31" t="n">
        <v>30</v>
      </c>
    </row>
    <row r="32">
      <c r="A32" t="inlineStr">
        <is>
          <t>Loan_ID</t>
        </is>
      </c>
      <c r="B32" t="inlineStr">
        <is>
          <t>LP002778</t>
        </is>
      </c>
      <c r="C32" t="n">
        <v>1</v>
      </c>
      <c r="D32" s="9" t="n">
        <v>0.001628664495114007</v>
      </c>
      <c r="E32" t="n">
        <v>31</v>
      </c>
    </row>
    <row r="33">
      <c r="A33" t="inlineStr">
        <is>
          <t>Loan_ID</t>
        </is>
      </c>
      <c r="B33" t="inlineStr">
        <is>
          <t>LP002784</t>
        </is>
      </c>
      <c r="C33" t="n">
        <v>1</v>
      </c>
      <c r="D33" s="9" t="n">
        <v>0.001628664495114007</v>
      </c>
      <c r="E33" t="n">
        <v>32</v>
      </c>
    </row>
    <row r="34">
      <c r="A34" t="inlineStr">
        <is>
          <t>Loan_ID</t>
        </is>
      </c>
      <c r="B34" t="inlineStr">
        <is>
          <t>LP002785</t>
        </is>
      </c>
      <c r="C34" t="n">
        <v>1</v>
      </c>
      <c r="D34" s="9" t="n">
        <v>0.001628664495114007</v>
      </c>
      <c r="E34" t="n">
        <v>33</v>
      </c>
    </row>
    <row r="35">
      <c r="A35" t="inlineStr">
        <is>
          <t>Loan_ID</t>
        </is>
      </c>
      <c r="B35" t="inlineStr">
        <is>
          <t>LP002788</t>
        </is>
      </c>
      <c r="C35" t="n">
        <v>1</v>
      </c>
      <c r="D35" s="9" t="n">
        <v>0.001628664495114007</v>
      </c>
      <c r="E35" t="n">
        <v>34</v>
      </c>
    </row>
    <row r="36">
      <c r="A36" t="inlineStr">
        <is>
          <t>Loan_ID</t>
        </is>
      </c>
      <c r="B36" t="inlineStr">
        <is>
          <t>LP002789</t>
        </is>
      </c>
      <c r="C36" t="n">
        <v>1</v>
      </c>
      <c r="D36" s="9" t="n">
        <v>0.001628664495114007</v>
      </c>
      <c r="E36" t="n">
        <v>35</v>
      </c>
    </row>
    <row r="37">
      <c r="A37" t="inlineStr">
        <is>
          <t>Loan_ID</t>
        </is>
      </c>
      <c r="B37" t="inlineStr">
        <is>
          <t>LP002792</t>
        </is>
      </c>
      <c r="C37" t="n">
        <v>1</v>
      </c>
      <c r="D37" s="9" t="n">
        <v>0.001628664495114007</v>
      </c>
      <c r="E37" t="n">
        <v>36</v>
      </c>
    </row>
    <row r="38">
      <c r="A38" t="inlineStr">
        <is>
          <t>Loan_ID</t>
        </is>
      </c>
      <c r="B38" t="inlineStr">
        <is>
          <t>LP002794</t>
        </is>
      </c>
      <c r="C38" t="n">
        <v>1</v>
      </c>
      <c r="D38" s="9" t="n">
        <v>0.001628664495114007</v>
      </c>
      <c r="E38" t="n">
        <v>37</v>
      </c>
    </row>
    <row r="39">
      <c r="A39" t="inlineStr">
        <is>
          <t>Loan_ID</t>
        </is>
      </c>
      <c r="B39" t="inlineStr">
        <is>
          <t>LP002795</t>
        </is>
      </c>
      <c r="C39" t="n">
        <v>1</v>
      </c>
      <c r="D39" s="9" t="n">
        <v>0.001628664495114007</v>
      </c>
      <c r="E39" t="n">
        <v>38</v>
      </c>
    </row>
    <row r="40">
      <c r="A40" t="inlineStr">
        <is>
          <t>Loan_ID</t>
        </is>
      </c>
      <c r="B40" t="inlineStr">
        <is>
          <t>LP001207</t>
        </is>
      </c>
      <c r="C40" t="n">
        <v>1</v>
      </c>
      <c r="D40" s="9" t="n">
        <v>0.001628664495114007</v>
      </c>
      <c r="E40" t="n">
        <v>39</v>
      </c>
    </row>
    <row r="41">
      <c r="A41" t="inlineStr">
        <is>
          <t>Loan_ID</t>
        </is>
      </c>
      <c r="B41" t="inlineStr">
        <is>
          <t>LP001213</t>
        </is>
      </c>
      <c r="C41" t="n">
        <v>1</v>
      </c>
      <c r="D41" s="9" t="n">
        <v>0.001628664495114007</v>
      </c>
      <c r="E41" t="n">
        <v>40</v>
      </c>
    </row>
    <row r="42">
      <c r="A42" t="inlineStr">
        <is>
          <t>Loan_ID</t>
        </is>
      </c>
      <c r="B42" t="inlineStr">
        <is>
          <t>LP001222</t>
        </is>
      </c>
      <c r="C42" t="n">
        <v>1</v>
      </c>
      <c r="D42" s="9" t="n">
        <v>0.001628664495114007</v>
      </c>
      <c r="E42" t="n">
        <v>41</v>
      </c>
    </row>
    <row r="43">
      <c r="A43" t="inlineStr">
        <is>
          <t>Loan_ID</t>
        </is>
      </c>
      <c r="B43" t="inlineStr">
        <is>
          <t>LP001225</t>
        </is>
      </c>
      <c r="C43" t="n">
        <v>1</v>
      </c>
      <c r="D43" s="9" t="n">
        <v>0.001628664495114007</v>
      </c>
      <c r="E43" t="n">
        <v>42</v>
      </c>
    </row>
    <row r="44">
      <c r="A44" t="inlineStr">
        <is>
          <t>Loan_ID</t>
        </is>
      </c>
      <c r="B44" t="inlineStr">
        <is>
          <t>LP001228</t>
        </is>
      </c>
      <c r="C44" t="n">
        <v>1</v>
      </c>
      <c r="D44" s="9" t="n">
        <v>0.001628664495114007</v>
      </c>
      <c r="E44" t="n">
        <v>43</v>
      </c>
    </row>
    <row r="45">
      <c r="A45" t="inlineStr">
        <is>
          <t>Loan_ID</t>
        </is>
      </c>
      <c r="B45" t="inlineStr">
        <is>
          <t>LP001233</t>
        </is>
      </c>
      <c r="C45" t="n">
        <v>1</v>
      </c>
      <c r="D45" s="9" t="n">
        <v>0.001628664495114007</v>
      </c>
      <c r="E45" t="n">
        <v>44</v>
      </c>
    </row>
    <row r="46">
      <c r="A46" t="inlineStr">
        <is>
          <t>Loan_ID</t>
        </is>
      </c>
      <c r="B46" t="inlineStr">
        <is>
          <t>LP001238</t>
        </is>
      </c>
      <c r="C46" t="n">
        <v>1</v>
      </c>
      <c r="D46" s="9" t="n">
        <v>0.001628664495114007</v>
      </c>
      <c r="E46" t="n">
        <v>45</v>
      </c>
    </row>
    <row r="47">
      <c r="A47" t="inlineStr">
        <is>
          <t>Loan_ID</t>
        </is>
      </c>
      <c r="B47" t="inlineStr">
        <is>
          <t>LP001241</t>
        </is>
      </c>
      <c r="C47" t="n">
        <v>1</v>
      </c>
      <c r="D47" s="9" t="n">
        <v>0.001628664495114007</v>
      </c>
      <c r="E47" t="n">
        <v>46</v>
      </c>
    </row>
    <row r="48">
      <c r="A48" t="inlineStr">
        <is>
          <t>Loan_ID</t>
        </is>
      </c>
      <c r="B48" t="inlineStr">
        <is>
          <t>LP001186</t>
        </is>
      </c>
      <c r="C48" t="n">
        <v>1</v>
      </c>
      <c r="D48" s="9" t="n">
        <v>0.001628664495114007</v>
      </c>
      <c r="E48" t="n">
        <v>47</v>
      </c>
    </row>
    <row r="49">
      <c r="A49" t="inlineStr">
        <is>
          <t>Loan_ID</t>
        </is>
      </c>
      <c r="B49" t="inlineStr">
        <is>
          <t>LP001194</t>
        </is>
      </c>
      <c r="C49" t="n">
        <v>1</v>
      </c>
      <c r="D49" s="9" t="n">
        <v>0.001628664495114007</v>
      </c>
      <c r="E49" t="n">
        <v>48</v>
      </c>
    </row>
    <row r="50">
      <c r="A50" t="inlineStr">
        <is>
          <t>Loan_ID</t>
        </is>
      </c>
      <c r="B50" t="inlineStr">
        <is>
          <t>LP001195</t>
        </is>
      </c>
      <c r="C50" t="n">
        <v>1</v>
      </c>
      <c r="D50" s="9" t="n">
        <v>0.001628664495114007</v>
      </c>
      <c r="E50" t="n">
        <v>49</v>
      </c>
    </row>
    <row r="51">
      <c r="A51" t="inlineStr">
        <is>
          <t>Loan_ID</t>
        </is>
      </c>
      <c r="B51" t="inlineStr">
        <is>
          <t>LP001197</t>
        </is>
      </c>
      <c r="C51" t="n">
        <v>1</v>
      </c>
      <c r="D51" s="9" t="n">
        <v>0.001628664495114007</v>
      </c>
      <c r="E51" t="n">
        <v>50</v>
      </c>
    </row>
    <row r="52">
      <c r="A52" t="inlineStr">
        <is>
          <t>Loan_ID</t>
        </is>
      </c>
      <c r="B52" t="inlineStr">
        <is>
          <t>LP001198</t>
        </is>
      </c>
      <c r="C52" t="n">
        <v>1</v>
      </c>
      <c r="D52" s="9" t="n">
        <v>0.001628664495114007</v>
      </c>
      <c r="E52" t="n">
        <v>51</v>
      </c>
    </row>
    <row r="53">
      <c r="A53" t="inlineStr">
        <is>
          <t>Loan_ID</t>
        </is>
      </c>
      <c r="B53" t="inlineStr">
        <is>
          <t>LP001199</t>
        </is>
      </c>
      <c r="C53" t="n">
        <v>1</v>
      </c>
      <c r="D53" s="9" t="n">
        <v>0.001628664495114007</v>
      </c>
      <c r="E53" t="n">
        <v>52</v>
      </c>
    </row>
    <row r="54">
      <c r="A54" t="inlineStr">
        <is>
          <t>Loan_ID</t>
        </is>
      </c>
      <c r="B54" t="inlineStr">
        <is>
          <t>LP001205</t>
        </is>
      </c>
      <c r="C54" t="n">
        <v>1</v>
      </c>
      <c r="D54" s="9" t="n">
        <v>0.001628664495114007</v>
      </c>
      <c r="E54" t="n">
        <v>53</v>
      </c>
    </row>
    <row r="55">
      <c r="A55" t="inlineStr">
        <is>
          <t>Loan_ID</t>
        </is>
      </c>
      <c r="B55" t="inlineStr">
        <is>
          <t>LP001206</t>
        </is>
      </c>
      <c r="C55" t="n">
        <v>1</v>
      </c>
      <c r="D55" s="9" t="n">
        <v>0.001628664495114007</v>
      </c>
      <c r="E55" t="n">
        <v>54</v>
      </c>
    </row>
    <row r="56">
      <c r="A56" t="inlineStr">
        <is>
          <t>Loan_ID</t>
        </is>
      </c>
      <c r="B56" t="inlineStr">
        <is>
          <t>LP001138</t>
        </is>
      </c>
      <c r="C56" t="n">
        <v>1</v>
      </c>
      <c r="D56" s="9" t="n">
        <v>0.001628664495114007</v>
      </c>
      <c r="E56" t="n">
        <v>55</v>
      </c>
    </row>
    <row r="57">
      <c r="A57" t="inlineStr">
        <is>
          <t>Loan_ID</t>
        </is>
      </c>
      <c r="B57" t="inlineStr">
        <is>
          <t>LP001144</t>
        </is>
      </c>
      <c r="C57" t="n">
        <v>1</v>
      </c>
      <c r="D57" s="9" t="n">
        <v>0.001628664495114007</v>
      </c>
      <c r="E57" t="n">
        <v>56</v>
      </c>
    </row>
    <row r="58">
      <c r="A58" t="inlineStr">
        <is>
          <t>Loan_ID</t>
        </is>
      </c>
      <c r="B58" t="inlineStr">
        <is>
          <t>LP001146</t>
        </is>
      </c>
      <c r="C58" t="n">
        <v>1</v>
      </c>
      <c r="D58" s="9" t="n">
        <v>0.001628664495114007</v>
      </c>
      <c r="E58" t="n">
        <v>57</v>
      </c>
    </row>
    <row r="59">
      <c r="A59" t="inlineStr">
        <is>
          <t>Loan_ID</t>
        </is>
      </c>
      <c r="B59" t="inlineStr">
        <is>
          <t>LP001151</t>
        </is>
      </c>
      <c r="C59" t="n">
        <v>1</v>
      </c>
      <c r="D59" s="9" t="n">
        <v>0.001628664495114007</v>
      </c>
      <c r="E59" t="n">
        <v>58</v>
      </c>
    </row>
    <row r="60">
      <c r="A60" t="inlineStr">
        <is>
          <t>Loan_ID</t>
        </is>
      </c>
      <c r="B60" t="inlineStr">
        <is>
          <t>LP001155</t>
        </is>
      </c>
      <c r="C60" t="n">
        <v>1</v>
      </c>
      <c r="D60" s="9" t="n">
        <v>0.001628664495114007</v>
      </c>
      <c r="E60" t="n">
        <v>59</v>
      </c>
    </row>
    <row r="61">
      <c r="A61" t="inlineStr">
        <is>
          <t>Loan_ID</t>
        </is>
      </c>
      <c r="B61" t="inlineStr">
        <is>
          <t>LP001157</t>
        </is>
      </c>
      <c r="C61" t="n">
        <v>1</v>
      </c>
      <c r="D61" s="9" t="n">
        <v>0.001628664495114007</v>
      </c>
      <c r="E61" t="n">
        <v>60</v>
      </c>
    </row>
    <row r="62">
      <c r="A62" t="inlineStr">
        <is>
          <t>Loan_ID</t>
        </is>
      </c>
      <c r="B62" t="inlineStr">
        <is>
          <t>LP001164</t>
        </is>
      </c>
      <c r="C62" t="n">
        <v>1</v>
      </c>
      <c r="D62" s="9" t="n">
        <v>0.001628664495114007</v>
      </c>
      <c r="E62" t="n">
        <v>61</v>
      </c>
    </row>
    <row r="63">
      <c r="A63" t="inlineStr">
        <is>
          <t>Loan_ID</t>
        </is>
      </c>
      <c r="B63" t="inlineStr">
        <is>
          <t>LP001179</t>
        </is>
      </c>
      <c r="C63" t="n">
        <v>1</v>
      </c>
      <c r="D63" s="9" t="n">
        <v>0.001628664495114007</v>
      </c>
      <c r="E63" t="n">
        <v>62</v>
      </c>
    </row>
    <row r="64">
      <c r="A64" t="inlineStr">
        <is>
          <t>Loan_ID</t>
        </is>
      </c>
      <c r="B64" t="inlineStr">
        <is>
          <t>LP001114</t>
        </is>
      </c>
      <c r="C64" t="n">
        <v>1</v>
      </c>
      <c r="D64" s="9" t="n">
        <v>0.001628664495114007</v>
      </c>
      <c r="E64" t="n">
        <v>63</v>
      </c>
    </row>
    <row r="65">
      <c r="A65" t="inlineStr">
        <is>
          <t>Loan_ID</t>
        </is>
      </c>
      <c r="B65" t="inlineStr">
        <is>
          <t>LP001116</t>
        </is>
      </c>
      <c r="C65" t="n">
        <v>1</v>
      </c>
      <c r="D65" s="9" t="n">
        <v>0.001628664495114007</v>
      </c>
      <c r="E65" t="n">
        <v>64</v>
      </c>
    </row>
    <row r="66">
      <c r="A66" t="inlineStr">
        <is>
          <t>Loan_ID</t>
        </is>
      </c>
      <c r="B66" t="inlineStr">
        <is>
          <t>LP001119</t>
        </is>
      </c>
      <c r="C66" t="n">
        <v>1</v>
      </c>
      <c r="D66" s="9" t="n">
        <v>0.001628664495114007</v>
      </c>
      <c r="E66" t="n">
        <v>65</v>
      </c>
    </row>
    <row r="67">
      <c r="A67" t="inlineStr">
        <is>
          <t>Loan_ID</t>
        </is>
      </c>
      <c r="B67" t="inlineStr">
        <is>
          <t>LP001120</t>
        </is>
      </c>
      <c r="C67" t="n">
        <v>1</v>
      </c>
      <c r="D67" s="9" t="n">
        <v>0.001628664495114007</v>
      </c>
      <c r="E67" t="n">
        <v>66</v>
      </c>
    </row>
    <row r="68">
      <c r="A68" t="inlineStr">
        <is>
          <t>Loan_ID</t>
        </is>
      </c>
      <c r="B68" t="inlineStr">
        <is>
          <t>LP001123</t>
        </is>
      </c>
      <c r="C68" t="n">
        <v>1</v>
      </c>
      <c r="D68" s="9" t="n">
        <v>0.001628664495114007</v>
      </c>
      <c r="E68" t="n">
        <v>67</v>
      </c>
    </row>
    <row r="69">
      <c r="A69" t="inlineStr">
        <is>
          <t>Loan_ID</t>
        </is>
      </c>
      <c r="B69" t="inlineStr">
        <is>
          <t>LP001131</t>
        </is>
      </c>
      <c r="C69" t="n">
        <v>1</v>
      </c>
      <c r="D69" s="9" t="n">
        <v>0.001628664495114007</v>
      </c>
      <c r="E69" t="n">
        <v>68</v>
      </c>
    </row>
    <row r="70">
      <c r="A70" t="inlineStr">
        <is>
          <t>Loan_ID</t>
        </is>
      </c>
      <c r="B70" t="inlineStr">
        <is>
          <t>LP001136</t>
        </is>
      </c>
      <c r="C70" t="n">
        <v>1</v>
      </c>
      <c r="D70" s="9" t="n">
        <v>0.001628664495114007</v>
      </c>
      <c r="E70" t="n">
        <v>69</v>
      </c>
    </row>
    <row r="71">
      <c r="A71" t="inlineStr">
        <is>
          <t>Loan_ID</t>
        </is>
      </c>
      <c r="B71" t="inlineStr">
        <is>
          <t>LP001137</t>
        </is>
      </c>
      <c r="C71" t="n">
        <v>1</v>
      </c>
      <c r="D71" s="9" t="n">
        <v>0.001628664495114007</v>
      </c>
      <c r="E71" t="n">
        <v>70</v>
      </c>
    </row>
    <row r="72">
      <c r="A72" t="inlineStr">
        <is>
          <t>Loan_ID</t>
        </is>
      </c>
      <c r="B72" t="inlineStr">
        <is>
          <t>LP001325</t>
        </is>
      </c>
      <c r="C72" t="n">
        <v>1</v>
      </c>
      <c r="D72" s="9" t="n">
        <v>0.001628664495114007</v>
      </c>
      <c r="E72" t="n">
        <v>71</v>
      </c>
    </row>
    <row r="73">
      <c r="A73" t="inlineStr">
        <is>
          <t>Loan_ID</t>
        </is>
      </c>
      <c r="B73" t="inlineStr">
        <is>
          <t>LP001326</t>
        </is>
      </c>
      <c r="C73" t="n">
        <v>1</v>
      </c>
      <c r="D73" s="9" t="n">
        <v>0.001628664495114007</v>
      </c>
      <c r="E73" t="n">
        <v>72</v>
      </c>
    </row>
    <row r="74">
      <c r="A74" t="inlineStr">
        <is>
          <t>Loan_ID</t>
        </is>
      </c>
      <c r="B74" t="inlineStr">
        <is>
          <t>LP001327</t>
        </is>
      </c>
      <c r="C74" t="n">
        <v>1</v>
      </c>
      <c r="D74" s="9" t="n">
        <v>0.001628664495114007</v>
      </c>
      <c r="E74" t="n">
        <v>73</v>
      </c>
    </row>
    <row r="75">
      <c r="A75" t="inlineStr">
        <is>
          <t>Loan_ID</t>
        </is>
      </c>
      <c r="B75" t="inlineStr">
        <is>
          <t>LP001333</t>
        </is>
      </c>
      <c r="C75" t="n">
        <v>1</v>
      </c>
      <c r="D75" s="9" t="n">
        <v>0.001628664495114007</v>
      </c>
      <c r="E75" t="n">
        <v>74</v>
      </c>
    </row>
    <row r="76">
      <c r="A76" t="inlineStr">
        <is>
          <t>Loan_ID</t>
        </is>
      </c>
      <c r="B76" t="inlineStr">
        <is>
          <t>LP001334</t>
        </is>
      </c>
      <c r="C76" t="n">
        <v>1</v>
      </c>
      <c r="D76" s="9" t="n">
        <v>0.001628664495114007</v>
      </c>
      <c r="E76" t="n">
        <v>75</v>
      </c>
    </row>
    <row r="77">
      <c r="A77" t="inlineStr">
        <is>
          <t>Loan_ID</t>
        </is>
      </c>
      <c r="B77" t="inlineStr">
        <is>
          <t>LP001343</t>
        </is>
      </c>
      <c r="C77" t="n">
        <v>1</v>
      </c>
      <c r="D77" s="9" t="n">
        <v>0.001628664495114007</v>
      </c>
      <c r="E77" t="n">
        <v>76</v>
      </c>
    </row>
    <row r="78">
      <c r="A78" t="inlineStr">
        <is>
          <t>Loan_ID</t>
        </is>
      </c>
      <c r="B78" t="inlineStr">
        <is>
          <t>LP001345</t>
        </is>
      </c>
      <c r="C78" t="n">
        <v>1</v>
      </c>
      <c r="D78" s="9" t="n">
        <v>0.001628664495114007</v>
      </c>
      <c r="E78" t="n">
        <v>77</v>
      </c>
    </row>
    <row r="79">
      <c r="A79" t="inlineStr">
        <is>
          <t>Loan_ID</t>
        </is>
      </c>
      <c r="B79" t="inlineStr">
        <is>
          <t>LP001349</t>
        </is>
      </c>
      <c r="C79" t="n">
        <v>1</v>
      </c>
      <c r="D79" s="9" t="n">
        <v>0.001628664495114007</v>
      </c>
      <c r="E79" t="n">
        <v>78</v>
      </c>
    </row>
    <row r="80">
      <c r="A80" t="inlineStr">
        <is>
          <t>Loan_ID</t>
        </is>
      </c>
      <c r="B80" t="inlineStr">
        <is>
          <t>LP001280</t>
        </is>
      </c>
      <c r="C80" t="n">
        <v>1</v>
      </c>
      <c r="D80" s="9" t="n">
        <v>0.001628664495114007</v>
      </c>
      <c r="E80" t="n">
        <v>79</v>
      </c>
    </row>
    <row r="81">
      <c r="A81" t="inlineStr">
        <is>
          <t>Loan_ID</t>
        </is>
      </c>
      <c r="B81" t="inlineStr">
        <is>
          <t>LP001282</t>
        </is>
      </c>
      <c r="C81" t="n">
        <v>1</v>
      </c>
      <c r="D81" s="9" t="n">
        <v>0.001628664495114007</v>
      </c>
      <c r="E81" t="n">
        <v>80</v>
      </c>
    </row>
    <row r="82">
      <c r="A82" t="inlineStr">
        <is>
          <t>Loan_ID</t>
        </is>
      </c>
      <c r="B82" t="inlineStr">
        <is>
          <t>LP001289</t>
        </is>
      </c>
      <c r="C82" t="n">
        <v>1</v>
      </c>
      <c r="D82" s="9" t="n">
        <v>0.001628664495114007</v>
      </c>
      <c r="E82" t="n">
        <v>81</v>
      </c>
    </row>
    <row r="83">
      <c r="A83" t="inlineStr">
        <is>
          <t>Loan_ID</t>
        </is>
      </c>
      <c r="B83" t="inlineStr">
        <is>
          <t>LP001310</t>
        </is>
      </c>
      <c r="C83" t="n">
        <v>1</v>
      </c>
      <c r="D83" s="9" t="n">
        <v>0.001628664495114007</v>
      </c>
      <c r="E83" t="n">
        <v>82</v>
      </c>
    </row>
    <row r="84">
      <c r="A84" t="inlineStr">
        <is>
          <t>Loan_ID</t>
        </is>
      </c>
      <c r="B84" t="inlineStr">
        <is>
          <t>LP001316</t>
        </is>
      </c>
      <c r="C84" t="n">
        <v>1</v>
      </c>
      <c r="D84" s="9" t="n">
        <v>0.001628664495114007</v>
      </c>
      <c r="E84" t="n">
        <v>83</v>
      </c>
    </row>
    <row r="85">
      <c r="A85" t="inlineStr">
        <is>
          <t>Loan_ID</t>
        </is>
      </c>
      <c r="B85" t="inlineStr">
        <is>
          <t>LP001318</t>
        </is>
      </c>
      <c r="C85" t="n">
        <v>1</v>
      </c>
      <c r="D85" s="9" t="n">
        <v>0.001628664495114007</v>
      </c>
      <c r="E85" t="n">
        <v>84</v>
      </c>
    </row>
    <row r="86">
      <c r="A86" t="inlineStr">
        <is>
          <t>Loan_ID</t>
        </is>
      </c>
      <c r="B86" t="inlineStr">
        <is>
          <t>LP001319</t>
        </is>
      </c>
      <c r="C86" t="n">
        <v>1</v>
      </c>
      <c r="D86" s="9" t="n">
        <v>0.001628664495114007</v>
      </c>
      <c r="E86" t="n">
        <v>85</v>
      </c>
    </row>
    <row r="87">
      <c r="A87" t="inlineStr">
        <is>
          <t>Loan_ID</t>
        </is>
      </c>
      <c r="B87" t="inlineStr">
        <is>
          <t>LP001322</t>
        </is>
      </c>
      <c r="C87" t="n">
        <v>1</v>
      </c>
      <c r="D87" s="9" t="n">
        <v>0.001628664495114007</v>
      </c>
      <c r="E87" t="n">
        <v>86</v>
      </c>
    </row>
    <row r="88">
      <c r="A88" t="inlineStr">
        <is>
          <t>Loan_ID</t>
        </is>
      </c>
      <c r="B88" t="inlineStr">
        <is>
          <t>LP001263</t>
        </is>
      </c>
      <c r="C88" t="n">
        <v>1</v>
      </c>
      <c r="D88" s="9" t="n">
        <v>0.001628664495114007</v>
      </c>
      <c r="E88" t="n">
        <v>87</v>
      </c>
    </row>
    <row r="89">
      <c r="A89" t="inlineStr">
        <is>
          <t>Loan_ID</t>
        </is>
      </c>
      <c r="B89" t="inlineStr">
        <is>
          <t>LP001264</t>
        </is>
      </c>
      <c r="C89" t="n">
        <v>1</v>
      </c>
      <c r="D89" s="9" t="n">
        <v>0.001628664495114007</v>
      </c>
      <c r="E89" t="n">
        <v>88</v>
      </c>
    </row>
    <row r="90">
      <c r="A90" t="inlineStr">
        <is>
          <t>Loan_ID</t>
        </is>
      </c>
      <c r="B90" t="inlineStr">
        <is>
          <t>LP001265</t>
        </is>
      </c>
      <c r="C90" t="n">
        <v>1</v>
      </c>
      <c r="D90" s="9" t="n">
        <v>0.001628664495114007</v>
      </c>
      <c r="E90" t="n">
        <v>89</v>
      </c>
    </row>
    <row r="91">
      <c r="A91" t="inlineStr">
        <is>
          <t>Loan_ID</t>
        </is>
      </c>
      <c r="B91" t="inlineStr">
        <is>
          <t>LP001266</t>
        </is>
      </c>
      <c r="C91" t="n">
        <v>1</v>
      </c>
      <c r="D91" s="9" t="n">
        <v>0.001628664495114007</v>
      </c>
      <c r="E91" t="n">
        <v>90</v>
      </c>
    </row>
    <row r="92">
      <c r="A92" t="inlineStr">
        <is>
          <t>Loan_ID</t>
        </is>
      </c>
      <c r="B92" t="inlineStr">
        <is>
          <t>LP001267</t>
        </is>
      </c>
      <c r="C92" t="n">
        <v>1</v>
      </c>
      <c r="D92" s="9" t="n">
        <v>0.001628664495114007</v>
      </c>
      <c r="E92" t="n">
        <v>91</v>
      </c>
    </row>
    <row r="93">
      <c r="A93" t="inlineStr">
        <is>
          <t>Loan_ID</t>
        </is>
      </c>
      <c r="B93" t="inlineStr">
        <is>
          <t>LP001273</t>
        </is>
      </c>
      <c r="C93" t="n">
        <v>1</v>
      </c>
      <c r="D93" s="9" t="n">
        <v>0.001628664495114007</v>
      </c>
      <c r="E93" t="n">
        <v>92</v>
      </c>
    </row>
    <row r="94">
      <c r="A94" t="inlineStr">
        <is>
          <t>Loan_ID</t>
        </is>
      </c>
      <c r="B94" t="inlineStr">
        <is>
          <t>LP001275</t>
        </is>
      </c>
      <c r="C94" t="n">
        <v>1</v>
      </c>
      <c r="D94" s="9" t="n">
        <v>0.001628664495114007</v>
      </c>
      <c r="E94" t="n">
        <v>93</v>
      </c>
    </row>
    <row r="95">
      <c r="A95" t="inlineStr">
        <is>
          <t>Loan_ID</t>
        </is>
      </c>
      <c r="B95" t="inlineStr">
        <is>
          <t>LP001279</t>
        </is>
      </c>
      <c r="C95" t="n">
        <v>1</v>
      </c>
      <c r="D95" s="9" t="n">
        <v>0.001628664495114007</v>
      </c>
      <c r="E95" t="n">
        <v>94</v>
      </c>
    </row>
    <row r="96">
      <c r="A96" t="inlineStr">
        <is>
          <t>Loan_ID</t>
        </is>
      </c>
      <c r="B96" t="inlineStr">
        <is>
          <t>LP001243</t>
        </is>
      </c>
      <c r="C96" t="n">
        <v>1</v>
      </c>
      <c r="D96" s="9" t="n">
        <v>0.001628664495114007</v>
      </c>
      <c r="E96" t="n">
        <v>95</v>
      </c>
    </row>
    <row r="97">
      <c r="A97" t="inlineStr">
        <is>
          <t>Loan_ID</t>
        </is>
      </c>
      <c r="B97" t="inlineStr">
        <is>
          <t>LP001245</t>
        </is>
      </c>
      <c r="C97" t="n">
        <v>1</v>
      </c>
      <c r="D97" s="9" t="n">
        <v>0.001628664495114007</v>
      </c>
      <c r="E97" t="n">
        <v>96</v>
      </c>
    </row>
    <row r="98">
      <c r="A98" t="inlineStr">
        <is>
          <t>Loan_ID</t>
        </is>
      </c>
      <c r="B98" t="inlineStr">
        <is>
          <t>LP001248</t>
        </is>
      </c>
      <c r="C98" t="n">
        <v>1</v>
      </c>
      <c r="D98" s="9" t="n">
        <v>0.001628664495114007</v>
      </c>
      <c r="E98" t="n">
        <v>97</v>
      </c>
    </row>
    <row r="99">
      <c r="A99" t="inlineStr">
        <is>
          <t>Loan_ID</t>
        </is>
      </c>
      <c r="B99" t="inlineStr">
        <is>
          <t>LP001250</t>
        </is>
      </c>
      <c r="C99" t="n">
        <v>1</v>
      </c>
      <c r="D99" s="9" t="n">
        <v>0.001628664495114007</v>
      </c>
      <c r="E99" t="n">
        <v>98</v>
      </c>
    </row>
    <row r="100">
      <c r="A100" t="inlineStr">
        <is>
          <t>Loan_ID</t>
        </is>
      </c>
      <c r="B100" t="inlineStr">
        <is>
          <t>LP001253</t>
        </is>
      </c>
      <c r="C100" t="n">
        <v>1</v>
      </c>
      <c r="D100" s="9" t="n">
        <v>0.001628664495114007</v>
      </c>
      <c r="E100" t="n">
        <v>99</v>
      </c>
    </row>
    <row r="101">
      <c r="A101" t="inlineStr">
        <is>
          <t>Loan_ID</t>
        </is>
      </c>
      <c r="B101" t="inlineStr">
        <is>
          <t>LP001255</t>
        </is>
      </c>
      <c r="C101" t="n">
        <v>1</v>
      </c>
      <c r="D101" s="9" t="n">
        <v>0.001628664495114007</v>
      </c>
      <c r="E101" t="n">
        <v>100</v>
      </c>
    </row>
    <row r="102">
      <c r="A102" t="inlineStr">
        <is>
          <t>Loan_ID</t>
        </is>
      </c>
      <c r="B102" t="inlineStr">
        <is>
          <t>LP001256</t>
        </is>
      </c>
      <c r="C102" t="n">
        <v>1</v>
      </c>
      <c r="D102" s="9" t="n">
        <v>0.001628664495114007</v>
      </c>
      <c r="E102" t="n">
        <v>101</v>
      </c>
    </row>
    <row r="103">
      <c r="A103" t="inlineStr">
        <is>
          <t>Loan_ID</t>
        </is>
      </c>
      <c r="B103" t="inlineStr">
        <is>
          <t>LP001259</t>
        </is>
      </c>
      <c r="C103" t="n">
        <v>1</v>
      </c>
      <c r="D103" s="9" t="n">
        <v>0.001628664495114007</v>
      </c>
      <c r="E103" t="n">
        <v>102</v>
      </c>
    </row>
    <row r="104">
      <c r="A104" t="inlineStr">
        <is>
          <t>Loan_ID</t>
        </is>
      </c>
      <c r="B104" t="inlineStr">
        <is>
          <t>LP001448</t>
        </is>
      </c>
      <c r="C104" t="n">
        <v>1</v>
      </c>
      <c r="D104" s="9" t="n">
        <v>0.001628664495114007</v>
      </c>
      <c r="E104" t="n">
        <v>103</v>
      </c>
    </row>
    <row r="105">
      <c r="A105" t="inlineStr">
        <is>
          <t>Loan_ID</t>
        </is>
      </c>
      <c r="B105" t="inlineStr">
        <is>
          <t>LP001449</t>
        </is>
      </c>
      <c r="C105" t="n">
        <v>1</v>
      </c>
      <c r="D105" s="9" t="n">
        <v>0.001628664495114007</v>
      </c>
      <c r="E105" t="n">
        <v>104</v>
      </c>
    </row>
    <row r="106">
      <c r="A106" t="inlineStr">
        <is>
          <t>Loan_ID</t>
        </is>
      </c>
      <c r="B106" t="inlineStr">
        <is>
          <t>LP001451</t>
        </is>
      </c>
      <c r="C106" t="n">
        <v>1</v>
      </c>
      <c r="D106" s="9" t="n">
        <v>0.001628664495114007</v>
      </c>
      <c r="E106" t="n">
        <v>105</v>
      </c>
    </row>
    <row r="107">
      <c r="A107" t="inlineStr">
        <is>
          <t>Loan_ID</t>
        </is>
      </c>
      <c r="B107" t="inlineStr">
        <is>
          <t>LP001465</t>
        </is>
      </c>
      <c r="C107" t="n">
        <v>1</v>
      </c>
      <c r="D107" s="9" t="n">
        <v>0.001628664495114007</v>
      </c>
      <c r="E107" t="n">
        <v>106</v>
      </c>
    </row>
    <row r="108">
      <c r="A108" t="inlineStr">
        <is>
          <t>Loan_ID</t>
        </is>
      </c>
      <c r="B108" t="inlineStr">
        <is>
          <t>LP001469</t>
        </is>
      </c>
      <c r="C108" t="n">
        <v>1</v>
      </c>
      <c r="D108" s="9" t="n">
        <v>0.001628664495114007</v>
      </c>
      <c r="E108" t="n">
        <v>107</v>
      </c>
    </row>
    <row r="109">
      <c r="A109" t="inlineStr">
        <is>
          <t>Loan_ID</t>
        </is>
      </c>
      <c r="B109" t="inlineStr">
        <is>
          <t>LP001473</t>
        </is>
      </c>
      <c r="C109" t="n">
        <v>1</v>
      </c>
      <c r="D109" s="9" t="n">
        <v>0.001628664495114007</v>
      </c>
      <c r="E109" t="n">
        <v>108</v>
      </c>
    </row>
    <row r="110">
      <c r="A110" t="inlineStr">
        <is>
          <t>Loan_ID</t>
        </is>
      </c>
      <c r="B110" t="inlineStr">
        <is>
          <t>LP001478</t>
        </is>
      </c>
      <c r="C110" t="n">
        <v>1</v>
      </c>
      <c r="D110" s="9" t="n">
        <v>0.001628664495114007</v>
      </c>
      <c r="E110" t="n">
        <v>109</v>
      </c>
    </row>
    <row r="111">
      <c r="A111" t="inlineStr">
        <is>
          <t>Loan_ID</t>
        </is>
      </c>
      <c r="B111" t="inlineStr">
        <is>
          <t>LP001482</t>
        </is>
      </c>
      <c r="C111" t="n">
        <v>1</v>
      </c>
      <c r="D111" s="9" t="n">
        <v>0.001628664495114007</v>
      </c>
      <c r="E111" t="n">
        <v>110</v>
      </c>
    </row>
    <row r="112">
      <c r="A112" t="inlineStr">
        <is>
          <t>Loan_ID</t>
        </is>
      </c>
      <c r="B112" t="inlineStr">
        <is>
          <t>LP001421</t>
        </is>
      </c>
      <c r="C112" t="n">
        <v>1</v>
      </c>
      <c r="D112" s="9" t="n">
        <v>0.001628664495114007</v>
      </c>
      <c r="E112" t="n">
        <v>111</v>
      </c>
    </row>
    <row r="113">
      <c r="A113" t="inlineStr">
        <is>
          <t>Loan_ID</t>
        </is>
      </c>
      <c r="B113" t="inlineStr">
        <is>
          <t>LP001422</t>
        </is>
      </c>
      <c r="C113" t="n">
        <v>1</v>
      </c>
      <c r="D113" s="9" t="n">
        <v>0.001628664495114007</v>
      </c>
      <c r="E113" t="n">
        <v>112</v>
      </c>
    </row>
    <row r="114">
      <c r="A114" t="inlineStr">
        <is>
          <t>Loan_ID</t>
        </is>
      </c>
      <c r="B114" t="inlineStr">
        <is>
          <t>LP001426</t>
        </is>
      </c>
      <c r="C114" t="n">
        <v>1</v>
      </c>
      <c r="D114" s="9" t="n">
        <v>0.001628664495114007</v>
      </c>
      <c r="E114" t="n">
        <v>113</v>
      </c>
    </row>
    <row r="115">
      <c r="A115" t="inlineStr">
        <is>
          <t>Loan_ID</t>
        </is>
      </c>
      <c r="B115" t="inlineStr">
        <is>
          <t>LP001430</t>
        </is>
      </c>
      <c r="C115" t="n">
        <v>1</v>
      </c>
      <c r="D115" s="9" t="n">
        <v>0.001628664495114007</v>
      </c>
      <c r="E115" t="n">
        <v>114</v>
      </c>
    </row>
    <row r="116">
      <c r="A116" t="inlineStr">
        <is>
          <t>Loan_ID</t>
        </is>
      </c>
      <c r="B116" t="inlineStr">
        <is>
          <t>LP001431</t>
        </is>
      </c>
      <c r="C116" t="n">
        <v>1</v>
      </c>
      <c r="D116" s="9" t="n">
        <v>0.001628664495114007</v>
      </c>
      <c r="E116" t="n">
        <v>115</v>
      </c>
    </row>
    <row r="117">
      <c r="A117" t="inlineStr">
        <is>
          <t>Loan_ID</t>
        </is>
      </c>
      <c r="B117" t="inlineStr">
        <is>
          <t>LP001432</t>
        </is>
      </c>
      <c r="C117" t="n">
        <v>1</v>
      </c>
      <c r="D117" s="9" t="n">
        <v>0.001628664495114007</v>
      </c>
      <c r="E117" t="n">
        <v>116</v>
      </c>
    </row>
    <row r="118">
      <c r="A118" t="inlineStr">
        <is>
          <t>Loan_ID</t>
        </is>
      </c>
      <c r="B118" t="inlineStr">
        <is>
          <t>LP001439</t>
        </is>
      </c>
      <c r="C118" t="n">
        <v>1</v>
      </c>
      <c r="D118" s="9" t="n">
        <v>0.001628664495114007</v>
      </c>
      <c r="E118" t="n">
        <v>117</v>
      </c>
    </row>
    <row r="119">
      <c r="A119" t="inlineStr">
        <is>
          <t>Loan_ID</t>
        </is>
      </c>
      <c r="B119" t="inlineStr">
        <is>
          <t>LP001443</t>
        </is>
      </c>
      <c r="C119" t="n">
        <v>1</v>
      </c>
      <c r="D119" s="9" t="n">
        <v>0.001628664495114007</v>
      </c>
      <c r="E119" t="n">
        <v>118</v>
      </c>
    </row>
    <row r="120">
      <c r="A120" t="inlineStr">
        <is>
          <t>Loan_ID</t>
        </is>
      </c>
      <c r="B120" t="inlineStr">
        <is>
          <t>LP001385</t>
        </is>
      </c>
      <c r="C120" t="n">
        <v>1</v>
      </c>
      <c r="D120" s="9" t="n">
        <v>0.001628664495114007</v>
      </c>
      <c r="E120" t="n">
        <v>119</v>
      </c>
    </row>
    <row r="121">
      <c r="A121" t="inlineStr">
        <is>
          <t>Loan_ID</t>
        </is>
      </c>
      <c r="B121" t="inlineStr">
        <is>
          <t>LP001387</t>
        </is>
      </c>
      <c r="C121" t="n">
        <v>1</v>
      </c>
      <c r="D121" s="9" t="n">
        <v>0.001628664495114007</v>
      </c>
      <c r="E121" t="n">
        <v>120</v>
      </c>
    </row>
    <row r="122">
      <c r="A122" t="inlineStr">
        <is>
          <t>Loan_ID</t>
        </is>
      </c>
      <c r="B122" t="inlineStr">
        <is>
          <t>LP001391</t>
        </is>
      </c>
      <c r="C122" t="n">
        <v>1</v>
      </c>
      <c r="D122" s="9" t="n">
        <v>0.001628664495114007</v>
      </c>
      <c r="E122" t="n">
        <v>121</v>
      </c>
    </row>
    <row r="123">
      <c r="A123" t="inlineStr">
        <is>
          <t>Loan_ID</t>
        </is>
      </c>
      <c r="B123" t="inlineStr">
        <is>
          <t>LP001392</t>
        </is>
      </c>
      <c r="C123" t="n">
        <v>1</v>
      </c>
      <c r="D123" s="9" t="n">
        <v>0.001628664495114007</v>
      </c>
      <c r="E123" t="n">
        <v>122</v>
      </c>
    </row>
    <row r="124">
      <c r="A124" t="inlineStr">
        <is>
          <t>Loan_ID</t>
        </is>
      </c>
      <c r="B124" t="inlineStr">
        <is>
          <t>LP001398</t>
        </is>
      </c>
      <c r="C124" t="n">
        <v>1</v>
      </c>
      <c r="D124" s="9" t="n">
        <v>0.001628664495114007</v>
      </c>
      <c r="E124" t="n">
        <v>123</v>
      </c>
    </row>
    <row r="125">
      <c r="A125" t="inlineStr">
        <is>
          <t>Loan_ID</t>
        </is>
      </c>
      <c r="B125" t="inlineStr">
        <is>
          <t>LP001401</t>
        </is>
      </c>
      <c r="C125" t="n">
        <v>1</v>
      </c>
      <c r="D125" s="9" t="n">
        <v>0.001628664495114007</v>
      </c>
      <c r="E125" t="n">
        <v>124</v>
      </c>
    </row>
    <row r="126">
      <c r="A126" t="inlineStr">
        <is>
          <t>Loan_ID</t>
        </is>
      </c>
      <c r="B126" t="inlineStr">
        <is>
          <t>LP001404</t>
        </is>
      </c>
      <c r="C126" t="n">
        <v>1</v>
      </c>
      <c r="D126" s="9" t="n">
        <v>0.001628664495114007</v>
      </c>
      <c r="E126" t="n">
        <v>125</v>
      </c>
    </row>
    <row r="127">
      <c r="A127" t="inlineStr">
        <is>
          <t>Loan_ID</t>
        </is>
      </c>
      <c r="B127" t="inlineStr">
        <is>
          <t>LP001405</t>
        </is>
      </c>
      <c r="C127" t="n">
        <v>1</v>
      </c>
      <c r="D127" s="9" t="n">
        <v>0.001628664495114007</v>
      </c>
      <c r="E127" t="n">
        <v>126</v>
      </c>
    </row>
    <row r="128">
      <c r="A128" t="inlineStr">
        <is>
          <t>Loan_ID</t>
        </is>
      </c>
      <c r="B128" t="inlineStr">
        <is>
          <t>LP001350</t>
        </is>
      </c>
      <c r="C128" t="n">
        <v>1</v>
      </c>
      <c r="D128" s="9" t="n">
        <v>0.001628664495114007</v>
      </c>
      <c r="E128" t="n">
        <v>127</v>
      </c>
    </row>
    <row r="129">
      <c r="A129" t="inlineStr">
        <is>
          <t>Loan_ID</t>
        </is>
      </c>
      <c r="B129" t="inlineStr">
        <is>
          <t>LP001356</t>
        </is>
      </c>
      <c r="C129" t="n">
        <v>1</v>
      </c>
      <c r="D129" s="9" t="n">
        <v>0.001628664495114007</v>
      </c>
      <c r="E129" t="n">
        <v>128</v>
      </c>
    </row>
    <row r="130">
      <c r="A130" t="inlineStr">
        <is>
          <t>Loan_ID</t>
        </is>
      </c>
      <c r="B130" t="inlineStr">
        <is>
          <t>LP001357</t>
        </is>
      </c>
      <c r="C130" t="n">
        <v>1</v>
      </c>
      <c r="D130" s="9" t="n">
        <v>0.001628664495114007</v>
      </c>
      <c r="E130" t="n">
        <v>129</v>
      </c>
    </row>
    <row r="131">
      <c r="A131" t="inlineStr">
        <is>
          <t>Loan_ID</t>
        </is>
      </c>
      <c r="B131" t="inlineStr">
        <is>
          <t>LP001367</t>
        </is>
      </c>
      <c r="C131" t="n">
        <v>1</v>
      </c>
      <c r="D131" s="9" t="n">
        <v>0.001628664495114007</v>
      </c>
      <c r="E131" t="n">
        <v>130</v>
      </c>
    </row>
    <row r="132">
      <c r="A132" t="inlineStr">
        <is>
          <t>Loan_ID</t>
        </is>
      </c>
      <c r="B132" t="inlineStr">
        <is>
          <t>LP001369</t>
        </is>
      </c>
      <c r="C132" t="n">
        <v>1</v>
      </c>
      <c r="D132" s="9" t="n">
        <v>0.001628664495114007</v>
      </c>
      <c r="E132" t="n">
        <v>131</v>
      </c>
    </row>
    <row r="133">
      <c r="A133" t="inlineStr">
        <is>
          <t>Loan_ID</t>
        </is>
      </c>
      <c r="B133" t="inlineStr">
        <is>
          <t>LP001370</t>
        </is>
      </c>
      <c r="C133" t="n">
        <v>1</v>
      </c>
      <c r="D133" s="9" t="n">
        <v>0.001628664495114007</v>
      </c>
      <c r="E133" t="n">
        <v>132</v>
      </c>
    </row>
    <row r="134">
      <c r="A134" t="inlineStr">
        <is>
          <t>Loan_ID</t>
        </is>
      </c>
      <c r="B134" t="inlineStr">
        <is>
          <t>LP001379</t>
        </is>
      </c>
      <c r="C134" t="n">
        <v>1</v>
      </c>
      <c r="D134" s="9" t="n">
        <v>0.001628664495114007</v>
      </c>
      <c r="E134" t="n">
        <v>133</v>
      </c>
    </row>
    <row r="135">
      <c r="A135" t="inlineStr">
        <is>
          <t>Loan_ID</t>
        </is>
      </c>
      <c r="B135" t="inlineStr">
        <is>
          <t>LP001384</t>
        </is>
      </c>
      <c r="C135" t="n">
        <v>1</v>
      </c>
      <c r="D135" s="9" t="n">
        <v>0.001628664495114007</v>
      </c>
      <c r="E135" t="n">
        <v>134</v>
      </c>
    </row>
    <row r="136">
      <c r="A136" t="inlineStr">
        <is>
          <t>Loan_ID</t>
        </is>
      </c>
      <c r="B136" t="inlineStr">
        <is>
          <t>LP001546</t>
        </is>
      </c>
      <c r="C136" t="n">
        <v>1</v>
      </c>
      <c r="D136" s="9" t="n">
        <v>0.001628664495114007</v>
      </c>
      <c r="E136" t="n">
        <v>135</v>
      </c>
    </row>
    <row r="137">
      <c r="A137" t="inlineStr">
        <is>
          <t>Loan_ID</t>
        </is>
      </c>
      <c r="B137" t="inlineStr">
        <is>
          <t>LP001552</t>
        </is>
      </c>
      <c r="C137" t="n">
        <v>1</v>
      </c>
      <c r="D137" s="9" t="n">
        <v>0.001628664495114007</v>
      </c>
      <c r="E137" t="n">
        <v>136</v>
      </c>
    </row>
    <row r="138">
      <c r="A138" t="inlineStr">
        <is>
          <t>Loan_ID</t>
        </is>
      </c>
      <c r="B138" t="inlineStr">
        <is>
          <t>LP001560</t>
        </is>
      </c>
      <c r="C138" t="n">
        <v>1</v>
      </c>
      <c r="D138" s="9" t="n">
        <v>0.001628664495114007</v>
      </c>
      <c r="E138" t="n">
        <v>137</v>
      </c>
    </row>
    <row r="139">
      <c r="A139" t="inlineStr">
        <is>
          <t>Loan_ID</t>
        </is>
      </c>
      <c r="B139" t="inlineStr">
        <is>
          <t>LP001562</t>
        </is>
      </c>
      <c r="C139" t="n">
        <v>1</v>
      </c>
      <c r="D139" s="9" t="n">
        <v>0.001628664495114007</v>
      </c>
      <c r="E139" t="n">
        <v>138</v>
      </c>
    </row>
    <row r="140">
      <c r="A140" t="inlineStr">
        <is>
          <t>Loan_ID</t>
        </is>
      </c>
      <c r="B140" t="inlineStr">
        <is>
          <t>LP001565</t>
        </is>
      </c>
      <c r="C140" t="n">
        <v>1</v>
      </c>
      <c r="D140" s="9" t="n">
        <v>0.001628664495114007</v>
      </c>
      <c r="E140" t="n">
        <v>139</v>
      </c>
    </row>
    <row r="141">
      <c r="A141" t="inlineStr">
        <is>
          <t>Loan_ID</t>
        </is>
      </c>
      <c r="B141" t="inlineStr">
        <is>
          <t>LP001570</t>
        </is>
      </c>
      <c r="C141" t="n">
        <v>1</v>
      </c>
      <c r="D141" s="9" t="n">
        <v>0.001628664495114007</v>
      </c>
      <c r="E141" t="n">
        <v>140</v>
      </c>
    </row>
    <row r="142">
      <c r="A142" t="inlineStr">
        <is>
          <t>Loan_ID</t>
        </is>
      </c>
      <c r="B142" t="inlineStr">
        <is>
          <t>LP001572</t>
        </is>
      </c>
      <c r="C142" t="n">
        <v>1</v>
      </c>
      <c r="D142" s="9" t="n">
        <v>0.001628664495114007</v>
      </c>
      <c r="E142" t="n">
        <v>141</v>
      </c>
    </row>
    <row r="143">
      <c r="A143" t="inlineStr">
        <is>
          <t>Loan_ID</t>
        </is>
      </c>
      <c r="B143" t="inlineStr">
        <is>
          <t>LP001574</t>
        </is>
      </c>
      <c r="C143" t="n">
        <v>1</v>
      </c>
      <c r="D143" s="9" t="n">
        <v>0.001628664495114007</v>
      </c>
      <c r="E143" t="n">
        <v>142</v>
      </c>
    </row>
    <row r="144">
      <c r="A144" t="inlineStr">
        <is>
          <t>Loan_ID</t>
        </is>
      </c>
      <c r="B144" t="inlineStr">
        <is>
          <t>LP001528</t>
        </is>
      </c>
      <c r="C144" t="n">
        <v>1</v>
      </c>
      <c r="D144" s="9" t="n">
        <v>0.001628664495114007</v>
      </c>
      <c r="E144" t="n">
        <v>143</v>
      </c>
    </row>
    <row r="145">
      <c r="A145" t="inlineStr">
        <is>
          <t>Loan_ID</t>
        </is>
      </c>
      <c r="B145" t="inlineStr">
        <is>
          <t>LP001529</t>
        </is>
      </c>
      <c r="C145" t="n">
        <v>1</v>
      </c>
      <c r="D145" s="9" t="n">
        <v>0.001628664495114007</v>
      </c>
      <c r="E145" t="n">
        <v>144</v>
      </c>
    </row>
    <row r="146">
      <c r="A146" t="inlineStr">
        <is>
          <t>Loan_ID</t>
        </is>
      </c>
      <c r="B146" t="inlineStr">
        <is>
          <t>LP001531</t>
        </is>
      </c>
      <c r="C146" t="n">
        <v>1</v>
      </c>
      <c r="D146" s="9" t="n">
        <v>0.001628664495114007</v>
      </c>
      <c r="E146" t="n">
        <v>145</v>
      </c>
    </row>
    <row r="147">
      <c r="A147" t="inlineStr">
        <is>
          <t>Loan_ID</t>
        </is>
      </c>
      <c r="B147" t="inlineStr">
        <is>
          <t>LP001532</t>
        </is>
      </c>
      <c r="C147" t="n">
        <v>1</v>
      </c>
      <c r="D147" s="9" t="n">
        <v>0.001628664495114007</v>
      </c>
      <c r="E147" t="n">
        <v>146</v>
      </c>
    </row>
    <row r="148">
      <c r="A148" t="inlineStr">
        <is>
          <t>Loan_ID</t>
        </is>
      </c>
      <c r="B148" t="inlineStr">
        <is>
          <t>LP001535</t>
        </is>
      </c>
      <c r="C148" t="n">
        <v>1</v>
      </c>
      <c r="D148" s="9" t="n">
        <v>0.001628664495114007</v>
      </c>
      <c r="E148" t="n">
        <v>147</v>
      </c>
    </row>
    <row r="149">
      <c r="A149" t="inlineStr">
        <is>
          <t>Loan_ID</t>
        </is>
      </c>
      <c r="B149" t="inlineStr">
        <is>
          <t>LP001536</t>
        </is>
      </c>
      <c r="C149" t="n">
        <v>1</v>
      </c>
      <c r="D149" s="9" t="n">
        <v>0.001628664495114007</v>
      </c>
      <c r="E149" t="n">
        <v>148</v>
      </c>
    </row>
    <row r="150">
      <c r="A150" t="inlineStr">
        <is>
          <t>Loan_ID</t>
        </is>
      </c>
      <c r="B150" t="inlineStr">
        <is>
          <t>LP001541</t>
        </is>
      </c>
      <c r="C150" t="n">
        <v>1</v>
      </c>
      <c r="D150" s="9" t="n">
        <v>0.001628664495114007</v>
      </c>
      <c r="E150" t="n">
        <v>149</v>
      </c>
    </row>
    <row r="151">
      <c r="A151" t="inlineStr">
        <is>
          <t>Loan_ID</t>
        </is>
      </c>
      <c r="B151" t="inlineStr">
        <is>
          <t>LP001543</t>
        </is>
      </c>
      <c r="C151" t="n">
        <v>1</v>
      </c>
      <c r="D151" s="9" t="n">
        <v>0.001628664495114007</v>
      </c>
      <c r="E151" t="n">
        <v>150</v>
      </c>
    </row>
    <row r="152">
      <c r="A152" t="inlineStr">
        <is>
          <t>Loan_ID</t>
        </is>
      </c>
      <c r="B152" t="inlineStr">
        <is>
          <t>LP001504</t>
        </is>
      </c>
      <c r="C152" t="n">
        <v>1</v>
      </c>
      <c r="D152" s="9" t="n">
        <v>0.001628664495114007</v>
      </c>
      <c r="E152" t="n">
        <v>151</v>
      </c>
    </row>
    <row r="153">
      <c r="A153" t="inlineStr">
        <is>
          <t>Loan_ID</t>
        </is>
      </c>
      <c r="B153" t="inlineStr">
        <is>
          <t>LP001507</t>
        </is>
      </c>
      <c r="C153" t="n">
        <v>1</v>
      </c>
      <c r="D153" s="9" t="n">
        <v>0.001628664495114007</v>
      </c>
      <c r="E153" t="n">
        <v>152</v>
      </c>
    </row>
    <row r="154">
      <c r="A154" t="inlineStr">
        <is>
          <t>Loan_ID</t>
        </is>
      </c>
      <c r="B154" t="inlineStr">
        <is>
          <t>LP001508</t>
        </is>
      </c>
      <c r="C154" t="n">
        <v>1</v>
      </c>
      <c r="D154" s="9" t="n">
        <v>0.001628664495114007</v>
      </c>
      <c r="E154" t="n">
        <v>153</v>
      </c>
    </row>
    <row r="155">
      <c r="A155" t="inlineStr">
        <is>
          <t>Loan_ID</t>
        </is>
      </c>
      <c r="B155" t="inlineStr">
        <is>
          <t>LP001514</t>
        </is>
      </c>
      <c r="C155" t="n">
        <v>1</v>
      </c>
      <c r="D155" s="9" t="n">
        <v>0.001628664495114007</v>
      </c>
      <c r="E155" t="n">
        <v>154</v>
      </c>
    </row>
    <row r="156">
      <c r="A156" t="inlineStr">
        <is>
          <t>Loan_ID</t>
        </is>
      </c>
      <c r="B156" t="inlineStr">
        <is>
          <t>LP001516</t>
        </is>
      </c>
      <c r="C156" t="n">
        <v>1</v>
      </c>
      <c r="D156" s="9" t="n">
        <v>0.001628664495114007</v>
      </c>
      <c r="E156" t="n">
        <v>155</v>
      </c>
    </row>
    <row r="157">
      <c r="A157" t="inlineStr">
        <is>
          <t>Loan_ID</t>
        </is>
      </c>
      <c r="B157" t="inlineStr">
        <is>
          <t>LP001518</t>
        </is>
      </c>
      <c r="C157" t="n">
        <v>1</v>
      </c>
      <c r="D157" s="9" t="n">
        <v>0.001628664495114007</v>
      </c>
      <c r="E157" t="n">
        <v>156</v>
      </c>
    </row>
    <row r="158">
      <c r="A158" t="inlineStr">
        <is>
          <t>Loan_ID</t>
        </is>
      </c>
      <c r="B158" t="inlineStr">
        <is>
          <t>LP001519</t>
        </is>
      </c>
      <c r="C158" t="n">
        <v>1</v>
      </c>
      <c r="D158" s="9" t="n">
        <v>0.001628664495114007</v>
      </c>
      <c r="E158" t="n">
        <v>157</v>
      </c>
    </row>
    <row r="159">
      <c r="A159" t="inlineStr">
        <is>
          <t>Loan_ID</t>
        </is>
      </c>
      <c r="B159" t="inlineStr">
        <is>
          <t>LP001520</t>
        </is>
      </c>
      <c r="C159" t="n">
        <v>1</v>
      </c>
      <c r="D159" s="9" t="n">
        <v>0.001628664495114007</v>
      </c>
      <c r="E159" t="n">
        <v>158</v>
      </c>
    </row>
    <row r="160">
      <c r="A160" t="inlineStr">
        <is>
          <t>Loan_ID</t>
        </is>
      </c>
      <c r="B160" t="inlineStr">
        <is>
          <t>LP001487</t>
        </is>
      </c>
      <c r="C160" t="n">
        <v>1</v>
      </c>
      <c r="D160" s="9" t="n">
        <v>0.001628664495114007</v>
      </c>
      <c r="E160" t="n">
        <v>159</v>
      </c>
    </row>
    <row r="161">
      <c r="A161" t="inlineStr">
        <is>
          <t>Loan_ID</t>
        </is>
      </c>
      <c r="B161" t="inlineStr">
        <is>
          <t>LP001488</t>
        </is>
      </c>
      <c r="C161" t="n">
        <v>1</v>
      </c>
      <c r="D161" s="9" t="n">
        <v>0.001628664495114007</v>
      </c>
      <c r="E161" t="n">
        <v>160</v>
      </c>
    </row>
    <row r="162">
      <c r="A162" t="inlineStr">
        <is>
          <t>Loan_ID</t>
        </is>
      </c>
      <c r="B162" t="inlineStr">
        <is>
          <t>LP001489</t>
        </is>
      </c>
      <c r="C162" t="n">
        <v>1</v>
      </c>
      <c r="D162" s="9" t="n">
        <v>0.001628664495114007</v>
      </c>
      <c r="E162" t="n">
        <v>161</v>
      </c>
    </row>
    <row r="163">
      <c r="A163" t="inlineStr">
        <is>
          <t>Loan_ID</t>
        </is>
      </c>
      <c r="B163" t="inlineStr">
        <is>
          <t>LP001491</t>
        </is>
      </c>
      <c r="C163" t="n">
        <v>1</v>
      </c>
      <c r="D163" s="9" t="n">
        <v>0.001628664495114007</v>
      </c>
      <c r="E163" t="n">
        <v>162</v>
      </c>
    </row>
    <row r="164">
      <c r="A164" t="inlineStr">
        <is>
          <t>Loan_ID</t>
        </is>
      </c>
      <c r="B164" t="inlineStr">
        <is>
          <t>LP001492</t>
        </is>
      </c>
      <c r="C164" t="n">
        <v>1</v>
      </c>
      <c r="D164" s="9" t="n">
        <v>0.001628664495114007</v>
      </c>
      <c r="E164" t="n">
        <v>163</v>
      </c>
    </row>
    <row r="165">
      <c r="A165" t="inlineStr">
        <is>
          <t>Loan_ID</t>
        </is>
      </c>
      <c r="B165" t="inlineStr">
        <is>
          <t>LP001493</t>
        </is>
      </c>
      <c r="C165" t="n">
        <v>1</v>
      </c>
      <c r="D165" s="9" t="n">
        <v>0.001628664495114007</v>
      </c>
      <c r="E165" t="n">
        <v>164</v>
      </c>
    </row>
    <row r="166">
      <c r="A166" t="inlineStr">
        <is>
          <t>Loan_ID</t>
        </is>
      </c>
      <c r="B166" t="inlineStr">
        <is>
          <t>LP001497</t>
        </is>
      </c>
      <c r="C166" t="n">
        <v>1</v>
      </c>
      <c r="D166" s="9" t="n">
        <v>0.001628664495114007</v>
      </c>
      <c r="E166" t="n">
        <v>165</v>
      </c>
    </row>
    <row r="167">
      <c r="A167" t="inlineStr">
        <is>
          <t>Loan_ID</t>
        </is>
      </c>
      <c r="B167" t="inlineStr">
        <is>
          <t>LP001498</t>
        </is>
      </c>
      <c r="C167" t="n">
        <v>1</v>
      </c>
      <c r="D167" s="9" t="n">
        <v>0.001628664495114007</v>
      </c>
      <c r="E167" t="n">
        <v>166</v>
      </c>
    </row>
    <row r="168">
      <c r="A168" t="inlineStr">
        <is>
          <t>Loan_ID</t>
        </is>
      </c>
      <c r="B168" t="inlineStr">
        <is>
          <t>LP001653</t>
        </is>
      </c>
      <c r="C168" t="n">
        <v>1</v>
      </c>
      <c r="D168" s="9" t="n">
        <v>0.001628664495114007</v>
      </c>
      <c r="E168" t="n">
        <v>167</v>
      </c>
    </row>
    <row r="169">
      <c r="A169" t="inlineStr">
        <is>
          <t>Loan_ID</t>
        </is>
      </c>
      <c r="B169" t="inlineStr">
        <is>
          <t>LP001656</t>
        </is>
      </c>
      <c r="C169" t="n">
        <v>1</v>
      </c>
      <c r="D169" s="9" t="n">
        <v>0.001628664495114007</v>
      </c>
      <c r="E169" t="n">
        <v>168</v>
      </c>
    </row>
    <row r="170">
      <c r="A170" t="inlineStr">
        <is>
          <t>Loan_ID</t>
        </is>
      </c>
      <c r="B170" t="inlineStr">
        <is>
          <t>LP001657</t>
        </is>
      </c>
      <c r="C170" t="n">
        <v>1</v>
      </c>
      <c r="D170" s="9" t="n">
        <v>0.001628664495114007</v>
      </c>
      <c r="E170" t="n">
        <v>169</v>
      </c>
    </row>
    <row r="171">
      <c r="A171" t="inlineStr">
        <is>
          <t>Loan_ID</t>
        </is>
      </c>
      <c r="B171" t="inlineStr">
        <is>
          <t>LP001658</t>
        </is>
      </c>
      <c r="C171" t="n">
        <v>1</v>
      </c>
      <c r="D171" s="9" t="n">
        <v>0.001628664495114007</v>
      </c>
      <c r="E171" t="n">
        <v>170</v>
      </c>
    </row>
    <row r="172">
      <c r="A172" t="inlineStr">
        <is>
          <t>Loan_ID</t>
        </is>
      </c>
      <c r="B172" t="inlineStr">
        <is>
          <t>LP001664</t>
        </is>
      </c>
      <c r="C172" t="n">
        <v>1</v>
      </c>
      <c r="D172" s="9" t="n">
        <v>0.001628664495114007</v>
      </c>
      <c r="E172" t="n">
        <v>171</v>
      </c>
    </row>
    <row r="173">
      <c r="A173" t="inlineStr">
        <is>
          <t>Loan_ID</t>
        </is>
      </c>
      <c r="B173" t="inlineStr">
        <is>
          <t>LP001665</t>
        </is>
      </c>
      <c r="C173" t="n">
        <v>1</v>
      </c>
      <c r="D173" s="9" t="n">
        <v>0.001628664495114007</v>
      </c>
      <c r="E173" t="n">
        <v>172</v>
      </c>
    </row>
    <row r="174">
      <c r="A174" t="inlineStr">
        <is>
          <t>Loan_ID</t>
        </is>
      </c>
      <c r="B174" t="inlineStr">
        <is>
          <t>LP001666</t>
        </is>
      </c>
      <c r="C174" t="n">
        <v>1</v>
      </c>
      <c r="D174" s="9" t="n">
        <v>0.001628664495114007</v>
      </c>
      <c r="E174" t="n">
        <v>173</v>
      </c>
    </row>
    <row r="175">
      <c r="A175" t="inlineStr">
        <is>
          <t>Loan_ID</t>
        </is>
      </c>
      <c r="B175" t="inlineStr">
        <is>
          <t>LP001669</t>
        </is>
      </c>
      <c r="C175" t="n">
        <v>1</v>
      </c>
      <c r="D175" s="9" t="n">
        <v>0.001628664495114007</v>
      </c>
      <c r="E175" t="n">
        <v>174</v>
      </c>
    </row>
    <row r="176">
      <c r="A176" t="inlineStr">
        <is>
          <t>Loan_ID</t>
        </is>
      </c>
      <c r="B176" t="inlineStr">
        <is>
          <t>LP001636</t>
        </is>
      </c>
      <c r="C176" t="n">
        <v>1</v>
      </c>
      <c r="D176" s="9" t="n">
        <v>0.001628664495114007</v>
      </c>
      <c r="E176" t="n">
        <v>175</v>
      </c>
    </row>
    <row r="177">
      <c r="A177" t="inlineStr">
        <is>
          <t>Loan_ID</t>
        </is>
      </c>
      <c r="B177" t="inlineStr">
        <is>
          <t>LP001637</t>
        </is>
      </c>
      <c r="C177" t="n">
        <v>1</v>
      </c>
      <c r="D177" s="9" t="n">
        <v>0.001628664495114007</v>
      </c>
      <c r="E177" t="n">
        <v>176</v>
      </c>
    </row>
    <row r="178">
      <c r="A178" t="inlineStr">
        <is>
          <t>Loan_ID</t>
        </is>
      </c>
      <c r="B178" t="inlineStr">
        <is>
          <t>LP001639</t>
        </is>
      </c>
      <c r="C178" t="n">
        <v>1</v>
      </c>
      <c r="D178" s="9" t="n">
        <v>0.001628664495114007</v>
      </c>
      <c r="E178" t="n">
        <v>177</v>
      </c>
    </row>
    <row r="179">
      <c r="A179" t="inlineStr">
        <is>
          <t>Loan_ID</t>
        </is>
      </c>
      <c r="B179" t="inlineStr">
        <is>
          <t>LP001640</t>
        </is>
      </c>
      <c r="C179" t="n">
        <v>1</v>
      </c>
      <c r="D179" s="9" t="n">
        <v>0.001628664495114007</v>
      </c>
      <c r="E179" t="n">
        <v>178</v>
      </c>
    </row>
    <row r="180">
      <c r="A180" t="inlineStr">
        <is>
          <t>Loan_ID</t>
        </is>
      </c>
      <c r="B180" t="inlineStr">
        <is>
          <t>LP001641</t>
        </is>
      </c>
      <c r="C180" t="n">
        <v>1</v>
      </c>
      <c r="D180" s="9" t="n">
        <v>0.001628664495114007</v>
      </c>
      <c r="E180" t="n">
        <v>179</v>
      </c>
    </row>
    <row r="181">
      <c r="A181" t="inlineStr">
        <is>
          <t>Loan_ID</t>
        </is>
      </c>
      <c r="B181" t="inlineStr">
        <is>
          <t>LP001643</t>
        </is>
      </c>
      <c r="C181" t="n">
        <v>1</v>
      </c>
      <c r="D181" s="9" t="n">
        <v>0.001628664495114007</v>
      </c>
      <c r="E181" t="n">
        <v>180</v>
      </c>
    </row>
    <row r="182">
      <c r="A182" t="inlineStr">
        <is>
          <t>Loan_ID</t>
        </is>
      </c>
      <c r="B182" t="inlineStr">
        <is>
          <t>LP001644</t>
        </is>
      </c>
      <c r="C182" t="n">
        <v>1</v>
      </c>
      <c r="D182" s="9" t="n">
        <v>0.001628664495114007</v>
      </c>
      <c r="E182" t="n">
        <v>181</v>
      </c>
    </row>
    <row r="183">
      <c r="A183" t="inlineStr">
        <is>
          <t>Loan_ID</t>
        </is>
      </c>
      <c r="B183" t="inlineStr">
        <is>
          <t>LP001647</t>
        </is>
      </c>
      <c r="C183" t="n">
        <v>1</v>
      </c>
      <c r="D183" s="9" t="n">
        <v>0.001628664495114007</v>
      </c>
      <c r="E183" t="n">
        <v>182</v>
      </c>
    </row>
    <row r="184">
      <c r="A184" t="inlineStr">
        <is>
          <t>Loan_ID</t>
        </is>
      </c>
      <c r="B184" t="inlineStr">
        <is>
          <t>LP001603</t>
        </is>
      </c>
      <c r="C184" t="n">
        <v>1</v>
      </c>
      <c r="D184" s="9" t="n">
        <v>0.001628664495114007</v>
      </c>
      <c r="E184" t="n">
        <v>183</v>
      </c>
    </row>
    <row r="185">
      <c r="A185" t="inlineStr">
        <is>
          <t>Loan_ID</t>
        </is>
      </c>
      <c r="B185" t="inlineStr">
        <is>
          <t>LP001606</t>
        </is>
      </c>
      <c r="C185" t="n">
        <v>1</v>
      </c>
      <c r="D185" s="9" t="n">
        <v>0.001628664495114007</v>
      </c>
      <c r="E185" t="n">
        <v>184</v>
      </c>
    </row>
    <row r="186">
      <c r="A186" t="inlineStr">
        <is>
          <t>Loan_ID</t>
        </is>
      </c>
      <c r="B186" t="inlineStr">
        <is>
          <t>LP001608</t>
        </is>
      </c>
      <c r="C186" t="n">
        <v>1</v>
      </c>
      <c r="D186" s="9" t="n">
        <v>0.001628664495114007</v>
      </c>
      <c r="E186" t="n">
        <v>185</v>
      </c>
    </row>
    <row r="187">
      <c r="A187" t="inlineStr">
        <is>
          <t>Loan_ID</t>
        </is>
      </c>
      <c r="B187" t="inlineStr">
        <is>
          <t>LP001610</t>
        </is>
      </c>
      <c r="C187" t="n">
        <v>1</v>
      </c>
      <c r="D187" s="9" t="n">
        <v>0.001628664495114007</v>
      </c>
      <c r="E187" t="n">
        <v>186</v>
      </c>
    </row>
    <row r="188">
      <c r="A188" t="inlineStr">
        <is>
          <t>Loan_ID</t>
        </is>
      </c>
      <c r="B188" t="inlineStr">
        <is>
          <t>LP001616</t>
        </is>
      </c>
      <c r="C188" t="n">
        <v>1</v>
      </c>
      <c r="D188" s="9" t="n">
        <v>0.001628664495114007</v>
      </c>
      <c r="E188" t="n">
        <v>187</v>
      </c>
    </row>
    <row r="189">
      <c r="A189" t="inlineStr">
        <is>
          <t>Loan_ID</t>
        </is>
      </c>
      <c r="B189" t="inlineStr">
        <is>
          <t>LP001630</t>
        </is>
      </c>
      <c r="C189" t="n">
        <v>1</v>
      </c>
      <c r="D189" s="9" t="n">
        <v>0.001628664495114007</v>
      </c>
      <c r="E189" t="n">
        <v>188</v>
      </c>
    </row>
    <row r="190">
      <c r="A190" t="inlineStr">
        <is>
          <t>Loan_ID</t>
        </is>
      </c>
      <c r="B190" t="inlineStr">
        <is>
          <t>LP001633</t>
        </is>
      </c>
      <c r="C190" t="n">
        <v>1</v>
      </c>
      <c r="D190" s="9" t="n">
        <v>0.001628664495114007</v>
      </c>
      <c r="E190" t="n">
        <v>189</v>
      </c>
    </row>
    <row r="191">
      <c r="A191" t="inlineStr">
        <is>
          <t>Loan_ID</t>
        </is>
      </c>
      <c r="B191" t="inlineStr">
        <is>
          <t>LP001634</t>
        </is>
      </c>
      <c r="C191" t="n">
        <v>1</v>
      </c>
      <c r="D191" s="9" t="n">
        <v>0.001628664495114007</v>
      </c>
      <c r="E191" t="n">
        <v>190</v>
      </c>
    </row>
    <row r="192">
      <c r="A192" t="inlineStr">
        <is>
          <t>Loan_ID</t>
        </is>
      </c>
      <c r="B192" t="inlineStr">
        <is>
          <t>LP001577</t>
        </is>
      </c>
      <c r="C192" t="n">
        <v>1</v>
      </c>
      <c r="D192" s="9" t="n">
        <v>0.001628664495114007</v>
      </c>
      <c r="E192" t="n">
        <v>191</v>
      </c>
    </row>
    <row r="193">
      <c r="A193" t="inlineStr">
        <is>
          <t>Loan_ID</t>
        </is>
      </c>
      <c r="B193" t="inlineStr">
        <is>
          <t>LP001578</t>
        </is>
      </c>
      <c r="C193" t="n">
        <v>1</v>
      </c>
      <c r="D193" s="9" t="n">
        <v>0.001628664495114007</v>
      </c>
      <c r="E193" t="n">
        <v>192</v>
      </c>
    </row>
    <row r="194">
      <c r="A194" t="inlineStr">
        <is>
          <t>Loan_ID</t>
        </is>
      </c>
      <c r="B194" t="inlineStr">
        <is>
          <t>LP001579</t>
        </is>
      </c>
      <c r="C194" t="n">
        <v>1</v>
      </c>
      <c r="D194" s="9" t="n">
        <v>0.001628664495114007</v>
      </c>
      <c r="E194" t="n">
        <v>193</v>
      </c>
    </row>
    <row r="195">
      <c r="A195" t="inlineStr">
        <is>
          <t>Loan_ID</t>
        </is>
      </c>
      <c r="B195" t="inlineStr">
        <is>
          <t>LP001580</t>
        </is>
      </c>
      <c r="C195" t="n">
        <v>1</v>
      </c>
      <c r="D195" s="9" t="n">
        <v>0.001628664495114007</v>
      </c>
      <c r="E195" t="n">
        <v>194</v>
      </c>
    </row>
    <row r="196">
      <c r="A196" t="inlineStr">
        <is>
          <t>Loan_ID</t>
        </is>
      </c>
      <c r="B196" t="inlineStr">
        <is>
          <t>LP001581</t>
        </is>
      </c>
      <c r="C196" t="n">
        <v>1</v>
      </c>
      <c r="D196" s="9" t="n">
        <v>0.001628664495114007</v>
      </c>
      <c r="E196" t="n">
        <v>195</v>
      </c>
    </row>
    <row r="197">
      <c r="A197" t="inlineStr">
        <is>
          <t>Loan_ID</t>
        </is>
      </c>
      <c r="B197" t="inlineStr">
        <is>
          <t>LP001585</t>
        </is>
      </c>
      <c r="C197" t="n">
        <v>1</v>
      </c>
      <c r="D197" s="9" t="n">
        <v>0.001628664495114007</v>
      </c>
      <c r="E197" t="n">
        <v>196</v>
      </c>
    </row>
    <row r="198">
      <c r="A198" t="inlineStr">
        <is>
          <t>Loan_ID</t>
        </is>
      </c>
      <c r="B198" t="inlineStr">
        <is>
          <t>LP001586</t>
        </is>
      </c>
      <c r="C198" t="n">
        <v>1</v>
      </c>
      <c r="D198" s="9" t="n">
        <v>0.001628664495114007</v>
      </c>
      <c r="E198" t="n">
        <v>197</v>
      </c>
    </row>
    <row r="199">
      <c r="A199" t="inlineStr">
        <is>
          <t>Loan_ID</t>
        </is>
      </c>
      <c r="B199" t="inlineStr">
        <is>
          <t>LP001594</t>
        </is>
      </c>
      <c r="C199" t="n">
        <v>1</v>
      </c>
      <c r="D199" s="9" t="n">
        <v>0.001628664495114007</v>
      </c>
      <c r="E199" t="n">
        <v>198</v>
      </c>
    </row>
    <row r="200">
      <c r="A200" t="inlineStr">
        <is>
          <t>Loan_ID</t>
        </is>
      </c>
      <c r="B200" t="inlineStr">
        <is>
          <t>LP001744</t>
        </is>
      </c>
      <c r="C200" t="n">
        <v>1</v>
      </c>
      <c r="D200" s="9" t="n">
        <v>0.001628664495114007</v>
      </c>
      <c r="E200" t="n">
        <v>199</v>
      </c>
    </row>
    <row r="201">
      <c r="A201" t="inlineStr">
        <is>
          <t>Loan_ID</t>
        </is>
      </c>
      <c r="B201" t="inlineStr">
        <is>
          <t>LP001749</t>
        </is>
      </c>
      <c r="C201" t="n">
        <v>1</v>
      </c>
      <c r="D201" s="9" t="n">
        <v>0.001628664495114007</v>
      </c>
      <c r="E201" t="n">
        <v>200</v>
      </c>
    </row>
    <row r="202">
      <c r="A202" t="inlineStr">
        <is>
          <t>Loan_ID</t>
        </is>
      </c>
      <c r="B202" t="inlineStr">
        <is>
          <t>LP001750</t>
        </is>
      </c>
      <c r="C202" t="n">
        <v>1</v>
      </c>
      <c r="D202" s="9" t="n">
        <v>0.001628664495114007</v>
      </c>
      <c r="E202" t="n">
        <v>201</v>
      </c>
    </row>
    <row r="203">
      <c r="A203" t="inlineStr">
        <is>
          <t>Loan_ID</t>
        </is>
      </c>
      <c r="B203" t="inlineStr">
        <is>
          <t>LP001751</t>
        </is>
      </c>
      <c r="C203" t="n">
        <v>1</v>
      </c>
      <c r="D203" s="9" t="n">
        <v>0.001628664495114007</v>
      </c>
      <c r="E203" t="n">
        <v>202</v>
      </c>
    </row>
    <row r="204">
      <c r="A204" t="inlineStr">
        <is>
          <t>Loan_ID</t>
        </is>
      </c>
      <c r="B204" t="inlineStr">
        <is>
          <t>LP001754</t>
        </is>
      </c>
      <c r="C204" t="n">
        <v>1</v>
      </c>
      <c r="D204" s="9" t="n">
        <v>0.001628664495114007</v>
      </c>
      <c r="E204" t="n">
        <v>203</v>
      </c>
    </row>
    <row r="205">
      <c r="A205" t="inlineStr">
        <is>
          <t>Loan_ID</t>
        </is>
      </c>
      <c r="B205" t="inlineStr">
        <is>
          <t>LP001758</t>
        </is>
      </c>
      <c r="C205" t="n">
        <v>1</v>
      </c>
      <c r="D205" s="9" t="n">
        <v>0.001628664495114007</v>
      </c>
      <c r="E205" t="n">
        <v>204</v>
      </c>
    </row>
    <row r="206">
      <c r="A206" t="inlineStr">
        <is>
          <t>Loan_ID</t>
        </is>
      </c>
      <c r="B206" t="inlineStr">
        <is>
          <t>LP001760</t>
        </is>
      </c>
      <c r="C206" t="n">
        <v>1</v>
      </c>
      <c r="D206" s="9" t="n">
        <v>0.001628664495114007</v>
      </c>
      <c r="E206" t="n">
        <v>205</v>
      </c>
    </row>
    <row r="207">
      <c r="A207" t="inlineStr">
        <is>
          <t>Loan_ID</t>
        </is>
      </c>
      <c r="B207" t="inlineStr">
        <is>
          <t>LP001761</t>
        </is>
      </c>
      <c r="C207" t="n">
        <v>1</v>
      </c>
      <c r="D207" s="9" t="n">
        <v>0.001628664495114007</v>
      </c>
      <c r="E207" t="n">
        <v>206</v>
      </c>
    </row>
    <row r="208">
      <c r="A208" t="inlineStr">
        <is>
          <t>Loan_ID</t>
        </is>
      </c>
      <c r="B208" t="inlineStr">
        <is>
          <t>LP001716</t>
        </is>
      </c>
      <c r="C208" t="n">
        <v>1</v>
      </c>
      <c r="D208" s="9" t="n">
        <v>0.001628664495114007</v>
      </c>
      <c r="E208" t="n">
        <v>207</v>
      </c>
    </row>
    <row r="209">
      <c r="A209" t="inlineStr">
        <is>
          <t>Loan_ID</t>
        </is>
      </c>
      <c r="B209" t="inlineStr">
        <is>
          <t>LP001720</t>
        </is>
      </c>
      <c r="C209" t="n">
        <v>1</v>
      </c>
      <c r="D209" s="9" t="n">
        <v>0.001628664495114007</v>
      </c>
      <c r="E209" t="n">
        <v>208</v>
      </c>
    </row>
    <row r="210">
      <c r="A210" t="inlineStr">
        <is>
          <t>Loan_ID</t>
        </is>
      </c>
      <c r="B210" t="inlineStr">
        <is>
          <t>LP001722</t>
        </is>
      </c>
      <c r="C210" t="n">
        <v>1</v>
      </c>
      <c r="D210" s="9" t="n">
        <v>0.001628664495114007</v>
      </c>
      <c r="E210" t="n">
        <v>209</v>
      </c>
    </row>
    <row r="211">
      <c r="A211" t="inlineStr">
        <is>
          <t>Loan_ID</t>
        </is>
      </c>
      <c r="B211" t="inlineStr">
        <is>
          <t>LP001726</t>
        </is>
      </c>
      <c r="C211" t="n">
        <v>1</v>
      </c>
      <c r="D211" s="9" t="n">
        <v>0.001628664495114007</v>
      </c>
      <c r="E211" t="n">
        <v>210</v>
      </c>
    </row>
    <row r="212">
      <c r="A212" t="inlineStr">
        <is>
          <t>Loan_ID</t>
        </is>
      </c>
      <c r="B212" t="inlineStr">
        <is>
          <t>LP001732</t>
        </is>
      </c>
      <c r="C212" t="n">
        <v>1</v>
      </c>
      <c r="D212" s="9" t="n">
        <v>0.001628664495114007</v>
      </c>
      <c r="E212" t="n">
        <v>211</v>
      </c>
    </row>
    <row r="213">
      <c r="A213" t="inlineStr">
        <is>
          <t>Loan_ID</t>
        </is>
      </c>
      <c r="B213" t="inlineStr">
        <is>
          <t>LP001734</t>
        </is>
      </c>
      <c r="C213" t="n">
        <v>1</v>
      </c>
      <c r="D213" s="9" t="n">
        <v>0.001628664495114007</v>
      </c>
      <c r="E213" t="n">
        <v>212</v>
      </c>
    </row>
    <row r="214">
      <c r="A214" t="inlineStr">
        <is>
          <t>Loan_ID</t>
        </is>
      </c>
      <c r="B214" t="inlineStr">
        <is>
          <t>LP001736</t>
        </is>
      </c>
      <c r="C214" t="n">
        <v>1</v>
      </c>
      <c r="D214" s="9" t="n">
        <v>0.001628664495114007</v>
      </c>
      <c r="E214" t="n">
        <v>213</v>
      </c>
    </row>
    <row r="215">
      <c r="A215" t="inlineStr">
        <is>
          <t>Loan_ID</t>
        </is>
      </c>
      <c r="B215" t="inlineStr">
        <is>
          <t>LP001743</t>
        </is>
      </c>
      <c r="C215" t="n">
        <v>1</v>
      </c>
      <c r="D215" s="9" t="n">
        <v>0.001628664495114007</v>
      </c>
      <c r="E215" t="n">
        <v>214</v>
      </c>
    </row>
    <row r="216">
      <c r="A216" t="inlineStr">
        <is>
          <t>Loan_ID</t>
        </is>
      </c>
      <c r="B216" t="inlineStr">
        <is>
          <t>LP001693</t>
        </is>
      </c>
      <c r="C216" t="n">
        <v>1</v>
      </c>
      <c r="D216" s="9" t="n">
        <v>0.001628664495114007</v>
      </c>
      <c r="E216" t="n">
        <v>215</v>
      </c>
    </row>
    <row r="217">
      <c r="A217" t="inlineStr">
        <is>
          <t>Loan_ID</t>
        </is>
      </c>
      <c r="B217" t="inlineStr">
        <is>
          <t>LP001698</t>
        </is>
      </c>
      <c r="C217" t="n">
        <v>1</v>
      </c>
      <c r="D217" s="9" t="n">
        <v>0.001628664495114007</v>
      </c>
      <c r="E217" t="n">
        <v>216</v>
      </c>
    </row>
    <row r="218">
      <c r="A218" t="inlineStr">
        <is>
          <t>Loan_ID</t>
        </is>
      </c>
      <c r="B218" t="inlineStr">
        <is>
          <t>LP001699</t>
        </is>
      </c>
      <c r="C218" t="n">
        <v>1</v>
      </c>
      <c r="D218" s="9" t="n">
        <v>0.001628664495114007</v>
      </c>
      <c r="E218" t="n">
        <v>217</v>
      </c>
    </row>
    <row r="219">
      <c r="A219" t="inlineStr">
        <is>
          <t>Loan_ID</t>
        </is>
      </c>
      <c r="B219" t="inlineStr">
        <is>
          <t>LP001702</t>
        </is>
      </c>
      <c r="C219" t="n">
        <v>1</v>
      </c>
      <c r="D219" s="9" t="n">
        <v>0.001628664495114007</v>
      </c>
      <c r="E219" t="n">
        <v>218</v>
      </c>
    </row>
    <row r="220">
      <c r="A220" t="inlineStr">
        <is>
          <t>Loan_ID</t>
        </is>
      </c>
      <c r="B220" t="inlineStr">
        <is>
          <t>LP001708</t>
        </is>
      </c>
      <c r="C220" t="n">
        <v>1</v>
      </c>
      <c r="D220" s="9" t="n">
        <v>0.001628664495114007</v>
      </c>
      <c r="E220" t="n">
        <v>219</v>
      </c>
    </row>
    <row r="221">
      <c r="A221" t="inlineStr">
        <is>
          <t>Loan_ID</t>
        </is>
      </c>
      <c r="B221" t="inlineStr">
        <is>
          <t>LP001711</t>
        </is>
      </c>
      <c r="C221" t="n">
        <v>1</v>
      </c>
      <c r="D221" s="9" t="n">
        <v>0.001628664495114007</v>
      </c>
      <c r="E221" t="n">
        <v>220</v>
      </c>
    </row>
    <row r="222">
      <c r="A222" t="inlineStr">
        <is>
          <t>Loan_ID</t>
        </is>
      </c>
      <c r="B222" t="inlineStr">
        <is>
          <t>LP001713</t>
        </is>
      </c>
      <c r="C222" t="n">
        <v>1</v>
      </c>
      <c r="D222" s="9" t="n">
        <v>0.001628664495114007</v>
      </c>
      <c r="E222" t="n">
        <v>221</v>
      </c>
    </row>
    <row r="223">
      <c r="A223" t="inlineStr">
        <is>
          <t>Loan_ID</t>
        </is>
      </c>
      <c r="B223" t="inlineStr">
        <is>
          <t>LP001715</t>
        </is>
      </c>
      <c r="C223" t="n">
        <v>1</v>
      </c>
      <c r="D223" s="9" t="n">
        <v>0.001628664495114007</v>
      </c>
      <c r="E223" t="n">
        <v>222</v>
      </c>
    </row>
    <row r="224">
      <c r="A224" t="inlineStr">
        <is>
          <t>Loan_ID</t>
        </is>
      </c>
      <c r="B224" t="inlineStr">
        <is>
          <t>LP001671</t>
        </is>
      </c>
      <c r="C224" t="n">
        <v>1</v>
      </c>
      <c r="D224" s="9" t="n">
        <v>0.001628664495114007</v>
      </c>
      <c r="E224" t="n">
        <v>223</v>
      </c>
    </row>
    <row r="225">
      <c r="A225" t="inlineStr">
        <is>
          <t>Loan_ID</t>
        </is>
      </c>
      <c r="B225" t="inlineStr">
        <is>
          <t>LP001673</t>
        </is>
      </c>
      <c r="C225" t="n">
        <v>1</v>
      </c>
      <c r="D225" s="9" t="n">
        <v>0.001628664495114007</v>
      </c>
      <c r="E225" t="n">
        <v>224</v>
      </c>
    </row>
    <row r="226">
      <c r="A226" t="inlineStr">
        <is>
          <t>Loan_ID</t>
        </is>
      </c>
      <c r="B226" t="inlineStr">
        <is>
          <t>LP001674</t>
        </is>
      </c>
      <c r="C226" t="n">
        <v>1</v>
      </c>
      <c r="D226" s="9" t="n">
        <v>0.001628664495114007</v>
      </c>
      <c r="E226" t="n">
        <v>225</v>
      </c>
    </row>
    <row r="227">
      <c r="A227" t="inlineStr">
        <is>
          <t>Loan_ID</t>
        </is>
      </c>
      <c r="B227" t="inlineStr">
        <is>
          <t>LP001677</t>
        </is>
      </c>
      <c r="C227" t="n">
        <v>1</v>
      </c>
      <c r="D227" s="9" t="n">
        <v>0.001628664495114007</v>
      </c>
      <c r="E227" t="n">
        <v>226</v>
      </c>
    </row>
    <row r="228">
      <c r="A228" t="inlineStr">
        <is>
          <t>Loan_ID</t>
        </is>
      </c>
      <c r="B228" t="inlineStr">
        <is>
          <t>LP001682</t>
        </is>
      </c>
      <c r="C228" t="n">
        <v>1</v>
      </c>
      <c r="D228" s="9" t="n">
        <v>0.001628664495114007</v>
      </c>
      <c r="E228" t="n">
        <v>227</v>
      </c>
    </row>
    <row r="229">
      <c r="A229" t="inlineStr">
        <is>
          <t>Loan_ID</t>
        </is>
      </c>
      <c r="B229" t="inlineStr">
        <is>
          <t>LP001688</t>
        </is>
      </c>
      <c r="C229" t="n">
        <v>1</v>
      </c>
      <c r="D229" s="9" t="n">
        <v>0.001628664495114007</v>
      </c>
      <c r="E229" t="n">
        <v>228</v>
      </c>
    </row>
    <row r="230">
      <c r="A230" t="inlineStr">
        <is>
          <t>Loan_ID</t>
        </is>
      </c>
      <c r="B230" t="inlineStr">
        <is>
          <t>LP001691</t>
        </is>
      </c>
      <c r="C230" t="n">
        <v>1</v>
      </c>
      <c r="D230" s="9" t="n">
        <v>0.001628664495114007</v>
      </c>
      <c r="E230" t="n">
        <v>229</v>
      </c>
    </row>
    <row r="231">
      <c r="A231" t="inlineStr">
        <is>
          <t>Loan_ID</t>
        </is>
      </c>
      <c r="B231" t="inlineStr">
        <is>
          <t>LP001692</t>
        </is>
      </c>
      <c r="C231" t="n">
        <v>1</v>
      </c>
      <c r="D231" s="9" t="n">
        <v>0.001628664495114007</v>
      </c>
      <c r="E231" t="n">
        <v>230</v>
      </c>
    </row>
    <row r="232">
      <c r="A232" t="inlineStr">
        <is>
          <t>Loan_ID</t>
        </is>
      </c>
      <c r="B232" t="inlineStr">
        <is>
          <t>LP001844</t>
        </is>
      </c>
      <c r="C232" t="n">
        <v>1</v>
      </c>
      <c r="D232" s="9" t="n">
        <v>0.001628664495114007</v>
      </c>
      <c r="E232" t="n">
        <v>231</v>
      </c>
    </row>
    <row r="233">
      <c r="A233" t="inlineStr">
        <is>
          <t>Loan_ID</t>
        </is>
      </c>
      <c r="B233" t="inlineStr">
        <is>
          <t>LP001846</t>
        </is>
      </c>
      <c r="C233" t="n">
        <v>1</v>
      </c>
      <c r="D233" s="9" t="n">
        <v>0.001628664495114007</v>
      </c>
      <c r="E233" t="n">
        <v>232</v>
      </c>
    </row>
    <row r="234">
      <c r="A234" t="inlineStr">
        <is>
          <t>Loan_ID</t>
        </is>
      </c>
      <c r="B234" t="inlineStr">
        <is>
          <t>LP001849</t>
        </is>
      </c>
      <c r="C234" t="n">
        <v>1</v>
      </c>
      <c r="D234" s="9" t="n">
        <v>0.001628664495114007</v>
      </c>
      <c r="E234" t="n">
        <v>233</v>
      </c>
    </row>
    <row r="235">
      <c r="A235" t="inlineStr">
        <is>
          <t>Loan_ID</t>
        </is>
      </c>
      <c r="B235" t="inlineStr">
        <is>
          <t>LP001854</t>
        </is>
      </c>
      <c r="C235" t="n">
        <v>1</v>
      </c>
      <c r="D235" s="9" t="n">
        <v>0.001628664495114007</v>
      </c>
      <c r="E235" t="n">
        <v>234</v>
      </c>
    </row>
    <row r="236">
      <c r="A236" t="inlineStr">
        <is>
          <t>Loan_ID</t>
        </is>
      </c>
      <c r="B236" t="inlineStr">
        <is>
          <t>LP001859</t>
        </is>
      </c>
      <c r="C236" t="n">
        <v>1</v>
      </c>
      <c r="D236" s="9" t="n">
        <v>0.001628664495114007</v>
      </c>
      <c r="E236" t="n">
        <v>235</v>
      </c>
    </row>
    <row r="237">
      <c r="A237" t="inlineStr">
        <is>
          <t>Loan_ID</t>
        </is>
      </c>
      <c r="B237" t="inlineStr">
        <is>
          <t>LP001864</t>
        </is>
      </c>
      <c r="C237" t="n">
        <v>1</v>
      </c>
      <c r="D237" s="9" t="n">
        <v>0.001628664495114007</v>
      </c>
      <c r="E237" t="n">
        <v>236</v>
      </c>
    </row>
    <row r="238">
      <c r="A238" t="inlineStr">
        <is>
          <t>Loan_ID</t>
        </is>
      </c>
      <c r="B238" t="inlineStr">
        <is>
          <t>LP001865</t>
        </is>
      </c>
      <c r="C238" t="n">
        <v>1</v>
      </c>
      <c r="D238" s="9" t="n">
        <v>0.001628664495114007</v>
      </c>
      <c r="E238" t="n">
        <v>237</v>
      </c>
    </row>
    <row r="239">
      <c r="A239" t="inlineStr">
        <is>
          <t>Loan_ID</t>
        </is>
      </c>
      <c r="B239" t="inlineStr">
        <is>
          <t>LP001868</t>
        </is>
      </c>
      <c r="C239" t="n">
        <v>1</v>
      </c>
      <c r="D239" s="9" t="n">
        <v>0.001628664495114007</v>
      </c>
      <c r="E239" t="n">
        <v>238</v>
      </c>
    </row>
    <row r="240">
      <c r="A240" t="inlineStr">
        <is>
          <t>Loan_ID</t>
        </is>
      </c>
      <c r="B240" t="inlineStr">
        <is>
          <t>LP001814</t>
        </is>
      </c>
      <c r="C240" t="n">
        <v>1</v>
      </c>
      <c r="D240" s="9" t="n">
        <v>0.001628664495114007</v>
      </c>
      <c r="E240" t="n">
        <v>239</v>
      </c>
    </row>
    <row r="241">
      <c r="A241" t="inlineStr">
        <is>
          <t>Loan_ID</t>
        </is>
      </c>
      <c r="B241" t="inlineStr">
        <is>
          <t>LP001819</t>
        </is>
      </c>
      <c r="C241" t="n">
        <v>1</v>
      </c>
      <c r="D241" s="9" t="n">
        <v>0.001628664495114007</v>
      </c>
      <c r="E241" t="n">
        <v>240</v>
      </c>
    </row>
    <row r="242">
      <c r="A242" t="inlineStr">
        <is>
          <t>Loan_ID</t>
        </is>
      </c>
      <c r="B242" t="inlineStr">
        <is>
          <t>LP001824</t>
        </is>
      </c>
      <c r="C242" t="n">
        <v>1</v>
      </c>
      <c r="D242" s="9" t="n">
        <v>0.001628664495114007</v>
      </c>
      <c r="E242" t="n">
        <v>241</v>
      </c>
    </row>
    <row r="243">
      <c r="A243" t="inlineStr">
        <is>
          <t>Loan_ID</t>
        </is>
      </c>
      <c r="B243" t="inlineStr">
        <is>
          <t>LP001825</t>
        </is>
      </c>
      <c r="C243" t="n">
        <v>1</v>
      </c>
      <c r="D243" s="9" t="n">
        <v>0.001628664495114007</v>
      </c>
      <c r="E243" t="n">
        <v>242</v>
      </c>
    </row>
    <row r="244">
      <c r="A244" t="inlineStr">
        <is>
          <t>Loan_ID</t>
        </is>
      </c>
      <c r="B244" t="inlineStr">
        <is>
          <t>LP001835</t>
        </is>
      </c>
      <c r="C244" t="n">
        <v>1</v>
      </c>
      <c r="D244" s="9" t="n">
        <v>0.001628664495114007</v>
      </c>
      <c r="E244" t="n">
        <v>243</v>
      </c>
    </row>
    <row r="245">
      <c r="A245" t="inlineStr">
        <is>
          <t>Loan_ID</t>
        </is>
      </c>
      <c r="B245" t="inlineStr">
        <is>
          <t>LP001836</t>
        </is>
      </c>
      <c r="C245" t="n">
        <v>1</v>
      </c>
      <c r="D245" s="9" t="n">
        <v>0.001628664495114007</v>
      </c>
      <c r="E245" t="n">
        <v>244</v>
      </c>
    </row>
    <row r="246">
      <c r="A246" t="inlineStr">
        <is>
          <t>Loan_ID</t>
        </is>
      </c>
      <c r="B246" t="inlineStr">
        <is>
          <t>LP001841</t>
        </is>
      </c>
      <c r="C246" t="n">
        <v>1</v>
      </c>
      <c r="D246" s="9" t="n">
        <v>0.001628664495114007</v>
      </c>
      <c r="E246" t="n">
        <v>245</v>
      </c>
    </row>
    <row r="247">
      <c r="A247" t="inlineStr">
        <is>
          <t>Loan_ID</t>
        </is>
      </c>
      <c r="B247" t="inlineStr">
        <is>
          <t>LP001843</t>
        </is>
      </c>
      <c r="C247" t="n">
        <v>1</v>
      </c>
      <c r="D247" s="9" t="n">
        <v>0.001628664495114007</v>
      </c>
      <c r="E247" t="n">
        <v>246</v>
      </c>
    </row>
    <row r="248">
      <c r="A248" t="inlineStr">
        <is>
          <t>Loan_ID</t>
        </is>
      </c>
      <c r="B248" t="inlineStr">
        <is>
          <t>LP001790</t>
        </is>
      </c>
      <c r="C248" t="n">
        <v>1</v>
      </c>
      <c r="D248" s="9" t="n">
        <v>0.001628664495114007</v>
      </c>
      <c r="E248" t="n">
        <v>247</v>
      </c>
    </row>
    <row r="249">
      <c r="A249" t="inlineStr">
        <is>
          <t>Loan_ID</t>
        </is>
      </c>
      <c r="B249" t="inlineStr">
        <is>
          <t>LP001792</t>
        </is>
      </c>
      <c r="C249" t="n">
        <v>1</v>
      </c>
      <c r="D249" s="9" t="n">
        <v>0.001628664495114007</v>
      </c>
      <c r="E249" t="n">
        <v>248</v>
      </c>
    </row>
    <row r="250">
      <c r="A250" t="inlineStr">
        <is>
          <t>Loan_ID</t>
        </is>
      </c>
      <c r="B250" t="inlineStr">
        <is>
          <t>LP001798</t>
        </is>
      </c>
      <c r="C250" t="n">
        <v>1</v>
      </c>
      <c r="D250" s="9" t="n">
        <v>0.001628664495114007</v>
      </c>
      <c r="E250" t="n">
        <v>249</v>
      </c>
    </row>
    <row r="251">
      <c r="A251" t="inlineStr">
        <is>
          <t>Loan_ID</t>
        </is>
      </c>
      <c r="B251" t="inlineStr">
        <is>
          <t>LP001800</t>
        </is>
      </c>
      <c r="C251" t="n">
        <v>1</v>
      </c>
      <c r="D251" s="9" t="n">
        <v>0.001628664495114007</v>
      </c>
      <c r="E251" t="n">
        <v>250</v>
      </c>
    </row>
    <row r="252">
      <c r="A252" t="inlineStr">
        <is>
          <t>Loan_ID</t>
        </is>
      </c>
      <c r="B252" t="inlineStr">
        <is>
          <t>LP001806</t>
        </is>
      </c>
      <c r="C252" t="n">
        <v>1</v>
      </c>
      <c r="D252" s="9" t="n">
        <v>0.001628664495114007</v>
      </c>
      <c r="E252" t="n">
        <v>251</v>
      </c>
    </row>
    <row r="253">
      <c r="A253" t="inlineStr">
        <is>
          <t>Loan_ID</t>
        </is>
      </c>
      <c r="B253" t="inlineStr">
        <is>
          <t>LP001807</t>
        </is>
      </c>
      <c r="C253" t="n">
        <v>1</v>
      </c>
      <c r="D253" s="9" t="n">
        <v>0.001628664495114007</v>
      </c>
      <c r="E253" t="n">
        <v>252</v>
      </c>
    </row>
    <row r="254">
      <c r="A254" t="inlineStr">
        <is>
          <t>Loan_ID</t>
        </is>
      </c>
      <c r="B254" t="inlineStr">
        <is>
          <t>LP001811</t>
        </is>
      </c>
      <c r="C254" t="n">
        <v>1</v>
      </c>
      <c r="D254" s="9" t="n">
        <v>0.001628664495114007</v>
      </c>
      <c r="E254" t="n">
        <v>253</v>
      </c>
    </row>
    <row r="255">
      <c r="A255" t="inlineStr">
        <is>
          <t>Loan_ID</t>
        </is>
      </c>
      <c r="B255" t="inlineStr">
        <is>
          <t>LP001813</t>
        </is>
      </c>
      <c r="C255" t="n">
        <v>1</v>
      </c>
      <c r="D255" s="9" t="n">
        <v>0.001628664495114007</v>
      </c>
      <c r="E255" t="n">
        <v>254</v>
      </c>
    </row>
    <row r="256">
      <c r="A256" t="inlineStr">
        <is>
          <t>Loan_ID</t>
        </is>
      </c>
      <c r="B256" t="inlineStr">
        <is>
          <t>LP001765</t>
        </is>
      </c>
      <c r="C256" t="n">
        <v>1</v>
      </c>
      <c r="D256" s="9" t="n">
        <v>0.001628664495114007</v>
      </c>
      <c r="E256" t="n">
        <v>255</v>
      </c>
    </row>
    <row r="257">
      <c r="A257" t="inlineStr">
        <is>
          <t>Loan_ID</t>
        </is>
      </c>
      <c r="B257" t="inlineStr">
        <is>
          <t>LP001768</t>
        </is>
      </c>
      <c r="C257" t="n">
        <v>1</v>
      </c>
      <c r="D257" s="9" t="n">
        <v>0.001628664495114007</v>
      </c>
      <c r="E257" t="n">
        <v>256</v>
      </c>
    </row>
    <row r="258">
      <c r="A258" t="inlineStr">
        <is>
          <t>Loan_ID</t>
        </is>
      </c>
      <c r="B258" t="inlineStr">
        <is>
          <t>LP001770</t>
        </is>
      </c>
      <c r="C258" t="n">
        <v>1</v>
      </c>
      <c r="D258" s="9" t="n">
        <v>0.001628664495114007</v>
      </c>
      <c r="E258" t="n">
        <v>257</v>
      </c>
    </row>
    <row r="259">
      <c r="A259" t="inlineStr">
        <is>
          <t>Loan_ID</t>
        </is>
      </c>
      <c r="B259" t="inlineStr">
        <is>
          <t>LP001776</t>
        </is>
      </c>
      <c r="C259" t="n">
        <v>1</v>
      </c>
      <c r="D259" s="9" t="n">
        <v>0.001628664495114007</v>
      </c>
      <c r="E259" t="n">
        <v>258</v>
      </c>
    </row>
    <row r="260">
      <c r="A260" t="inlineStr">
        <is>
          <t>Loan_ID</t>
        </is>
      </c>
      <c r="B260" t="inlineStr">
        <is>
          <t>LP001778</t>
        </is>
      </c>
      <c r="C260" t="n">
        <v>1</v>
      </c>
      <c r="D260" s="9" t="n">
        <v>0.001628664495114007</v>
      </c>
      <c r="E260" t="n">
        <v>259</v>
      </c>
    </row>
    <row r="261">
      <c r="A261" t="inlineStr">
        <is>
          <t>Loan_ID</t>
        </is>
      </c>
      <c r="B261" t="inlineStr">
        <is>
          <t>LP001784</t>
        </is>
      </c>
      <c r="C261" t="n">
        <v>1</v>
      </c>
      <c r="D261" s="9" t="n">
        <v>0.001628664495114007</v>
      </c>
      <c r="E261" t="n">
        <v>260</v>
      </c>
    </row>
    <row r="262">
      <c r="A262" t="inlineStr">
        <is>
          <t>Loan_ID</t>
        </is>
      </c>
      <c r="B262" t="inlineStr">
        <is>
          <t>LP001786</t>
        </is>
      </c>
      <c r="C262" t="n">
        <v>1</v>
      </c>
      <c r="D262" s="9" t="n">
        <v>0.001628664495114007</v>
      </c>
      <c r="E262" t="n">
        <v>261</v>
      </c>
    </row>
    <row r="263">
      <c r="A263" t="inlineStr">
        <is>
          <t>Loan_ID</t>
        </is>
      </c>
      <c r="B263" t="inlineStr">
        <is>
          <t>LP001788</t>
        </is>
      </c>
      <c r="C263" t="n">
        <v>1</v>
      </c>
      <c r="D263" s="9" t="n">
        <v>0.001628664495114007</v>
      </c>
      <c r="E263" t="n">
        <v>262</v>
      </c>
    </row>
    <row r="264">
      <c r="A264" t="inlineStr">
        <is>
          <t>Loan_ID</t>
        </is>
      </c>
      <c r="B264" t="inlineStr">
        <is>
          <t>LP001925</t>
        </is>
      </c>
      <c r="C264" t="n">
        <v>1</v>
      </c>
      <c r="D264" s="9" t="n">
        <v>0.001628664495114007</v>
      </c>
      <c r="E264" t="n">
        <v>263</v>
      </c>
    </row>
    <row r="265">
      <c r="A265" t="inlineStr">
        <is>
          <t>Loan_ID</t>
        </is>
      </c>
      <c r="B265" t="inlineStr">
        <is>
          <t>LP001926</t>
        </is>
      </c>
      <c r="C265" t="n">
        <v>1</v>
      </c>
      <c r="D265" s="9" t="n">
        <v>0.001628664495114007</v>
      </c>
      <c r="E265" t="n">
        <v>264</v>
      </c>
    </row>
    <row r="266">
      <c r="A266" t="inlineStr">
        <is>
          <t>Loan_ID</t>
        </is>
      </c>
      <c r="B266" t="inlineStr">
        <is>
          <t>LP001931</t>
        </is>
      </c>
      <c r="C266" t="n">
        <v>1</v>
      </c>
      <c r="D266" s="9" t="n">
        <v>0.001628664495114007</v>
      </c>
      <c r="E266" t="n">
        <v>265</v>
      </c>
    </row>
    <row r="267">
      <c r="A267" t="inlineStr">
        <is>
          <t>Loan_ID</t>
        </is>
      </c>
      <c r="B267" t="inlineStr">
        <is>
          <t>LP001935</t>
        </is>
      </c>
      <c r="C267" t="n">
        <v>1</v>
      </c>
      <c r="D267" s="9" t="n">
        <v>0.001628664495114007</v>
      </c>
      <c r="E267" t="n">
        <v>266</v>
      </c>
    </row>
    <row r="268">
      <c r="A268" t="inlineStr">
        <is>
          <t>Loan_ID</t>
        </is>
      </c>
      <c r="B268" t="inlineStr">
        <is>
          <t>LP001936</t>
        </is>
      </c>
      <c r="C268" t="n">
        <v>1</v>
      </c>
      <c r="D268" s="9" t="n">
        <v>0.001628664495114007</v>
      </c>
      <c r="E268" t="n">
        <v>267</v>
      </c>
    </row>
    <row r="269">
      <c r="A269" t="inlineStr">
        <is>
          <t>Loan_ID</t>
        </is>
      </c>
      <c r="B269" t="inlineStr">
        <is>
          <t>LP001938</t>
        </is>
      </c>
      <c r="C269" t="n">
        <v>1</v>
      </c>
      <c r="D269" s="9" t="n">
        <v>0.001628664495114007</v>
      </c>
      <c r="E269" t="n">
        <v>268</v>
      </c>
    </row>
    <row r="270">
      <c r="A270" t="inlineStr">
        <is>
          <t>Loan_ID</t>
        </is>
      </c>
      <c r="B270" t="inlineStr">
        <is>
          <t>LP001940</t>
        </is>
      </c>
      <c r="C270" t="n">
        <v>1</v>
      </c>
      <c r="D270" s="9" t="n">
        <v>0.001628664495114007</v>
      </c>
      <c r="E270" t="n">
        <v>269</v>
      </c>
    </row>
    <row r="271">
      <c r="A271" t="inlineStr">
        <is>
          <t>Loan_ID</t>
        </is>
      </c>
      <c r="B271" t="inlineStr">
        <is>
          <t>LP001945</t>
        </is>
      </c>
      <c r="C271" t="n">
        <v>1</v>
      </c>
      <c r="D271" s="9" t="n">
        <v>0.001628664495114007</v>
      </c>
      <c r="E271" t="n">
        <v>270</v>
      </c>
    </row>
    <row r="272">
      <c r="A272" t="inlineStr">
        <is>
          <t>Loan_ID</t>
        </is>
      </c>
      <c r="B272" t="inlineStr">
        <is>
          <t>LP001907</t>
        </is>
      </c>
      <c r="C272" t="n">
        <v>1</v>
      </c>
      <c r="D272" s="9" t="n">
        <v>0.001628664495114007</v>
      </c>
      <c r="E272" t="n">
        <v>271</v>
      </c>
    </row>
    <row r="273">
      <c r="A273" t="inlineStr">
        <is>
          <t>Loan_ID</t>
        </is>
      </c>
      <c r="B273" t="inlineStr">
        <is>
          <t>LP001908</t>
        </is>
      </c>
      <c r="C273" t="n">
        <v>1</v>
      </c>
      <c r="D273" s="9" t="n">
        <v>0.001628664495114007</v>
      </c>
      <c r="E273" t="n">
        <v>272</v>
      </c>
    </row>
    <row r="274">
      <c r="A274" t="inlineStr">
        <is>
          <t>Loan_ID</t>
        </is>
      </c>
      <c r="B274" t="inlineStr">
        <is>
          <t>LP001910</t>
        </is>
      </c>
      <c r="C274" t="n">
        <v>1</v>
      </c>
      <c r="D274" s="9" t="n">
        <v>0.001628664495114007</v>
      </c>
      <c r="E274" t="n">
        <v>273</v>
      </c>
    </row>
    <row r="275">
      <c r="A275" t="inlineStr">
        <is>
          <t>Loan_ID</t>
        </is>
      </c>
      <c r="B275" t="inlineStr">
        <is>
          <t>LP001914</t>
        </is>
      </c>
      <c r="C275" t="n">
        <v>1</v>
      </c>
      <c r="D275" s="9" t="n">
        <v>0.001628664495114007</v>
      </c>
      <c r="E275" t="n">
        <v>274</v>
      </c>
    </row>
    <row r="276">
      <c r="A276" t="inlineStr">
        <is>
          <t>Loan_ID</t>
        </is>
      </c>
      <c r="B276" t="inlineStr">
        <is>
          <t>LP001915</t>
        </is>
      </c>
      <c r="C276" t="n">
        <v>1</v>
      </c>
      <c r="D276" s="9" t="n">
        <v>0.001628664495114007</v>
      </c>
      <c r="E276" t="n">
        <v>275</v>
      </c>
    </row>
    <row r="277">
      <c r="A277" t="inlineStr">
        <is>
          <t>Loan_ID</t>
        </is>
      </c>
      <c r="B277" t="inlineStr">
        <is>
          <t>LP001917</t>
        </is>
      </c>
      <c r="C277" t="n">
        <v>1</v>
      </c>
      <c r="D277" s="9" t="n">
        <v>0.001628664495114007</v>
      </c>
      <c r="E277" t="n">
        <v>276</v>
      </c>
    </row>
    <row r="278">
      <c r="A278" t="inlineStr">
        <is>
          <t>Loan_ID</t>
        </is>
      </c>
      <c r="B278" t="inlineStr">
        <is>
          <t>LP001922</t>
        </is>
      </c>
      <c r="C278" t="n">
        <v>1</v>
      </c>
      <c r="D278" s="9" t="n">
        <v>0.001628664495114007</v>
      </c>
      <c r="E278" t="n">
        <v>277</v>
      </c>
    </row>
    <row r="279">
      <c r="A279" t="inlineStr">
        <is>
          <t>Loan_ID</t>
        </is>
      </c>
      <c r="B279" t="inlineStr">
        <is>
          <t>LP001924</t>
        </is>
      </c>
      <c r="C279" t="n">
        <v>1</v>
      </c>
      <c r="D279" s="9" t="n">
        <v>0.001628664495114007</v>
      </c>
      <c r="E279" t="n">
        <v>278</v>
      </c>
    </row>
    <row r="280">
      <c r="A280" t="inlineStr">
        <is>
          <t>Loan_ID</t>
        </is>
      </c>
      <c r="B280" t="inlineStr">
        <is>
          <t>LP001888</t>
        </is>
      </c>
      <c r="C280" t="n">
        <v>1</v>
      </c>
      <c r="D280" s="9" t="n">
        <v>0.001628664495114007</v>
      </c>
      <c r="E280" t="n">
        <v>279</v>
      </c>
    </row>
    <row r="281">
      <c r="A281" t="inlineStr">
        <is>
          <t>Loan_ID</t>
        </is>
      </c>
      <c r="B281" t="inlineStr">
        <is>
          <t>LP001891</t>
        </is>
      </c>
      <c r="C281" t="n">
        <v>1</v>
      </c>
      <c r="D281" s="9" t="n">
        <v>0.001628664495114007</v>
      </c>
      <c r="E281" t="n">
        <v>280</v>
      </c>
    </row>
    <row r="282">
      <c r="A282" t="inlineStr">
        <is>
          <t>Loan_ID</t>
        </is>
      </c>
      <c r="B282" t="inlineStr">
        <is>
          <t>LP001892</t>
        </is>
      </c>
      <c r="C282" t="n">
        <v>1</v>
      </c>
      <c r="D282" s="9" t="n">
        <v>0.001628664495114007</v>
      </c>
      <c r="E282" t="n">
        <v>281</v>
      </c>
    </row>
    <row r="283">
      <c r="A283" t="inlineStr">
        <is>
          <t>Loan_ID</t>
        </is>
      </c>
      <c r="B283" t="inlineStr">
        <is>
          <t>LP001894</t>
        </is>
      </c>
      <c r="C283" t="n">
        <v>1</v>
      </c>
      <c r="D283" s="9" t="n">
        <v>0.001628664495114007</v>
      </c>
      <c r="E283" t="n">
        <v>282</v>
      </c>
    </row>
    <row r="284">
      <c r="A284" t="inlineStr">
        <is>
          <t>Loan_ID</t>
        </is>
      </c>
      <c r="B284" t="inlineStr">
        <is>
          <t>LP001896</t>
        </is>
      </c>
      <c r="C284" t="n">
        <v>1</v>
      </c>
      <c r="D284" s="9" t="n">
        <v>0.001628664495114007</v>
      </c>
      <c r="E284" t="n">
        <v>283</v>
      </c>
    </row>
    <row r="285">
      <c r="A285" t="inlineStr">
        <is>
          <t>Loan_ID</t>
        </is>
      </c>
      <c r="B285" t="inlineStr">
        <is>
          <t>LP001900</t>
        </is>
      </c>
      <c r="C285" t="n">
        <v>1</v>
      </c>
      <c r="D285" s="9" t="n">
        <v>0.001628664495114007</v>
      </c>
      <c r="E285" t="n">
        <v>284</v>
      </c>
    </row>
    <row r="286">
      <c r="A286" t="inlineStr">
        <is>
          <t>Loan_ID</t>
        </is>
      </c>
      <c r="B286" t="inlineStr">
        <is>
          <t>LP001903</t>
        </is>
      </c>
      <c r="C286" t="n">
        <v>1</v>
      </c>
      <c r="D286" s="9" t="n">
        <v>0.001628664495114007</v>
      </c>
      <c r="E286" t="n">
        <v>285</v>
      </c>
    </row>
    <row r="287">
      <c r="A287" t="inlineStr">
        <is>
          <t>Loan_ID</t>
        </is>
      </c>
      <c r="B287" t="inlineStr">
        <is>
          <t>LP001904</t>
        </is>
      </c>
      <c r="C287" t="n">
        <v>1</v>
      </c>
      <c r="D287" s="9" t="n">
        <v>0.001628664495114007</v>
      </c>
      <c r="E287" t="n">
        <v>286</v>
      </c>
    </row>
    <row r="288">
      <c r="A288" t="inlineStr">
        <is>
          <t>Loan_ID</t>
        </is>
      </c>
      <c r="B288" t="inlineStr">
        <is>
          <t>LP001870</t>
        </is>
      </c>
      <c r="C288" t="n">
        <v>1</v>
      </c>
      <c r="D288" s="9" t="n">
        <v>0.001628664495114007</v>
      </c>
      <c r="E288" t="n">
        <v>287</v>
      </c>
    </row>
    <row r="289">
      <c r="A289" t="inlineStr">
        <is>
          <t>Loan_ID</t>
        </is>
      </c>
      <c r="B289" t="inlineStr">
        <is>
          <t>LP001871</t>
        </is>
      </c>
      <c r="C289" t="n">
        <v>1</v>
      </c>
      <c r="D289" s="9" t="n">
        <v>0.001628664495114007</v>
      </c>
      <c r="E289" t="n">
        <v>288</v>
      </c>
    </row>
    <row r="290">
      <c r="A290" t="inlineStr">
        <is>
          <t>Loan_ID</t>
        </is>
      </c>
      <c r="B290" t="inlineStr">
        <is>
          <t>LP001872</t>
        </is>
      </c>
      <c r="C290" t="n">
        <v>1</v>
      </c>
      <c r="D290" s="9" t="n">
        <v>0.001628664495114007</v>
      </c>
      <c r="E290" t="n">
        <v>289</v>
      </c>
    </row>
    <row r="291">
      <c r="A291" t="inlineStr">
        <is>
          <t>Loan_ID</t>
        </is>
      </c>
      <c r="B291" t="inlineStr">
        <is>
          <t>LP001875</t>
        </is>
      </c>
      <c r="C291" t="n">
        <v>1</v>
      </c>
      <c r="D291" s="9" t="n">
        <v>0.001628664495114007</v>
      </c>
      <c r="E291" t="n">
        <v>290</v>
      </c>
    </row>
    <row r="292">
      <c r="A292" t="inlineStr">
        <is>
          <t>Loan_ID</t>
        </is>
      </c>
      <c r="B292" t="inlineStr">
        <is>
          <t>LP001877</t>
        </is>
      </c>
      <c r="C292" t="n">
        <v>1</v>
      </c>
      <c r="D292" s="9" t="n">
        <v>0.001628664495114007</v>
      </c>
      <c r="E292" t="n">
        <v>291</v>
      </c>
    </row>
    <row r="293">
      <c r="A293" t="inlineStr">
        <is>
          <t>Loan_ID</t>
        </is>
      </c>
      <c r="B293" t="inlineStr">
        <is>
          <t>LP001882</t>
        </is>
      </c>
      <c r="C293" t="n">
        <v>1</v>
      </c>
      <c r="D293" s="9" t="n">
        <v>0.001628664495114007</v>
      </c>
      <c r="E293" t="n">
        <v>292</v>
      </c>
    </row>
    <row r="294">
      <c r="A294" t="inlineStr">
        <is>
          <t>Loan_ID</t>
        </is>
      </c>
      <c r="B294" t="inlineStr">
        <is>
          <t>LP001883</t>
        </is>
      </c>
      <c r="C294" t="n">
        <v>1</v>
      </c>
      <c r="D294" s="9" t="n">
        <v>0.001628664495114007</v>
      </c>
      <c r="E294" t="n">
        <v>293</v>
      </c>
    </row>
    <row r="295">
      <c r="A295" t="inlineStr">
        <is>
          <t>Loan_ID</t>
        </is>
      </c>
      <c r="B295" t="inlineStr">
        <is>
          <t>LP001884</t>
        </is>
      </c>
      <c r="C295" t="n">
        <v>1</v>
      </c>
      <c r="D295" s="9" t="n">
        <v>0.001628664495114007</v>
      </c>
      <c r="E295" t="n">
        <v>294</v>
      </c>
    </row>
    <row r="296">
      <c r="A296" t="inlineStr">
        <is>
          <t>Loan_ID</t>
        </is>
      </c>
      <c r="B296" t="inlineStr">
        <is>
          <t>LP002043</t>
        </is>
      </c>
      <c r="C296" t="n">
        <v>1</v>
      </c>
      <c r="D296" s="9" t="n">
        <v>0.001628664495114007</v>
      </c>
      <c r="E296" t="n">
        <v>295</v>
      </c>
    </row>
    <row r="297">
      <c r="A297" t="inlineStr">
        <is>
          <t>Loan_ID</t>
        </is>
      </c>
      <c r="B297" t="inlineStr">
        <is>
          <t>LP002050</t>
        </is>
      </c>
      <c r="C297" t="n">
        <v>1</v>
      </c>
      <c r="D297" s="9" t="n">
        <v>0.001628664495114007</v>
      </c>
      <c r="E297" t="n">
        <v>296</v>
      </c>
    </row>
    <row r="298">
      <c r="A298" t="inlineStr">
        <is>
          <t>Loan_ID</t>
        </is>
      </c>
      <c r="B298" t="inlineStr">
        <is>
          <t>LP002051</t>
        </is>
      </c>
      <c r="C298" t="n">
        <v>1</v>
      </c>
      <c r="D298" s="9" t="n">
        <v>0.001628664495114007</v>
      </c>
      <c r="E298" t="n">
        <v>297</v>
      </c>
    </row>
    <row r="299">
      <c r="A299" t="inlineStr">
        <is>
          <t>Loan_ID</t>
        </is>
      </c>
      <c r="B299" t="inlineStr">
        <is>
          <t>LP002053</t>
        </is>
      </c>
      <c r="C299" t="n">
        <v>1</v>
      </c>
      <c r="D299" s="9" t="n">
        <v>0.001628664495114007</v>
      </c>
      <c r="E299" t="n">
        <v>298</v>
      </c>
    </row>
    <row r="300">
      <c r="A300" t="inlineStr">
        <is>
          <t>Loan_ID</t>
        </is>
      </c>
      <c r="B300" t="inlineStr">
        <is>
          <t>LP002054</t>
        </is>
      </c>
      <c r="C300" t="n">
        <v>1</v>
      </c>
      <c r="D300" s="9" t="n">
        <v>0.001628664495114007</v>
      </c>
      <c r="E300" t="n">
        <v>299</v>
      </c>
    </row>
    <row r="301">
      <c r="A301" t="inlineStr">
        <is>
          <t>Loan_ID</t>
        </is>
      </c>
      <c r="B301" t="inlineStr">
        <is>
          <t>LP002055</t>
        </is>
      </c>
      <c r="C301" t="n">
        <v>1</v>
      </c>
      <c r="D301" s="9" t="n">
        <v>0.001628664495114007</v>
      </c>
      <c r="E301" t="n">
        <v>300</v>
      </c>
    </row>
    <row r="302">
      <c r="A302" t="inlineStr">
        <is>
          <t>Loan_ID</t>
        </is>
      </c>
      <c r="B302" t="inlineStr">
        <is>
          <t>LP002065</t>
        </is>
      </c>
      <c r="C302" t="n">
        <v>1</v>
      </c>
      <c r="D302" s="9" t="n">
        <v>0.001628664495114007</v>
      </c>
      <c r="E302" t="n">
        <v>301</v>
      </c>
    </row>
    <row r="303">
      <c r="A303" t="inlineStr">
        <is>
          <t>Loan_ID</t>
        </is>
      </c>
      <c r="B303" t="inlineStr">
        <is>
          <t>LP002067</t>
        </is>
      </c>
      <c r="C303" t="n">
        <v>1</v>
      </c>
      <c r="D303" s="9" t="n">
        <v>0.001628664495114007</v>
      </c>
      <c r="E303" t="n">
        <v>302</v>
      </c>
    </row>
    <row r="304">
      <c r="A304" t="inlineStr">
        <is>
          <t>Loan_ID</t>
        </is>
      </c>
      <c r="B304" t="inlineStr">
        <is>
          <t>LP002002</t>
        </is>
      </c>
      <c r="C304" t="n">
        <v>1</v>
      </c>
      <c r="D304" s="9" t="n">
        <v>0.001628664495114007</v>
      </c>
      <c r="E304" t="n">
        <v>303</v>
      </c>
    </row>
    <row r="305">
      <c r="A305" t="inlineStr">
        <is>
          <t>Loan_ID</t>
        </is>
      </c>
      <c r="B305" t="inlineStr">
        <is>
          <t>LP002004</t>
        </is>
      </c>
      <c r="C305" t="n">
        <v>1</v>
      </c>
      <c r="D305" s="9" t="n">
        <v>0.001628664495114007</v>
      </c>
      <c r="E305" t="n">
        <v>304</v>
      </c>
    </row>
    <row r="306">
      <c r="A306" t="inlineStr">
        <is>
          <t>Loan_ID</t>
        </is>
      </c>
      <c r="B306" t="inlineStr">
        <is>
          <t>LP002006</t>
        </is>
      </c>
      <c r="C306" t="n">
        <v>1</v>
      </c>
      <c r="D306" s="9" t="n">
        <v>0.001628664495114007</v>
      </c>
      <c r="E306" t="n">
        <v>305</v>
      </c>
    </row>
    <row r="307">
      <c r="A307" t="inlineStr">
        <is>
          <t>Loan_ID</t>
        </is>
      </c>
      <c r="B307" t="inlineStr">
        <is>
          <t>LP002008</t>
        </is>
      </c>
      <c r="C307" t="n">
        <v>1</v>
      </c>
      <c r="D307" s="9" t="n">
        <v>0.001628664495114007</v>
      </c>
      <c r="E307" t="n">
        <v>306</v>
      </c>
    </row>
    <row r="308">
      <c r="A308" t="inlineStr">
        <is>
          <t>Loan_ID</t>
        </is>
      </c>
      <c r="B308" t="inlineStr">
        <is>
          <t>LP002024</t>
        </is>
      </c>
      <c r="C308" t="n">
        <v>1</v>
      </c>
      <c r="D308" s="9" t="n">
        <v>0.001628664495114007</v>
      </c>
      <c r="E308" t="n">
        <v>307</v>
      </c>
    </row>
    <row r="309">
      <c r="A309" t="inlineStr">
        <is>
          <t>Loan_ID</t>
        </is>
      </c>
      <c r="B309" t="inlineStr">
        <is>
          <t>LP002031</t>
        </is>
      </c>
      <c r="C309" t="n">
        <v>1</v>
      </c>
      <c r="D309" s="9" t="n">
        <v>0.001628664495114007</v>
      </c>
      <c r="E309" t="n">
        <v>308</v>
      </c>
    </row>
    <row r="310">
      <c r="A310" t="inlineStr">
        <is>
          <t>Loan_ID</t>
        </is>
      </c>
      <c r="B310" t="inlineStr">
        <is>
          <t>LP002035</t>
        </is>
      </c>
      <c r="C310" t="n">
        <v>1</v>
      </c>
      <c r="D310" s="9" t="n">
        <v>0.001628664495114007</v>
      </c>
      <c r="E310" t="n">
        <v>309</v>
      </c>
    </row>
    <row r="311">
      <c r="A311" t="inlineStr">
        <is>
          <t>Loan_ID</t>
        </is>
      </c>
      <c r="B311" t="inlineStr">
        <is>
          <t>LP002036</t>
        </is>
      </c>
      <c r="C311" t="n">
        <v>1</v>
      </c>
      <c r="D311" s="9" t="n">
        <v>0.001628664495114007</v>
      </c>
      <c r="E311" t="n">
        <v>310</v>
      </c>
    </row>
    <row r="312">
      <c r="A312" t="inlineStr">
        <is>
          <t>Loan_ID</t>
        </is>
      </c>
      <c r="B312" t="inlineStr">
        <is>
          <t>LP001974</t>
        </is>
      </c>
      <c r="C312" t="n">
        <v>1</v>
      </c>
      <c r="D312" s="9" t="n">
        <v>0.001628664495114007</v>
      </c>
      <c r="E312" t="n">
        <v>311</v>
      </c>
    </row>
    <row r="313">
      <c r="A313" t="inlineStr">
        <is>
          <t>Loan_ID</t>
        </is>
      </c>
      <c r="B313" t="inlineStr">
        <is>
          <t>LP001977</t>
        </is>
      </c>
      <c r="C313" t="n">
        <v>1</v>
      </c>
      <c r="D313" s="9" t="n">
        <v>0.001628664495114007</v>
      </c>
      <c r="E313" t="n">
        <v>312</v>
      </c>
    </row>
    <row r="314">
      <c r="A314" t="inlineStr">
        <is>
          <t>Loan_ID</t>
        </is>
      </c>
      <c r="B314" t="inlineStr">
        <is>
          <t>LP001978</t>
        </is>
      </c>
      <c r="C314" t="n">
        <v>1</v>
      </c>
      <c r="D314" s="9" t="n">
        <v>0.001628664495114007</v>
      </c>
      <c r="E314" t="n">
        <v>313</v>
      </c>
    </row>
    <row r="315">
      <c r="A315" t="inlineStr">
        <is>
          <t>Loan_ID</t>
        </is>
      </c>
      <c r="B315" t="inlineStr">
        <is>
          <t>LP001990</t>
        </is>
      </c>
      <c r="C315" t="n">
        <v>1</v>
      </c>
      <c r="D315" s="9" t="n">
        <v>0.001628664495114007</v>
      </c>
      <c r="E315" t="n">
        <v>314</v>
      </c>
    </row>
    <row r="316">
      <c r="A316" t="inlineStr">
        <is>
          <t>Loan_ID</t>
        </is>
      </c>
      <c r="B316" t="inlineStr">
        <is>
          <t>LP001993</t>
        </is>
      </c>
      <c r="C316" t="n">
        <v>1</v>
      </c>
      <c r="D316" s="9" t="n">
        <v>0.001628664495114007</v>
      </c>
      <c r="E316" t="n">
        <v>315</v>
      </c>
    </row>
    <row r="317">
      <c r="A317" t="inlineStr">
        <is>
          <t>Loan_ID</t>
        </is>
      </c>
      <c r="B317" t="inlineStr">
        <is>
          <t>LP001994</t>
        </is>
      </c>
      <c r="C317" t="n">
        <v>1</v>
      </c>
      <c r="D317" s="9" t="n">
        <v>0.001628664495114007</v>
      </c>
      <c r="E317" t="n">
        <v>316</v>
      </c>
    </row>
    <row r="318">
      <c r="A318" t="inlineStr">
        <is>
          <t>Loan_ID</t>
        </is>
      </c>
      <c r="B318" t="inlineStr">
        <is>
          <t>LP001996</t>
        </is>
      </c>
      <c r="C318" t="n">
        <v>1</v>
      </c>
      <c r="D318" s="9" t="n">
        <v>0.001628664495114007</v>
      </c>
      <c r="E318" t="n">
        <v>317</v>
      </c>
    </row>
    <row r="319">
      <c r="A319" t="inlineStr">
        <is>
          <t>Loan_ID</t>
        </is>
      </c>
      <c r="B319" t="inlineStr">
        <is>
          <t>LP001998</t>
        </is>
      </c>
      <c r="C319" t="n">
        <v>1</v>
      </c>
      <c r="D319" s="9" t="n">
        <v>0.001628664495114007</v>
      </c>
      <c r="E319" t="n">
        <v>318</v>
      </c>
    </row>
    <row r="320">
      <c r="A320" t="inlineStr">
        <is>
          <t>Loan_ID</t>
        </is>
      </c>
      <c r="B320" t="inlineStr">
        <is>
          <t>LP001947</t>
        </is>
      </c>
      <c r="C320" t="n">
        <v>1</v>
      </c>
      <c r="D320" s="9" t="n">
        <v>0.001628664495114007</v>
      </c>
      <c r="E320" t="n">
        <v>319</v>
      </c>
    </row>
    <row r="321">
      <c r="A321" t="inlineStr">
        <is>
          <t>Loan_ID</t>
        </is>
      </c>
      <c r="B321" t="inlineStr">
        <is>
          <t>LP001949</t>
        </is>
      </c>
      <c r="C321" t="n">
        <v>1</v>
      </c>
      <c r="D321" s="9" t="n">
        <v>0.001628664495114007</v>
      </c>
      <c r="E321" t="n">
        <v>320</v>
      </c>
    </row>
    <row r="322">
      <c r="A322" t="inlineStr">
        <is>
          <t>Loan_ID</t>
        </is>
      </c>
      <c r="B322" t="inlineStr">
        <is>
          <t>LP001953</t>
        </is>
      </c>
      <c r="C322" t="n">
        <v>1</v>
      </c>
      <c r="D322" s="9" t="n">
        <v>0.001628664495114007</v>
      </c>
      <c r="E322" t="n">
        <v>321</v>
      </c>
    </row>
    <row r="323">
      <c r="A323" t="inlineStr">
        <is>
          <t>Loan_ID</t>
        </is>
      </c>
      <c r="B323" t="inlineStr">
        <is>
          <t>LP001954</t>
        </is>
      </c>
      <c r="C323" t="n">
        <v>1</v>
      </c>
      <c r="D323" s="9" t="n">
        <v>0.001628664495114007</v>
      </c>
      <c r="E323" t="n">
        <v>322</v>
      </c>
    </row>
    <row r="324">
      <c r="A324" t="inlineStr">
        <is>
          <t>Loan_ID</t>
        </is>
      </c>
      <c r="B324" t="inlineStr">
        <is>
          <t>LP001955</t>
        </is>
      </c>
      <c r="C324" t="n">
        <v>1</v>
      </c>
      <c r="D324" s="9" t="n">
        <v>0.001628664495114007</v>
      </c>
      <c r="E324" t="n">
        <v>323</v>
      </c>
    </row>
    <row r="325">
      <c r="A325" t="inlineStr">
        <is>
          <t>Loan_ID</t>
        </is>
      </c>
      <c r="B325" t="inlineStr">
        <is>
          <t>LP001963</t>
        </is>
      </c>
      <c r="C325" t="n">
        <v>1</v>
      </c>
      <c r="D325" s="9" t="n">
        <v>0.001628664495114007</v>
      </c>
      <c r="E325" t="n">
        <v>324</v>
      </c>
    </row>
    <row r="326">
      <c r="A326" t="inlineStr">
        <is>
          <t>Loan_ID</t>
        </is>
      </c>
      <c r="B326" t="inlineStr">
        <is>
          <t>LP001964</t>
        </is>
      </c>
      <c r="C326" t="n">
        <v>1</v>
      </c>
      <c r="D326" s="9" t="n">
        <v>0.001628664495114007</v>
      </c>
      <c r="E326" t="n">
        <v>325</v>
      </c>
    </row>
    <row r="327">
      <c r="A327" t="inlineStr">
        <is>
          <t>Loan_ID</t>
        </is>
      </c>
      <c r="B327" t="inlineStr">
        <is>
          <t>LP001972</t>
        </is>
      </c>
      <c r="C327" t="n">
        <v>1</v>
      </c>
      <c r="D327" s="9" t="n">
        <v>0.001628664495114007</v>
      </c>
      <c r="E327" t="n">
        <v>326</v>
      </c>
    </row>
    <row r="328">
      <c r="A328" t="inlineStr">
        <is>
          <t>Loan_ID</t>
        </is>
      </c>
      <c r="B328" t="inlineStr">
        <is>
          <t>LP002139</t>
        </is>
      </c>
      <c r="C328" t="n">
        <v>1</v>
      </c>
      <c r="D328" s="9" t="n">
        <v>0.001628664495114007</v>
      </c>
      <c r="E328" t="n">
        <v>327</v>
      </c>
    </row>
    <row r="329">
      <c r="A329" t="inlineStr">
        <is>
          <t>Loan_ID</t>
        </is>
      </c>
      <c r="B329" t="inlineStr">
        <is>
          <t>LP002140</t>
        </is>
      </c>
      <c r="C329" t="n">
        <v>1</v>
      </c>
      <c r="D329" s="9" t="n">
        <v>0.001628664495114007</v>
      </c>
      <c r="E329" t="n">
        <v>328</v>
      </c>
    </row>
    <row r="330">
      <c r="A330" t="inlineStr">
        <is>
          <t>Loan_ID</t>
        </is>
      </c>
      <c r="B330" t="inlineStr">
        <is>
          <t>LP002141</t>
        </is>
      </c>
      <c r="C330" t="n">
        <v>1</v>
      </c>
      <c r="D330" s="9" t="n">
        <v>0.001628664495114007</v>
      </c>
      <c r="E330" t="n">
        <v>329</v>
      </c>
    </row>
    <row r="331">
      <c r="A331" t="inlineStr">
        <is>
          <t>Loan_ID</t>
        </is>
      </c>
      <c r="B331" t="inlineStr">
        <is>
          <t>LP002142</t>
        </is>
      </c>
      <c r="C331" t="n">
        <v>1</v>
      </c>
      <c r="D331" s="9" t="n">
        <v>0.001628664495114007</v>
      </c>
      <c r="E331" t="n">
        <v>330</v>
      </c>
    </row>
    <row r="332">
      <c r="A332" t="inlineStr">
        <is>
          <t>Loan_ID</t>
        </is>
      </c>
      <c r="B332" t="inlineStr">
        <is>
          <t>LP002143</t>
        </is>
      </c>
      <c r="C332" t="n">
        <v>1</v>
      </c>
      <c r="D332" s="9" t="n">
        <v>0.001628664495114007</v>
      </c>
      <c r="E332" t="n">
        <v>331</v>
      </c>
    </row>
    <row r="333">
      <c r="A333" t="inlineStr">
        <is>
          <t>Loan_ID</t>
        </is>
      </c>
      <c r="B333" t="inlineStr">
        <is>
          <t>LP002144</t>
        </is>
      </c>
      <c r="C333" t="n">
        <v>1</v>
      </c>
      <c r="D333" s="9" t="n">
        <v>0.001628664495114007</v>
      </c>
      <c r="E333" t="n">
        <v>332</v>
      </c>
    </row>
    <row r="334">
      <c r="A334" t="inlineStr">
        <is>
          <t>Loan_ID</t>
        </is>
      </c>
      <c r="B334" t="inlineStr">
        <is>
          <t>LP002149</t>
        </is>
      </c>
      <c r="C334" t="n">
        <v>1</v>
      </c>
      <c r="D334" s="9" t="n">
        <v>0.001628664495114007</v>
      </c>
      <c r="E334" t="n">
        <v>333</v>
      </c>
    </row>
    <row r="335">
      <c r="A335" t="inlineStr">
        <is>
          <t>Loan_ID</t>
        </is>
      </c>
      <c r="B335" t="inlineStr">
        <is>
          <t>LP002151</t>
        </is>
      </c>
      <c r="C335" t="n">
        <v>1</v>
      </c>
      <c r="D335" s="9" t="n">
        <v>0.001628664495114007</v>
      </c>
      <c r="E335" t="n">
        <v>334</v>
      </c>
    </row>
    <row r="336">
      <c r="A336" t="inlineStr">
        <is>
          <t>Loan_ID</t>
        </is>
      </c>
      <c r="B336" t="inlineStr">
        <is>
          <t>LP002119</t>
        </is>
      </c>
      <c r="C336" t="n">
        <v>1</v>
      </c>
      <c r="D336" s="9" t="n">
        <v>0.001628664495114007</v>
      </c>
      <c r="E336" t="n">
        <v>335</v>
      </c>
    </row>
    <row r="337">
      <c r="A337" t="inlineStr">
        <is>
          <t>Loan_ID</t>
        </is>
      </c>
      <c r="B337" t="inlineStr">
        <is>
          <t>LP002126</t>
        </is>
      </c>
      <c r="C337" t="n">
        <v>1</v>
      </c>
      <c r="D337" s="9" t="n">
        <v>0.001628664495114007</v>
      </c>
      <c r="E337" t="n">
        <v>336</v>
      </c>
    </row>
    <row r="338">
      <c r="A338" t="inlineStr">
        <is>
          <t>Loan_ID</t>
        </is>
      </c>
      <c r="B338" t="inlineStr">
        <is>
          <t>LP002128</t>
        </is>
      </c>
      <c r="C338" t="n">
        <v>1</v>
      </c>
      <c r="D338" s="9" t="n">
        <v>0.001628664495114007</v>
      </c>
      <c r="E338" t="n">
        <v>337</v>
      </c>
    </row>
    <row r="339">
      <c r="A339" t="inlineStr">
        <is>
          <t>Loan_ID</t>
        </is>
      </c>
      <c r="B339" t="inlineStr">
        <is>
          <t>LP002129</t>
        </is>
      </c>
      <c r="C339" t="n">
        <v>1</v>
      </c>
      <c r="D339" s="9" t="n">
        <v>0.001628664495114007</v>
      </c>
      <c r="E339" t="n">
        <v>338</v>
      </c>
    </row>
    <row r="340">
      <c r="A340" t="inlineStr">
        <is>
          <t>Loan_ID</t>
        </is>
      </c>
      <c r="B340" t="inlineStr">
        <is>
          <t>LP002130</t>
        </is>
      </c>
      <c r="C340" t="n">
        <v>1</v>
      </c>
      <c r="D340" s="9" t="n">
        <v>0.001628664495114007</v>
      </c>
      <c r="E340" t="n">
        <v>339</v>
      </c>
    </row>
    <row r="341">
      <c r="A341" t="inlineStr">
        <is>
          <t>Loan_ID</t>
        </is>
      </c>
      <c r="B341" t="inlineStr">
        <is>
          <t>LP002131</t>
        </is>
      </c>
      <c r="C341" t="n">
        <v>1</v>
      </c>
      <c r="D341" s="9" t="n">
        <v>0.001628664495114007</v>
      </c>
      <c r="E341" t="n">
        <v>340</v>
      </c>
    </row>
    <row r="342">
      <c r="A342" t="inlineStr">
        <is>
          <t>Loan_ID</t>
        </is>
      </c>
      <c r="B342" t="inlineStr">
        <is>
          <t>LP002137</t>
        </is>
      </c>
      <c r="C342" t="n">
        <v>1</v>
      </c>
      <c r="D342" s="9" t="n">
        <v>0.001628664495114007</v>
      </c>
      <c r="E342" t="n">
        <v>341</v>
      </c>
    </row>
    <row r="343">
      <c r="A343" t="inlineStr">
        <is>
          <t>Loan_ID</t>
        </is>
      </c>
      <c r="B343" t="inlineStr">
        <is>
          <t>LP002138</t>
        </is>
      </c>
      <c r="C343" t="n">
        <v>1</v>
      </c>
      <c r="D343" s="9" t="n">
        <v>0.001628664495114007</v>
      </c>
      <c r="E343" t="n">
        <v>342</v>
      </c>
    </row>
    <row r="344">
      <c r="A344" t="inlineStr">
        <is>
          <t>Loan_ID</t>
        </is>
      </c>
      <c r="B344" t="inlineStr">
        <is>
          <t>LP002103</t>
        </is>
      </c>
      <c r="C344" t="n">
        <v>1</v>
      </c>
      <c r="D344" s="9" t="n">
        <v>0.001628664495114007</v>
      </c>
      <c r="E344" t="n">
        <v>343</v>
      </c>
    </row>
    <row r="345">
      <c r="A345" t="inlineStr">
        <is>
          <t>Loan_ID</t>
        </is>
      </c>
      <c r="B345" t="inlineStr">
        <is>
          <t>LP002106</t>
        </is>
      </c>
      <c r="C345" t="n">
        <v>1</v>
      </c>
      <c r="D345" s="9" t="n">
        <v>0.001628664495114007</v>
      </c>
      <c r="E345" t="n">
        <v>344</v>
      </c>
    </row>
    <row r="346">
      <c r="A346" t="inlineStr">
        <is>
          <t>Loan_ID</t>
        </is>
      </c>
      <c r="B346" t="inlineStr">
        <is>
          <t>LP002110</t>
        </is>
      </c>
      <c r="C346" t="n">
        <v>1</v>
      </c>
      <c r="D346" s="9" t="n">
        <v>0.001628664495114007</v>
      </c>
      <c r="E346" t="n">
        <v>345</v>
      </c>
    </row>
    <row r="347">
      <c r="A347" t="inlineStr">
        <is>
          <t>Loan_ID</t>
        </is>
      </c>
      <c r="B347" t="inlineStr">
        <is>
          <t>LP002112</t>
        </is>
      </c>
      <c r="C347" t="n">
        <v>1</v>
      </c>
      <c r="D347" s="9" t="n">
        <v>0.001628664495114007</v>
      </c>
      <c r="E347" t="n">
        <v>346</v>
      </c>
    </row>
    <row r="348">
      <c r="A348" t="inlineStr">
        <is>
          <t>Loan_ID</t>
        </is>
      </c>
      <c r="B348" t="inlineStr">
        <is>
          <t>LP002113</t>
        </is>
      </c>
      <c r="C348" t="n">
        <v>1</v>
      </c>
      <c r="D348" s="9" t="n">
        <v>0.001628664495114007</v>
      </c>
      <c r="E348" t="n">
        <v>347</v>
      </c>
    </row>
    <row r="349">
      <c r="A349" t="inlineStr">
        <is>
          <t>Loan_ID</t>
        </is>
      </c>
      <c r="B349" t="inlineStr">
        <is>
          <t>LP002114</t>
        </is>
      </c>
      <c r="C349" t="n">
        <v>1</v>
      </c>
      <c r="D349" s="9" t="n">
        <v>0.001628664495114007</v>
      </c>
      <c r="E349" t="n">
        <v>348</v>
      </c>
    </row>
    <row r="350">
      <c r="A350" t="inlineStr">
        <is>
          <t>Loan_ID</t>
        </is>
      </c>
      <c r="B350" t="inlineStr">
        <is>
          <t>LP002115</t>
        </is>
      </c>
      <c r="C350" t="n">
        <v>1</v>
      </c>
      <c r="D350" s="9" t="n">
        <v>0.001628664495114007</v>
      </c>
      <c r="E350" t="n">
        <v>349</v>
      </c>
    </row>
    <row r="351">
      <c r="A351" t="inlineStr">
        <is>
          <t>Loan_ID</t>
        </is>
      </c>
      <c r="B351" t="inlineStr">
        <is>
          <t>LP002116</t>
        </is>
      </c>
      <c r="C351" t="n">
        <v>1</v>
      </c>
      <c r="D351" s="9" t="n">
        <v>0.001628664495114007</v>
      </c>
      <c r="E351" t="n">
        <v>350</v>
      </c>
    </row>
    <row r="352">
      <c r="A352" t="inlineStr">
        <is>
          <t>Loan_ID</t>
        </is>
      </c>
      <c r="B352" t="inlineStr">
        <is>
          <t>LP002068</t>
        </is>
      </c>
      <c r="C352" t="n">
        <v>1</v>
      </c>
      <c r="D352" s="9" t="n">
        <v>0.001628664495114007</v>
      </c>
      <c r="E352" t="n">
        <v>351</v>
      </c>
    </row>
    <row r="353">
      <c r="A353" t="inlineStr">
        <is>
          <t>Loan_ID</t>
        </is>
      </c>
      <c r="B353" t="inlineStr">
        <is>
          <t>LP002082</t>
        </is>
      </c>
      <c r="C353" t="n">
        <v>1</v>
      </c>
      <c r="D353" s="9" t="n">
        <v>0.001628664495114007</v>
      </c>
      <c r="E353" t="n">
        <v>352</v>
      </c>
    </row>
    <row r="354">
      <c r="A354" t="inlineStr">
        <is>
          <t>Loan_ID</t>
        </is>
      </c>
      <c r="B354" t="inlineStr">
        <is>
          <t>LP002086</t>
        </is>
      </c>
      <c r="C354" t="n">
        <v>1</v>
      </c>
      <c r="D354" s="9" t="n">
        <v>0.001628664495114007</v>
      </c>
      <c r="E354" t="n">
        <v>353</v>
      </c>
    </row>
    <row r="355">
      <c r="A355" t="inlineStr">
        <is>
          <t>Loan_ID</t>
        </is>
      </c>
      <c r="B355" t="inlineStr">
        <is>
          <t>LP002087</t>
        </is>
      </c>
      <c r="C355" t="n">
        <v>1</v>
      </c>
      <c r="D355" s="9" t="n">
        <v>0.001628664495114007</v>
      </c>
      <c r="E355" t="n">
        <v>354</v>
      </c>
    </row>
    <row r="356">
      <c r="A356" t="inlineStr">
        <is>
          <t>Loan_ID</t>
        </is>
      </c>
      <c r="B356" t="inlineStr">
        <is>
          <t>LP002097</t>
        </is>
      </c>
      <c r="C356" t="n">
        <v>1</v>
      </c>
      <c r="D356" s="9" t="n">
        <v>0.001628664495114007</v>
      </c>
      <c r="E356" t="n">
        <v>355</v>
      </c>
    </row>
    <row r="357">
      <c r="A357" t="inlineStr">
        <is>
          <t>Loan_ID</t>
        </is>
      </c>
      <c r="B357" t="inlineStr">
        <is>
          <t>LP002098</t>
        </is>
      </c>
      <c r="C357" t="n">
        <v>1</v>
      </c>
      <c r="D357" s="9" t="n">
        <v>0.001628664495114007</v>
      </c>
      <c r="E357" t="n">
        <v>356</v>
      </c>
    </row>
    <row r="358">
      <c r="A358" t="inlineStr">
        <is>
          <t>Loan_ID</t>
        </is>
      </c>
      <c r="B358" t="inlineStr">
        <is>
          <t>LP002100</t>
        </is>
      </c>
      <c r="C358" t="n">
        <v>1</v>
      </c>
      <c r="D358" s="9" t="n">
        <v>0.001628664495114007</v>
      </c>
      <c r="E358" t="n">
        <v>357</v>
      </c>
    </row>
    <row r="359">
      <c r="A359" t="inlineStr">
        <is>
          <t>Loan_ID</t>
        </is>
      </c>
      <c r="B359" t="inlineStr">
        <is>
          <t>LP002101</t>
        </is>
      </c>
      <c r="C359" t="n">
        <v>1</v>
      </c>
      <c r="D359" s="9" t="n">
        <v>0.001628664495114007</v>
      </c>
      <c r="E359" t="n">
        <v>358</v>
      </c>
    </row>
    <row r="360">
      <c r="A360" t="inlineStr">
        <is>
          <t>Loan_ID</t>
        </is>
      </c>
      <c r="B360" t="inlineStr">
        <is>
          <t>LP002231</t>
        </is>
      </c>
      <c r="C360" t="n">
        <v>1</v>
      </c>
      <c r="D360" s="9" t="n">
        <v>0.001628664495114007</v>
      </c>
      <c r="E360" t="n">
        <v>359</v>
      </c>
    </row>
    <row r="361">
      <c r="A361" t="inlineStr">
        <is>
          <t>Loan_ID</t>
        </is>
      </c>
      <c r="B361" t="inlineStr">
        <is>
          <t>LP002234</t>
        </is>
      </c>
      <c r="C361" t="n">
        <v>1</v>
      </c>
      <c r="D361" s="9" t="n">
        <v>0.001628664495114007</v>
      </c>
      <c r="E361" t="n">
        <v>360</v>
      </c>
    </row>
    <row r="362">
      <c r="A362" t="inlineStr">
        <is>
          <t>Loan_ID</t>
        </is>
      </c>
      <c r="B362" t="inlineStr">
        <is>
          <t>LP002236</t>
        </is>
      </c>
      <c r="C362" t="n">
        <v>1</v>
      </c>
      <c r="D362" s="9" t="n">
        <v>0.001628664495114007</v>
      </c>
      <c r="E362" t="n">
        <v>361</v>
      </c>
    </row>
    <row r="363">
      <c r="A363" t="inlineStr">
        <is>
          <t>Loan_ID</t>
        </is>
      </c>
      <c r="B363" t="inlineStr">
        <is>
          <t>LP002237</t>
        </is>
      </c>
      <c r="C363" t="n">
        <v>1</v>
      </c>
      <c r="D363" s="9" t="n">
        <v>0.001628664495114007</v>
      </c>
      <c r="E363" t="n">
        <v>362</v>
      </c>
    </row>
    <row r="364">
      <c r="A364" t="inlineStr">
        <is>
          <t>Loan_ID</t>
        </is>
      </c>
      <c r="B364" t="inlineStr">
        <is>
          <t>LP002239</t>
        </is>
      </c>
      <c r="C364" t="n">
        <v>1</v>
      </c>
      <c r="D364" s="9" t="n">
        <v>0.001628664495114007</v>
      </c>
      <c r="E364" t="n">
        <v>363</v>
      </c>
    </row>
    <row r="365">
      <c r="A365" t="inlineStr">
        <is>
          <t>Loan_ID</t>
        </is>
      </c>
      <c r="B365" t="inlineStr">
        <is>
          <t>LP002243</t>
        </is>
      </c>
      <c r="C365" t="n">
        <v>1</v>
      </c>
      <c r="D365" s="9" t="n">
        <v>0.001628664495114007</v>
      </c>
      <c r="E365" t="n">
        <v>364</v>
      </c>
    </row>
    <row r="366">
      <c r="A366" t="inlineStr">
        <is>
          <t>Loan_ID</t>
        </is>
      </c>
      <c r="B366" t="inlineStr">
        <is>
          <t>LP002244</t>
        </is>
      </c>
      <c r="C366" t="n">
        <v>1</v>
      </c>
      <c r="D366" s="9" t="n">
        <v>0.001628664495114007</v>
      </c>
      <c r="E366" t="n">
        <v>365</v>
      </c>
    </row>
    <row r="367">
      <c r="A367" t="inlineStr">
        <is>
          <t>Loan_ID</t>
        </is>
      </c>
      <c r="B367" t="inlineStr">
        <is>
          <t>LP002250</t>
        </is>
      </c>
      <c r="C367" t="n">
        <v>1</v>
      </c>
      <c r="D367" s="9" t="n">
        <v>0.001628664495114007</v>
      </c>
      <c r="E367" t="n">
        <v>366</v>
      </c>
    </row>
    <row r="368">
      <c r="A368" t="inlineStr">
        <is>
          <t>Loan_ID</t>
        </is>
      </c>
      <c r="B368" t="inlineStr">
        <is>
          <t>LP002209</t>
        </is>
      </c>
      <c r="C368" t="n">
        <v>1</v>
      </c>
      <c r="D368" s="9" t="n">
        <v>0.001628664495114007</v>
      </c>
      <c r="E368" t="n">
        <v>367</v>
      </c>
    </row>
    <row r="369">
      <c r="A369" t="inlineStr">
        <is>
          <t>Loan_ID</t>
        </is>
      </c>
      <c r="B369" t="inlineStr">
        <is>
          <t>LP002211</t>
        </is>
      </c>
      <c r="C369" t="n">
        <v>1</v>
      </c>
      <c r="D369" s="9" t="n">
        <v>0.001628664495114007</v>
      </c>
      <c r="E369" t="n">
        <v>368</v>
      </c>
    </row>
    <row r="370">
      <c r="A370" t="inlineStr">
        <is>
          <t>Loan_ID</t>
        </is>
      </c>
      <c r="B370" t="inlineStr">
        <is>
          <t>LP002219</t>
        </is>
      </c>
      <c r="C370" t="n">
        <v>1</v>
      </c>
      <c r="D370" s="9" t="n">
        <v>0.001628664495114007</v>
      </c>
      <c r="E370" t="n">
        <v>369</v>
      </c>
    </row>
    <row r="371">
      <c r="A371" t="inlineStr">
        <is>
          <t>Loan_ID</t>
        </is>
      </c>
      <c r="B371" t="inlineStr">
        <is>
          <t>LP002223</t>
        </is>
      </c>
      <c r="C371" t="n">
        <v>1</v>
      </c>
      <c r="D371" s="9" t="n">
        <v>0.001628664495114007</v>
      </c>
      <c r="E371" t="n">
        <v>370</v>
      </c>
    </row>
    <row r="372">
      <c r="A372" t="inlineStr">
        <is>
          <t>Loan_ID</t>
        </is>
      </c>
      <c r="B372" t="inlineStr">
        <is>
          <t>LP002224</t>
        </is>
      </c>
      <c r="C372" t="n">
        <v>1</v>
      </c>
      <c r="D372" s="9" t="n">
        <v>0.001628664495114007</v>
      </c>
      <c r="E372" t="n">
        <v>371</v>
      </c>
    </row>
    <row r="373">
      <c r="A373" t="inlineStr">
        <is>
          <t>Loan_ID</t>
        </is>
      </c>
      <c r="B373" t="inlineStr">
        <is>
          <t>LP002225</t>
        </is>
      </c>
      <c r="C373" t="n">
        <v>1</v>
      </c>
      <c r="D373" s="9" t="n">
        <v>0.001628664495114007</v>
      </c>
      <c r="E373" t="n">
        <v>372</v>
      </c>
    </row>
    <row r="374">
      <c r="A374" t="inlineStr">
        <is>
          <t>Loan_ID</t>
        </is>
      </c>
      <c r="B374" t="inlineStr">
        <is>
          <t>LP002226</t>
        </is>
      </c>
      <c r="C374" t="n">
        <v>1</v>
      </c>
      <c r="D374" s="9" t="n">
        <v>0.001628664495114007</v>
      </c>
      <c r="E374" t="n">
        <v>373</v>
      </c>
    </row>
    <row r="375">
      <c r="A375" t="inlineStr">
        <is>
          <t>Loan_ID</t>
        </is>
      </c>
      <c r="B375" t="inlineStr">
        <is>
          <t>LP002229</t>
        </is>
      </c>
      <c r="C375" t="n">
        <v>1</v>
      </c>
      <c r="D375" s="9" t="n">
        <v>0.001628664495114007</v>
      </c>
      <c r="E375" t="n">
        <v>374</v>
      </c>
    </row>
    <row r="376">
      <c r="A376" t="inlineStr">
        <is>
          <t>Loan_ID</t>
        </is>
      </c>
      <c r="B376" t="inlineStr">
        <is>
          <t>LP002187</t>
        </is>
      </c>
      <c r="C376" t="n">
        <v>1</v>
      </c>
      <c r="D376" s="9" t="n">
        <v>0.001628664495114007</v>
      </c>
      <c r="E376" t="n">
        <v>375</v>
      </c>
    </row>
    <row r="377">
      <c r="A377" t="inlineStr">
        <is>
          <t>Loan_ID</t>
        </is>
      </c>
      <c r="B377" t="inlineStr">
        <is>
          <t>LP002188</t>
        </is>
      </c>
      <c r="C377" t="n">
        <v>1</v>
      </c>
      <c r="D377" s="9" t="n">
        <v>0.001628664495114007</v>
      </c>
      <c r="E377" t="n">
        <v>376</v>
      </c>
    </row>
    <row r="378">
      <c r="A378" t="inlineStr">
        <is>
          <t>Loan_ID</t>
        </is>
      </c>
      <c r="B378" t="inlineStr">
        <is>
          <t>LP002190</t>
        </is>
      </c>
      <c r="C378" t="n">
        <v>1</v>
      </c>
      <c r="D378" s="9" t="n">
        <v>0.001628664495114007</v>
      </c>
      <c r="E378" t="n">
        <v>377</v>
      </c>
    </row>
    <row r="379">
      <c r="A379" t="inlineStr">
        <is>
          <t>Loan_ID</t>
        </is>
      </c>
      <c r="B379" t="inlineStr">
        <is>
          <t>LP002191</t>
        </is>
      </c>
      <c r="C379" t="n">
        <v>1</v>
      </c>
      <c r="D379" s="9" t="n">
        <v>0.001628664495114007</v>
      </c>
      <c r="E379" t="n">
        <v>378</v>
      </c>
    </row>
    <row r="380">
      <c r="A380" t="inlineStr">
        <is>
          <t>Loan_ID</t>
        </is>
      </c>
      <c r="B380" t="inlineStr">
        <is>
          <t>LP002194</t>
        </is>
      </c>
      <c r="C380" t="n">
        <v>1</v>
      </c>
      <c r="D380" s="9" t="n">
        <v>0.001628664495114007</v>
      </c>
      <c r="E380" t="n">
        <v>379</v>
      </c>
    </row>
    <row r="381">
      <c r="A381" t="inlineStr">
        <is>
          <t>Loan_ID</t>
        </is>
      </c>
      <c r="B381" t="inlineStr">
        <is>
          <t>LP002197</t>
        </is>
      </c>
      <c r="C381" t="n">
        <v>1</v>
      </c>
      <c r="D381" s="9" t="n">
        <v>0.001628664495114007</v>
      </c>
      <c r="E381" t="n">
        <v>380</v>
      </c>
    </row>
    <row r="382">
      <c r="A382" t="inlineStr">
        <is>
          <t>Loan_ID</t>
        </is>
      </c>
      <c r="B382" t="inlineStr">
        <is>
          <t>LP002201</t>
        </is>
      </c>
      <c r="C382" t="n">
        <v>1</v>
      </c>
      <c r="D382" s="9" t="n">
        <v>0.001628664495114007</v>
      </c>
      <c r="E382" t="n">
        <v>381</v>
      </c>
    </row>
    <row r="383">
      <c r="A383" t="inlineStr">
        <is>
          <t>Loan_ID</t>
        </is>
      </c>
      <c r="B383" t="inlineStr">
        <is>
          <t>LP002205</t>
        </is>
      </c>
      <c r="C383" t="n">
        <v>1</v>
      </c>
      <c r="D383" s="9" t="n">
        <v>0.001628664495114007</v>
      </c>
      <c r="E383" t="n">
        <v>382</v>
      </c>
    </row>
    <row r="384">
      <c r="A384" t="inlineStr">
        <is>
          <t>Loan_ID</t>
        </is>
      </c>
      <c r="B384" t="inlineStr">
        <is>
          <t>LP002158</t>
        </is>
      </c>
      <c r="C384" t="n">
        <v>1</v>
      </c>
      <c r="D384" s="9" t="n">
        <v>0.001628664495114007</v>
      </c>
      <c r="E384" t="n">
        <v>383</v>
      </c>
    </row>
    <row r="385">
      <c r="A385" t="inlineStr">
        <is>
          <t>Loan_ID</t>
        </is>
      </c>
      <c r="B385" t="inlineStr">
        <is>
          <t>LP002160</t>
        </is>
      </c>
      <c r="C385" t="n">
        <v>1</v>
      </c>
      <c r="D385" s="9" t="n">
        <v>0.001628664495114007</v>
      </c>
      <c r="E385" t="n">
        <v>384</v>
      </c>
    </row>
    <row r="386">
      <c r="A386" t="inlineStr">
        <is>
          <t>Loan_ID</t>
        </is>
      </c>
      <c r="B386" t="inlineStr">
        <is>
          <t>LP002161</t>
        </is>
      </c>
      <c r="C386" t="n">
        <v>1</v>
      </c>
      <c r="D386" s="9" t="n">
        <v>0.001628664495114007</v>
      </c>
      <c r="E386" t="n">
        <v>385</v>
      </c>
    </row>
    <row r="387">
      <c r="A387" t="inlineStr">
        <is>
          <t>Loan_ID</t>
        </is>
      </c>
      <c r="B387" t="inlineStr">
        <is>
          <t>LP002170</t>
        </is>
      </c>
      <c r="C387" t="n">
        <v>1</v>
      </c>
      <c r="D387" s="9" t="n">
        <v>0.001628664495114007</v>
      </c>
      <c r="E387" t="n">
        <v>386</v>
      </c>
    </row>
    <row r="388">
      <c r="A388" t="inlineStr">
        <is>
          <t>Loan_ID</t>
        </is>
      </c>
      <c r="B388" t="inlineStr">
        <is>
          <t>LP002175</t>
        </is>
      </c>
      <c r="C388" t="n">
        <v>1</v>
      </c>
      <c r="D388" s="9" t="n">
        <v>0.001628664495114007</v>
      </c>
      <c r="E388" t="n">
        <v>387</v>
      </c>
    </row>
    <row r="389">
      <c r="A389" t="inlineStr">
        <is>
          <t>Loan_ID</t>
        </is>
      </c>
      <c r="B389" t="inlineStr">
        <is>
          <t>LP002178</t>
        </is>
      </c>
      <c r="C389" t="n">
        <v>1</v>
      </c>
      <c r="D389" s="9" t="n">
        <v>0.001628664495114007</v>
      </c>
      <c r="E389" t="n">
        <v>388</v>
      </c>
    </row>
    <row r="390">
      <c r="A390" t="inlineStr">
        <is>
          <t>Loan_ID</t>
        </is>
      </c>
      <c r="B390" t="inlineStr">
        <is>
          <t>LP002180</t>
        </is>
      </c>
      <c r="C390" t="n">
        <v>1</v>
      </c>
      <c r="D390" s="9" t="n">
        <v>0.001628664495114007</v>
      </c>
      <c r="E390" t="n">
        <v>389</v>
      </c>
    </row>
    <row r="391">
      <c r="A391" t="inlineStr">
        <is>
          <t>Loan_ID</t>
        </is>
      </c>
      <c r="B391" t="inlineStr">
        <is>
          <t>LP002181</t>
        </is>
      </c>
      <c r="C391" t="n">
        <v>1</v>
      </c>
      <c r="D391" s="9" t="n">
        <v>0.001628664495114007</v>
      </c>
      <c r="E391" t="n">
        <v>390</v>
      </c>
    </row>
    <row r="392">
      <c r="A392" t="inlineStr">
        <is>
          <t>Loan_ID</t>
        </is>
      </c>
      <c r="B392" t="inlineStr">
        <is>
          <t>LP002335</t>
        </is>
      </c>
      <c r="C392" t="n">
        <v>1</v>
      </c>
      <c r="D392" s="9" t="n">
        <v>0.001628664495114007</v>
      </c>
      <c r="E392" t="n">
        <v>391</v>
      </c>
    </row>
    <row r="393">
      <c r="A393" t="inlineStr">
        <is>
          <t>Loan_ID</t>
        </is>
      </c>
      <c r="B393" t="inlineStr">
        <is>
          <t>LP002337</t>
        </is>
      </c>
      <c r="C393" t="n">
        <v>1</v>
      </c>
      <c r="D393" s="9" t="n">
        <v>0.001628664495114007</v>
      </c>
      <c r="E393" t="n">
        <v>392</v>
      </c>
    </row>
    <row r="394">
      <c r="A394" t="inlineStr">
        <is>
          <t>Loan_ID</t>
        </is>
      </c>
      <c r="B394" t="inlineStr">
        <is>
          <t>LP002341</t>
        </is>
      </c>
      <c r="C394" t="n">
        <v>1</v>
      </c>
      <c r="D394" s="9" t="n">
        <v>0.001628664495114007</v>
      </c>
      <c r="E394" t="n">
        <v>393</v>
      </c>
    </row>
    <row r="395">
      <c r="A395" t="inlineStr">
        <is>
          <t>Loan_ID</t>
        </is>
      </c>
      <c r="B395" t="inlineStr">
        <is>
          <t>LP002342</t>
        </is>
      </c>
      <c r="C395" t="n">
        <v>1</v>
      </c>
      <c r="D395" s="9" t="n">
        <v>0.001628664495114007</v>
      </c>
      <c r="E395" t="n">
        <v>394</v>
      </c>
    </row>
    <row r="396">
      <c r="A396" t="inlineStr">
        <is>
          <t>Loan_ID</t>
        </is>
      </c>
      <c r="B396" t="inlineStr">
        <is>
          <t>LP002345</t>
        </is>
      </c>
      <c r="C396" t="n">
        <v>1</v>
      </c>
      <c r="D396" s="9" t="n">
        <v>0.001628664495114007</v>
      </c>
      <c r="E396" t="n">
        <v>395</v>
      </c>
    </row>
    <row r="397">
      <c r="A397" t="inlineStr">
        <is>
          <t>Loan_ID</t>
        </is>
      </c>
      <c r="B397" t="inlineStr">
        <is>
          <t>LP002347</t>
        </is>
      </c>
      <c r="C397" t="n">
        <v>1</v>
      </c>
      <c r="D397" s="9" t="n">
        <v>0.001628664495114007</v>
      </c>
      <c r="E397" t="n">
        <v>396</v>
      </c>
    </row>
    <row r="398">
      <c r="A398" t="inlineStr">
        <is>
          <t>Loan_ID</t>
        </is>
      </c>
      <c r="B398" t="inlineStr">
        <is>
          <t>LP002348</t>
        </is>
      </c>
      <c r="C398" t="n">
        <v>1</v>
      </c>
      <c r="D398" s="9" t="n">
        <v>0.001628664495114007</v>
      </c>
      <c r="E398" t="n">
        <v>397</v>
      </c>
    </row>
    <row r="399">
      <c r="A399" t="inlineStr">
        <is>
          <t>Loan_ID</t>
        </is>
      </c>
      <c r="B399" t="inlineStr">
        <is>
          <t>LP002357</t>
        </is>
      </c>
      <c r="C399" t="n">
        <v>1</v>
      </c>
      <c r="D399" s="9" t="n">
        <v>0.001628664495114007</v>
      </c>
      <c r="E399" t="n">
        <v>398</v>
      </c>
    </row>
    <row r="400">
      <c r="A400" t="inlineStr">
        <is>
          <t>Loan_ID</t>
        </is>
      </c>
      <c r="B400" t="inlineStr">
        <is>
          <t>LP002308</t>
        </is>
      </c>
      <c r="C400" t="n">
        <v>1</v>
      </c>
      <c r="D400" s="9" t="n">
        <v>0.001628664495114007</v>
      </c>
      <c r="E400" t="n">
        <v>399</v>
      </c>
    </row>
    <row r="401">
      <c r="A401" t="inlineStr">
        <is>
          <t>Loan_ID</t>
        </is>
      </c>
      <c r="B401" t="inlineStr">
        <is>
          <t>LP002314</t>
        </is>
      </c>
      <c r="C401" t="n">
        <v>1</v>
      </c>
      <c r="D401" s="9" t="n">
        <v>0.001628664495114007</v>
      </c>
      <c r="E401" t="n">
        <v>400</v>
      </c>
    </row>
    <row r="402">
      <c r="A402" t="inlineStr">
        <is>
          <t>Loan_ID</t>
        </is>
      </c>
      <c r="B402" t="inlineStr">
        <is>
          <t>LP002315</t>
        </is>
      </c>
      <c r="C402" t="n">
        <v>1</v>
      </c>
      <c r="D402" s="9" t="n">
        <v>0.001628664495114007</v>
      </c>
      <c r="E402" t="n">
        <v>401</v>
      </c>
    </row>
    <row r="403">
      <c r="A403" t="inlineStr">
        <is>
          <t>Loan_ID</t>
        </is>
      </c>
      <c r="B403" t="inlineStr">
        <is>
          <t>LP002317</t>
        </is>
      </c>
      <c r="C403" t="n">
        <v>1</v>
      </c>
      <c r="D403" s="9" t="n">
        <v>0.001628664495114007</v>
      </c>
      <c r="E403" t="n">
        <v>402</v>
      </c>
    </row>
    <row r="404">
      <c r="A404" t="inlineStr">
        <is>
          <t>Loan_ID</t>
        </is>
      </c>
      <c r="B404" t="inlineStr">
        <is>
          <t>LP002318</t>
        </is>
      </c>
      <c r="C404" t="n">
        <v>1</v>
      </c>
      <c r="D404" s="9" t="n">
        <v>0.001628664495114007</v>
      </c>
      <c r="E404" t="n">
        <v>403</v>
      </c>
    </row>
    <row r="405">
      <c r="A405" t="inlineStr">
        <is>
          <t>Loan_ID</t>
        </is>
      </c>
      <c r="B405" t="inlineStr">
        <is>
          <t>LP002319</t>
        </is>
      </c>
      <c r="C405" t="n">
        <v>1</v>
      </c>
      <c r="D405" s="9" t="n">
        <v>0.001628664495114007</v>
      </c>
      <c r="E405" t="n">
        <v>404</v>
      </c>
    </row>
    <row r="406">
      <c r="A406" t="inlineStr">
        <is>
          <t>Loan_ID</t>
        </is>
      </c>
      <c r="B406" t="inlineStr">
        <is>
          <t>LP002328</t>
        </is>
      </c>
      <c r="C406" t="n">
        <v>1</v>
      </c>
      <c r="D406" s="9" t="n">
        <v>0.001628664495114007</v>
      </c>
      <c r="E406" t="n">
        <v>405</v>
      </c>
    </row>
    <row r="407">
      <c r="A407" t="inlineStr">
        <is>
          <t>Loan_ID</t>
        </is>
      </c>
      <c r="B407" t="inlineStr">
        <is>
          <t>LP002332</t>
        </is>
      </c>
      <c r="C407" t="n">
        <v>1</v>
      </c>
      <c r="D407" s="9" t="n">
        <v>0.001628664495114007</v>
      </c>
      <c r="E407" t="n">
        <v>406</v>
      </c>
    </row>
    <row r="408">
      <c r="A408" t="inlineStr">
        <is>
          <t>Loan_ID</t>
        </is>
      </c>
      <c r="B408" t="inlineStr">
        <is>
          <t>LP002284</t>
        </is>
      </c>
      <c r="C408" t="n">
        <v>1</v>
      </c>
      <c r="D408" s="9" t="n">
        <v>0.001628664495114007</v>
      </c>
      <c r="E408" t="n">
        <v>407</v>
      </c>
    </row>
    <row r="409">
      <c r="A409" t="inlineStr">
        <is>
          <t>Loan_ID</t>
        </is>
      </c>
      <c r="B409" t="inlineStr">
        <is>
          <t>LP002287</t>
        </is>
      </c>
      <c r="C409" t="n">
        <v>1</v>
      </c>
      <c r="D409" s="9" t="n">
        <v>0.001628664495114007</v>
      </c>
      <c r="E409" t="n">
        <v>408</v>
      </c>
    </row>
    <row r="410">
      <c r="A410" t="inlineStr">
        <is>
          <t>Loan_ID</t>
        </is>
      </c>
      <c r="B410" t="inlineStr">
        <is>
          <t>LP002288</t>
        </is>
      </c>
      <c r="C410" t="n">
        <v>1</v>
      </c>
      <c r="D410" s="9" t="n">
        <v>0.001628664495114007</v>
      </c>
      <c r="E410" t="n">
        <v>409</v>
      </c>
    </row>
    <row r="411">
      <c r="A411" t="inlineStr">
        <is>
          <t>Loan_ID</t>
        </is>
      </c>
      <c r="B411" t="inlineStr">
        <is>
          <t>LP002296</t>
        </is>
      </c>
      <c r="C411" t="n">
        <v>1</v>
      </c>
      <c r="D411" s="9" t="n">
        <v>0.001628664495114007</v>
      </c>
      <c r="E411" t="n">
        <v>410</v>
      </c>
    </row>
    <row r="412">
      <c r="A412" t="inlineStr">
        <is>
          <t>Loan_ID</t>
        </is>
      </c>
      <c r="B412" t="inlineStr">
        <is>
          <t>LP002297</t>
        </is>
      </c>
      <c r="C412" t="n">
        <v>1</v>
      </c>
      <c r="D412" s="9" t="n">
        <v>0.001628664495114007</v>
      </c>
      <c r="E412" t="n">
        <v>411</v>
      </c>
    </row>
    <row r="413">
      <c r="A413" t="inlineStr">
        <is>
          <t>Loan_ID</t>
        </is>
      </c>
      <c r="B413" t="inlineStr">
        <is>
          <t>LP002300</t>
        </is>
      </c>
      <c r="C413" t="n">
        <v>1</v>
      </c>
      <c r="D413" s="9" t="n">
        <v>0.001628664495114007</v>
      </c>
      <c r="E413" t="n">
        <v>412</v>
      </c>
    </row>
    <row r="414">
      <c r="A414" t="inlineStr">
        <is>
          <t>Loan_ID</t>
        </is>
      </c>
      <c r="B414" t="inlineStr">
        <is>
          <t>LP002301</t>
        </is>
      </c>
      <c r="C414" t="n">
        <v>1</v>
      </c>
      <c r="D414" s="9" t="n">
        <v>0.001628664495114007</v>
      </c>
      <c r="E414" t="n">
        <v>413</v>
      </c>
    </row>
    <row r="415">
      <c r="A415" t="inlineStr">
        <is>
          <t>Loan_ID</t>
        </is>
      </c>
      <c r="B415" t="inlineStr">
        <is>
          <t>LP002305</t>
        </is>
      </c>
      <c r="C415" t="n">
        <v>1</v>
      </c>
      <c r="D415" s="9" t="n">
        <v>0.001628664495114007</v>
      </c>
      <c r="E415" t="n">
        <v>414</v>
      </c>
    </row>
    <row r="416">
      <c r="A416" t="inlineStr">
        <is>
          <t>Loan_ID</t>
        </is>
      </c>
      <c r="B416" t="inlineStr">
        <is>
          <t>LP002255</t>
        </is>
      </c>
      <c r="C416" t="n">
        <v>1</v>
      </c>
      <c r="D416" s="9" t="n">
        <v>0.001628664495114007</v>
      </c>
      <c r="E416" t="n">
        <v>415</v>
      </c>
    </row>
    <row r="417">
      <c r="A417" t="inlineStr">
        <is>
          <t>Loan_ID</t>
        </is>
      </c>
      <c r="B417" t="inlineStr">
        <is>
          <t>LP002262</t>
        </is>
      </c>
      <c r="C417" t="n">
        <v>1</v>
      </c>
      <c r="D417" s="9" t="n">
        <v>0.001628664495114007</v>
      </c>
      <c r="E417" t="n">
        <v>416</v>
      </c>
    </row>
    <row r="418">
      <c r="A418" t="inlineStr">
        <is>
          <t>Loan_ID</t>
        </is>
      </c>
      <c r="B418" t="inlineStr">
        <is>
          <t>LP002263</t>
        </is>
      </c>
      <c r="C418" t="n">
        <v>1</v>
      </c>
      <c r="D418" s="9" t="n">
        <v>0.001628664495114007</v>
      </c>
      <c r="E418" t="n">
        <v>417</v>
      </c>
    </row>
    <row r="419">
      <c r="A419" t="inlineStr">
        <is>
          <t>Loan_ID</t>
        </is>
      </c>
      <c r="B419" t="inlineStr">
        <is>
          <t>LP002265</t>
        </is>
      </c>
      <c r="C419" t="n">
        <v>1</v>
      </c>
      <c r="D419" s="9" t="n">
        <v>0.001628664495114007</v>
      </c>
      <c r="E419" t="n">
        <v>418</v>
      </c>
    </row>
    <row r="420">
      <c r="A420" t="inlineStr">
        <is>
          <t>Loan_ID</t>
        </is>
      </c>
      <c r="B420" t="inlineStr">
        <is>
          <t>LP002266</t>
        </is>
      </c>
      <c r="C420" t="n">
        <v>1</v>
      </c>
      <c r="D420" s="9" t="n">
        <v>0.001628664495114007</v>
      </c>
      <c r="E420" t="n">
        <v>419</v>
      </c>
    </row>
    <row r="421">
      <c r="A421" t="inlineStr">
        <is>
          <t>Loan_ID</t>
        </is>
      </c>
      <c r="B421" t="inlineStr">
        <is>
          <t>LP002272</t>
        </is>
      </c>
      <c r="C421" t="n">
        <v>1</v>
      </c>
      <c r="D421" s="9" t="n">
        <v>0.001628664495114007</v>
      </c>
      <c r="E421" t="n">
        <v>420</v>
      </c>
    </row>
    <row r="422">
      <c r="A422" t="inlineStr">
        <is>
          <t>Loan_ID</t>
        </is>
      </c>
      <c r="B422" t="inlineStr">
        <is>
          <t>LP002277</t>
        </is>
      </c>
      <c r="C422" t="n">
        <v>1</v>
      </c>
      <c r="D422" s="9" t="n">
        <v>0.001628664495114007</v>
      </c>
      <c r="E422" t="n">
        <v>421</v>
      </c>
    </row>
    <row r="423">
      <c r="A423" t="inlineStr">
        <is>
          <t>Loan_ID</t>
        </is>
      </c>
      <c r="B423" t="inlineStr">
        <is>
          <t>LP002281</t>
        </is>
      </c>
      <c r="C423" t="n">
        <v>1</v>
      </c>
      <c r="D423" s="9" t="n">
        <v>0.001628664495114007</v>
      </c>
      <c r="E423" t="n">
        <v>422</v>
      </c>
    </row>
    <row r="424">
      <c r="A424" t="inlineStr">
        <is>
          <t>Loan_ID</t>
        </is>
      </c>
      <c r="B424" t="inlineStr">
        <is>
          <t>LP002434</t>
        </is>
      </c>
      <c r="C424" t="n">
        <v>1</v>
      </c>
      <c r="D424" s="9" t="n">
        <v>0.001628664495114007</v>
      </c>
      <c r="E424" t="n">
        <v>423</v>
      </c>
    </row>
    <row r="425">
      <c r="A425" t="inlineStr">
        <is>
          <t>Loan_ID</t>
        </is>
      </c>
      <c r="B425" t="inlineStr">
        <is>
          <t>LP002435</t>
        </is>
      </c>
      <c r="C425" t="n">
        <v>1</v>
      </c>
      <c r="D425" s="9" t="n">
        <v>0.001628664495114007</v>
      </c>
      <c r="E425" t="n">
        <v>424</v>
      </c>
    </row>
    <row r="426">
      <c r="A426" t="inlineStr">
        <is>
          <t>Loan_ID</t>
        </is>
      </c>
      <c r="B426" t="inlineStr">
        <is>
          <t>LP002443</t>
        </is>
      </c>
      <c r="C426" t="n">
        <v>1</v>
      </c>
      <c r="D426" s="9" t="n">
        <v>0.001628664495114007</v>
      </c>
      <c r="E426" t="n">
        <v>425</v>
      </c>
    </row>
    <row r="427">
      <c r="A427" t="inlineStr">
        <is>
          <t>Loan_ID</t>
        </is>
      </c>
      <c r="B427" t="inlineStr">
        <is>
          <t>LP002444</t>
        </is>
      </c>
      <c r="C427" t="n">
        <v>1</v>
      </c>
      <c r="D427" s="9" t="n">
        <v>0.001628664495114007</v>
      </c>
      <c r="E427" t="n">
        <v>426</v>
      </c>
    </row>
    <row r="428">
      <c r="A428" t="inlineStr">
        <is>
          <t>Loan_ID</t>
        </is>
      </c>
      <c r="B428" t="inlineStr">
        <is>
          <t>LP002446</t>
        </is>
      </c>
      <c r="C428" t="n">
        <v>1</v>
      </c>
      <c r="D428" s="9" t="n">
        <v>0.001628664495114007</v>
      </c>
      <c r="E428" t="n">
        <v>427</v>
      </c>
    </row>
    <row r="429">
      <c r="A429" t="inlineStr">
        <is>
          <t>Loan_ID</t>
        </is>
      </c>
      <c r="B429" t="inlineStr">
        <is>
          <t>LP002447</t>
        </is>
      </c>
      <c r="C429" t="n">
        <v>1</v>
      </c>
      <c r="D429" s="9" t="n">
        <v>0.001628664495114007</v>
      </c>
      <c r="E429" t="n">
        <v>428</v>
      </c>
    </row>
    <row r="430">
      <c r="A430" t="inlineStr">
        <is>
          <t>Loan_ID</t>
        </is>
      </c>
      <c r="B430" t="inlineStr">
        <is>
          <t>LP002448</t>
        </is>
      </c>
      <c r="C430" t="n">
        <v>1</v>
      </c>
      <c r="D430" s="9" t="n">
        <v>0.001628664495114007</v>
      </c>
      <c r="E430" t="n">
        <v>429</v>
      </c>
    </row>
    <row r="431">
      <c r="A431" t="inlineStr">
        <is>
          <t>Loan_ID</t>
        </is>
      </c>
      <c r="B431" t="inlineStr">
        <is>
          <t>LP002449</t>
        </is>
      </c>
      <c r="C431" t="n">
        <v>1</v>
      </c>
      <c r="D431" s="9" t="n">
        <v>0.001628664495114007</v>
      </c>
      <c r="E431" t="n">
        <v>430</v>
      </c>
    </row>
    <row r="432">
      <c r="A432" t="inlineStr">
        <is>
          <t>Loan_ID</t>
        </is>
      </c>
      <c r="B432" t="inlineStr">
        <is>
          <t>LP002403</t>
        </is>
      </c>
      <c r="C432" t="n">
        <v>1</v>
      </c>
      <c r="D432" s="9" t="n">
        <v>0.001628664495114007</v>
      </c>
      <c r="E432" t="n">
        <v>431</v>
      </c>
    </row>
    <row r="433">
      <c r="A433" t="inlineStr">
        <is>
          <t>Loan_ID</t>
        </is>
      </c>
      <c r="B433" t="inlineStr">
        <is>
          <t>LP002407</t>
        </is>
      </c>
      <c r="C433" t="n">
        <v>1</v>
      </c>
      <c r="D433" s="9" t="n">
        <v>0.001628664495114007</v>
      </c>
      <c r="E433" t="n">
        <v>432</v>
      </c>
    </row>
    <row r="434">
      <c r="A434" t="inlineStr">
        <is>
          <t>Loan_ID</t>
        </is>
      </c>
      <c r="B434" t="inlineStr">
        <is>
          <t>LP002408</t>
        </is>
      </c>
      <c r="C434" t="n">
        <v>1</v>
      </c>
      <c r="D434" s="9" t="n">
        <v>0.001628664495114007</v>
      </c>
      <c r="E434" t="n">
        <v>433</v>
      </c>
    </row>
    <row r="435">
      <c r="A435" t="inlineStr">
        <is>
          <t>Loan_ID</t>
        </is>
      </c>
      <c r="B435" t="inlineStr">
        <is>
          <t>LP002409</t>
        </is>
      </c>
      <c r="C435" t="n">
        <v>1</v>
      </c>
      <c r="D435" s="9" t="n">
        <v>0.001628664495114007</v>
      </c>
      <c r="E435" t="n">
        <v>434</v>
      </c>
    </row>
    <row r="436">
      <c r="A436" t="inlineStr">
        <is>
          <t>Loan_ID</t>
        </is>
      </c>
      <c r="B436" t="inlineStr">
        <is>
          <t>LP002418</t>
        </is>
      </c>
      <c r="C436" t="n">
        <v>1</v>
      </c>
      <c r="D436" s="9" t="n">
        <v>0.001628664495114007</v>
      </c>
      <c r="E436" t="n">
        <v>435</v>
      </c>
    </row>
    <row r="437">
      <c r="A437" t="inlineStr">
        <is>
          <t>Loan_ID</t>
        </is>
      </c>
      <c r="B437" t="inlineStr">
        <is>
          <t>LP002422</t>
        </is>
      </c>
      <c r="C437" t="n">
        <v>1</v>
      </c>
      <c r="D437" s="9" t="n">
        <v>0.001628664495114007</v>
      </c>
      <c r="E437" t="n">
        <v>436</v>
      </c>
    </row>
    <row r="438">
      <c r="A438" t="inlineStr">
        <is>
          <t>Loan_ID</t>
        </is>
      </c>
      <c r="B438" t="inlineStr">
        <is>
          <t>LP002424</t>
        </is>
      </c>
      <c r="C438" t="n">
        <v>1</v>
      </c>
      <c r="D438" s="9" t="n">
        <v>0.001628664495114007</v>
      </c>
      <c r="E438" t="n">
        <v>437</v>
      </c>
    </row>
    <row r="439">
      <c r="A439" t="inlineStr">
        <is>
          <t>Loan_ID</t>
        </is>
      </c>
      <c r="B439" t="inlineStr">
        <is>
          <t>LP002429</t>
        </is>
      </c>
      <c r="C439" t="n">
        <v>1</v>
      </c>
      <c r="D439" s="9" t="n">
        <v>0.001628664495114007</v>
      </c>
      <c r="E439" t="n">
        <v>438</v>
      </c>
    </row>
    <row r="440">
      <c r="A440" t="inlineStr">
        <is>
          <t>Loan_ID</t>
        </is>
      </c>
      <c r="B440" t="inlineStr">
        <is>
          <t>LP002377</t>
        </is>
      </c>
      <c r="C440" t="n">
        <v>1</v>
      </c>
      <c r="D440" s="9" t="n">
        <v>0.001628664495114007</v>
      </c>
      <c r="E440" t="n">
        <v>439</v>
      </c>
    </row>
    <row r="441">
      <c r="A441" t="inlineStr">
        <is>
          <t>Loan_ID</t>
        </is>
      </c>
      <c r="B441" t="inlineStr">
        <is>
          <t>LP002379</t>
        </is>
      </c>
      <c r="C441" t="n">
        <v>1</v>
      </c>
      <c r="D441" s="9" t="n">
        <v>0.001628664495114007</v>
      </c>
      <c r="E441" t="n">
        <v>440</v>
      </c>
    </row>
    <row r="442">
      <c r="A442" t="inlineStr">
        <is>
          <t>Loan_ID</t>
        </is>
      </c>
      <c r="B442" t="inlineStr">
        <is>
          <t>LP002386</t>
        </is>
      </c>
      <c r="C442" t="n">
        <v>1</v>
      </c>
      <c r="D442" s="9" t="n">
        <v>0.001628664495114007</v>
      </c>
      <c r="E442" t="n">
        <v>441</v>
      </c>
    </row>
    <row r="443">
      <c r="A443" t="inlineStr">
        <is>
          <t>Loan_ID</t>
        </is>
      </c>
      <c r="B443" t="inlineStr">
        <is>
          <t>LP002387</t>
        </is>
      </c>
      <c r="C443" t="n">
        <v>1</v>
      </c>
      <c r="D443" s="9" t="n">
        <v>0.001628664495114007</v>
      </c>
      <c r="E443" t="n">
        <v>442</v>
      </c>
    </row>
    <row r="444">
      <c r="A444" t="inlineStr">
        <is>
          <t>Loan_ID</t>
        </is>
      </c>
      <c r="B444" t="inlineStr">
        <is>
          <t>LP002390</t>
        </is>
      </c>
      <c r="C444" t="n">
        <v>1</v>
      </c>
      <c r="D444" s="9" t="n">
        <v>0.001628664495114007</v>
      </c>
      <c r="E444" t="n">
        <v>443</v>
      </c>
    </row>
    <row r="445">
      <c r="A445" t="inlineStr">
        <is>
          <t>Loan_ID</t>
        </is>
      </c>
      <c r="B445" t="inlineStr">
        <is>
          <t>LP002393</t>
        </is>
      </c>
      <c r="C445" t="n">
        <v>1</v>
      </c>
      <c r="D445" s="9" t="n">
        <v>0.001628664495114007</v>
      </c>
      <c r="E445" t="n">
        <v>444</v>
      </c>
    </row>
    <row r="446">
      <c r="A446" t="inlineStr">
        <is>
          <t>Loan_ID</t>
        </is>
      </c>
      <c r="B446" t="inlineStr">
        <is>
          <t>LP002398</t>
        </is>
      </c>
      <c r="C446" t="n">
        <v>1</v>
      </c>
      <c r="D446" s="9" t="n">
        <v>0.001628664495114007</v>
      </c>
      <c r="E446" t="n">
        <v>445</v>
      </c>
    </row>
    <row r="447">
      <c r="A447" t="inlineStr">
        <is>
          <t>Loan_ID</t>
        </is>
      </c>
      <c r="B447" t="inlineStr">
        <is>
          <t>LP002401</t>
        </is>
      </c>
      <c r="C447" t="n">
        <v>1</v>
      </c>
      <c r="D447" s="9" t="n">
        <v>0.001628664495114007</v>
      </c>
      <c r="E447" t="n">
        <v>446</v>
      </c>
    </row>
    <row r="448">
      <c r="A448" t="inlineStr">
        <is>
          <t>Loan_ID</t>
        </is>
      </c>
      <c r="B448" t="inlineStr">
        <is>
          <t>LP002361</t>
        </is>
      </c>
      <c r="C448" t="n">
        <v>1</v>
      </c>
      <c r="D448" s="9" t="n">
        <v>0.001628664495114007</v>
      </c>
      <c r="E448" t="n">
        <v>447</v>
      </c>
    </row>
    <row r="449">
      <c r="A449" t="inlineStr">
        <is>
          <t>Loan_ID</t>
        </is>
      </c>
      <c r="B449" t="inlineStr">
        <is>
          <t>LP002362</t>
        </is>
      </c>
      <c r="C449" t="n">
        <v>1</v>
      </c>
      <c r="D449" s="9" t="n">
        <v>0.001628664495114007</v>
      </c>
      <c r="E449" t="n">
        <v>448</v>
      </c>
    </row>
    <row r="450">
      <c r="A450" t="inlineStr">
        <is>
          <t>Loan_ID</t>
        </is>
      </c>
      <c r="B450" t="inlineStr">
        <is>
          <t>LP002364</t>
        </is>
      </c>
      <c r="C450" t="n">
        <v>1</v>
      </c>
      <c r="D450" s="9" t="n">
        <v>0.001628664495114007</v>
      </c>
      <c r="E450" t="n">
        <v>449</v>
      </c>
    </row>
    <row r="451">
      <c r="A451" t="inlineStr">
        <is>
          <t>Loan_ID</t>
        </is>
      </c>
      <c r="B451" t="inlineStr">
        <is>
          <t>LP002366</t>
        </is>
      </c>
      <c r="C451" t="n">
        <v>1</v>
      </c>
      <c r="D451" s="9" t="n">
        <v>0.001628664495114007</v>
      </c>
      <c r="E451" t="n">
        <v>450</v>
      </c>
    </row>
    <row r="452">
      <c r="A452" t="inlineStr">
        <is>
          <t>Loan_ID</t>
        </is>
      </c>
      <c r="B452" t="inlineStr">
        <is>
          <t>LP002367</t>
        </is>
      </c>
      <c r="C452" t="n">
        <v>1</v>
      </c>
      <c r="D452" s="9" t="n">
        <v>0.001628664495114007</v>
      </c>
      <c r="E452" t="n">
        <v>451</v>
      </c>
    </row>
    <row r="453">
      <c r="A453" t="inlineStr">
        <is>
          <t>Loan_ID</t>
        </is>
      </c>
      <c r="B453" t="inlineStr">
        <is>
          <t>LP002368</t>
        </is>
      </c>
      <c r="C453" t="n">
        <v>1</v>
      </c>
      <c r="D453" s="9" t="n">
        <v>0.001628664495114007</v>
      </c>
      <c r="E453" t="n">
        <v>452</v>
      </c>
    </row>
    <row r="454">
      <c r="A454" t="inlineStr">
        <is>
          <t>Loan_ID</t>
        </is>
      </c>
      <c r="B454" t="inlineStr">
        <is>
          <t>LP002369</t>
        </is>
      </c>
      <c r="C454" t="n">
        <v>1</v>
      </c>
      <c r="D454" s="9" t="n">
        <v>0.001628664495114007</v>
      </c>
      <c r="E454" t="n">
        <v>453</v>
      </c>
    </row>
    <row r="455">
      <c r="A455" t="inlineStr">
        <is>
          <t>Loan_ID</t>
        </is>
      </c>
      <c r="B455" t="inlineStr">
        <is>
          <t>LP002370</t>
        </is>
      </c>
      <c r="C455" t="n">
        <v>1</v>
      </c>
      <c r="D455" s="9" t="n">
        <v>0.001628664495114007</v>
      </c>
      <c r="E455" t="n">
        <v>454</v>
      </c>
    </row>
    <row r="456">
      <c r="A456" t="inlineStr">
        <is>
          <t>Loan_ID</t>
        </is>
      </c>
      <c r="B456" t="inlineStr">
        <is>
          <t>LP002531</t>
        </is>
      </c>
      <c r="C456" t="n">
        <v>1</v>
      </c>
      <c r="D456" s="9" t="n">
        <v>0.001628664495114007</v>
      </c>
      <c r="E456" t="n">
        <v>455</v>
      </c>
    </row>
    <row r="457">
      <c r="A457" t="inlineStr">
        <is>
          <t>Loan_ID</t>
        </is>
      </c>
      <c r="B457" t="inlineStr">
        <is>
          <t>LP002533</t>
        </is>
      </c>
      <c r="C457" t="n">
        <v>1</v>
      </c>
      <c r="D457" s="9" t="n">
        <v>0.001628664495114007</v>
      </c>
      <c r="E457" t="n">
        <v>456</v>
      </c>
    </row>
    <row r="458">
      <c r="A458" t="inlineStr">
        <is>
          <t>Loan_ID</t>
        </is>
      </c>
      <c r="B458" t="inlineStr">
        <is>
          <t>LP002534</t>
        </is>
      </c>
      <c r="C458" t="n">
        <v>1</v>
      </c>
      <c r="D458" s="9" t="n">
        <v>0.001628664495114007</v>
      </c>
      <c r="E458" t="n">
        <v>457</v>
      </c>
    </row>
    <row r="459">
      <c r="A459" t="inlineStr">
        <is>
          <t>Loan_ID</t>
        </is>
      </c>
      <c r="B459" t="inlineStr">
        <is>
          <t>LP002536</t>
        </is>
      </c>
      <c r="C459" t="n">
        <v>1</v>
      </c>
      <c r="D459" s="9" t="n">
        <v>0.001628664495114007</v>
      </c>
      <c r="E459" t="n">
        <v>458</v>
      </c>
    </row>
    <row r="460">
      <c r="A460" t="inlineStr">
        <is>
          <t>Loan_ID</t>
        </is>
      </c>
      <c r="B460" t="inlineStr">
        <is>
          <t>LP002537</t>
        </is>
      </c>
      <c r="C460" t="n">
        <v>1</v>
      </c>
      <c r="D460" s="9" t="n">
        <v>0.001628664495114007</v>
      </c>
      <c r="E460" t="n">
        <v>459</v>
      </c>
    </row>
    <row r="461">
      <c r="A461" t="inlineStr">
        <is>
          <t>Loan_ID</t>
        </is>
      </c>
      <c r="B461" t="inlineStr">
        <is>
          <t>LP002541</t>
        </is>
      </c>
      <c r="C461" t="n">
        <v>1</v>
      </c>
      <c r="D461" s="9" t="n">
        <v>0.001628664495114007</v>
      </c>
      <c r="E461" t="n">
        <v>460</v>
      </c>
    </row>
    <row r="462">
      <c r="A462" t="inlineStr">
        <is>
          <t>Loan_ID</t>
        </is>
      </c>
      <c r="B462" t="inlineStr">
        <is>
          <t>LP002543</t>
        </is>
      </c>
      <c r="C462" t="n">
        <v>1</v>
      </c>
      <c r="D462" s="9" t="n">
        <v>0.001628664495114007</v>
      </c>
      <c r="E462" t="n">
        <v>461</v>
      </c>
    </row>
    <row r="463">
      <c r="A463" t="inlineStr">
        <is>
          <t>Loan_ID</t>
        </is>
      </c>
      <c r="B463" t="inlineStr">
        <is>
          <t>LP002544</t>
        </is>
      </c>
      <c r="C463" t="n">
        <v>1</v>
      </c>
      <c r="D463" s="9" t="n">
        <v>0.001628664495114007</v>
      </c>
      <c r="E463" t="n">
        <v>462</v>
      </c>
    </row>
    <row r="464">
      <c r="A464" t="inlineStr">
        <is>
          <t>Loan_ID</t>
        </is>
      </c>
      <c r="B464" t="inlineStr">
        <is>
          <t>LP002515</t>
        </is>
      </c>
      <c r="C464" t="n">
        <v>1</v>
      </c>
      <c r="D464" s="9" t="n">
        <v>0.001628664495114007</v>
      </c>
      <c r="E464" t="n">
        <v>463</v>
      </c>
    </row>
    <row r="465">
      <c r="A465" t="inlineStr">
        <is>
          <t>Loan_ID</t>
        </is>
      </c>
      <c r="B465" t="inlineStr">
        <is>
          <t>LP002517</t>
        </is>
      </c>
      <c r="C465" t="n">
        <v>1</v>
      </c>
      <c r="D465" s="9" t="n">
        <v>0.001628664495114007</v>
      </c>
      <c r="E465" t="n">
        <v>464</v>
      </c>
    </row>
    <row r="466">
      <c r="A466" t="inlineStr">
        <is>
          <t>Loan_ID</t>
        </is>
      </c>
      <c r="B466" t="inlineStr">
        <is>
          <t>LP002519</t>
        </is>
      </c>
      <c r="C466" t="n">
        <v>1</v>
      </c>
      <c r="D466" s="9" t="n">
        <v>0.001628664495114007</v>
      </c>
      <c r="E466" t="n">
        <v>465</v>
      </c>
    </row>
    <row r="467">
      <c r="A467" t="inlineStr">
        <is>
          <t>Loan_ID</t>
        </is>
      </c>
      <c r="B467" t="inlineStr">
        <is>
          <t>LP002522</t>
        </is>
      </c>
      <c r="C467" t="n">
        <v>1</v>
      </c>
      <c r="D467" s="9" t="n">
        <v>0.001628664495114007</v>
      </c>
      <c r="E467" t="n">
        <v>466</v>
      </c>
    </row>
    <row r="468">
      <c r="A468" t="inlineStr">
        <is>
          <t>Loan_ID</t>
        </is>
      </c>
      <c r="B468" t="inlineStr">
        <is>
          <t>LP002524</t>
        </is>
      </c>
      <c r="C468" t="n">
        <v>1</v>
      </c>
      <c r="D468" s="9" t="n">
        <v>0.001628664495114007</v>
      </c>
      <c r="E468" t="n">
        <v>467</v>
      </c>
    </row>
    <row r="469">
      <c r="A469" t="inlineStr">
        <is>
          <t>Loan_ID</t>
        </is>
      </c>
      <c r="B469" t="inlineStr">
        <is>
          <t>LP002527</t>
        </is>
      </c>
      <c r="C469" t="n">
        <v>1</v>
      </c>
      <c r="D469" s="9" t="n">
        <v>0.001628664495114007</v>
      </c>
      <c r="E469" t="n">
        <v>468</v>
      </c>
    </row>
    <row r="470">
      <c r="A470" t="inlineStr">
        <is>
          <t>Loan_ID</t>
        </is>
      </c>
      <c r="B470" t="inlineStr">
        <is>
          <t>LP002529</t>
        </is>
      </c>
      <c r="C470" t="n">
        <v>1</v>
      </c>
      <c r="D470" s="9" t="n">
        <v>0.001628664495114007</v>
      </c>
      <c r="E470" t="n">
        <v>469</v>
      </c>
    </row>
    <row r="471">
      <c r="A471" t="inlineStr">
        <is>
          <t>Loan_ID</t>
        </is>
      </c>
      <c r="B471" t="inlineStr">
        <is>
          <t>LP002530</t>
        </is>
      </c>
      <c r="C471" t="n">
        <v>1</v>
      </c>
      <c r="D471" s="9" t="n">
        <v>0.001628664495114007</v>
      </c>
      <c r="E471" t="n">
        <v>470</v>
      </c>
    </row>
    <row r="472">
      <c r="A472" t="inlineStr">
        <is>
          <t>Loan_ID</t>
        </is>
      </c>
      <c r="B472" t="inlineStr">
        <is>
          <t>LP002487</t>
        </is>
      </c>
      <c r="C472" t="n">
        <v>1</v>
      </c>
      <c r="D472" s="9" t="n">
        <v>0.001628664495114007</v>
      </c>
      <c r="E472" t="n">
        <v>471</v>
      </c>
    </row>
    <row r="473">
      <c r="A473" t="inlineStr">
        <is>
          <t>Loan_ID</t>
        </is>
      </c>
      <c r="B473" t="inlineStr">
        <is>
          <t>LP002489</t>
        </is>
      </c>
      <c r="C473" t="n">
        <v>1</v>
      </c>
      <c r="D473" s="9" t="n">
        <v>0.001628664495114007</v>
      </c>
      <c r="E473" t="n">
        <v>472</v>
      </c>
    </row>
    <row r="474">
      <c r="A474" t="inlineStr">
        <is>
          <t>Loan_ID</t>
        </is>
      </c>
      <c r="B474" t="inlineStr">
        <is>
          <t>LP002493</t>
        </is>
      </c>
      <c r="C474" t="n">
        <v>1</v>
      </c>
      <c r="D474" s="9" t="n">
        <v>0.001628664495114007</v>
      </c>
      <c r="E474" t="n">
        <v>473</v>
      </c>
    </row>
    <row r="475">
      <c r="A475" t="inlineStr">
        <is>
          <t>Loan_ID</t>
        </is>
      </c>
      <c r="B475" t="inlineStr">
        <is>
          <t>LP002494</t>
        </is>
      </c>
      <c r="C475" t="n">
        <v>1</v>
      </c>
      <c r="D475" s="9" t="n">
        <v>0.001628664495114007</v>
      </c>
      <c r="E475" t="n">
        <v>474</v>
      </c>
    </row>
    <row r="476">
      <c r="A476" t="inlineStr">
        <is>
          <t>Loan_ID</t>
        </is>
      </c>
      <c r="B476" t="inlineStr">
        <is>
          <t>LP002500</t>
        </is>
      </c>
      <c r="C476" t="n">
        <v>1</v>
      </c>
      <c r="D476" s="9" t="n">
        <v>0.001628664495114007</v>
      </c>
      <c r="E476" t="n">
        <v>475</v>
      </c>
    </row>
    <row r="477">
      <c r="A477" t="inlineStr">
        <is>
          <t>Loan_ID</t>
        </is>
      </c>
      <c r="B477" t="inlineStr">
        <is>
          <t>LP002501</t>
        </is>
      </c>
      <c r="C477" t="n">
        <v>1</v>
      </c>
      <c r="D477" s="9" t="n">
        <v>0.001628664495114007</v>
      </c>
      <c r="E477" t="n">
        <v>476</v>
      </c>
    </row>
    <row r="478">
      <c r="A478" t="inlineStr">
        <is>
          <t>Loan_ID</t>
        </is>
      </c>
      <c r="B478" t="inlineStr">
        <is>
          <t>LP002502</t>
        </is>
      </c>
      <c r="C478" t="n">
        <v>1</v>
      </c>
      <c r="D478" s="9" t="n">
        <v>0.001628664495114007</v>
      </c>
      <c r="E478" t="n">
        <v>477</v>
      </c>
    </row>
    <row r="479">
      <c r="A479" t="inlineStr">
        <is>
          <t>Loan_ID</t>
        </is>
      </c>
      <c r="B479" t="inlineStr">
        <is>
          <t>LP002505</t>
        </is>
      </c>
      <c r="C479" t="n">
        <v>1</v>
      </c>
      <c r="D479" s="9" t="n">
        <v>0.001628664495114007</v>
      </c>
      <c r="E479" t="n">
        <v>478</v>
      </c>
    </row>
    <row r="480">
      <c r="A480" t="inlineStr">
        <is>
          <t>Loan_ID</t>
        </is>
      </c>
      <c r="B480" t="inlineStr">
        <is>
          <t>LP002453</t>
        </is>
      </c>
      <c r="C480" t="n">
        <v>1</v>
      </c>
      <c r="D480" s="9" t="n">
        <v>0.001628664495114007</v>
      </c>
      <c r="E480" t="n">
        <v>479</v>
      </c>
    </row>
    <row r="481">
      <c r="A481" t="inlineStr">
        <is>
          <t>Loan_ID</t>
        </is>
      </c>
      <c r="B481" t="inlineStr">
        <is>
          <t>LP002455</t>
        </is>
      </c>
      <c r="C481" t="n">
        <v>1</v>
      </c>
      <c r="D481" s="9" t="n">
        <v>0.001628664495114007</v>
      </c>
      <c r="E481" t="n">
        <v>480</v>
      </c>
    </row>
    <row r="482">
      <c r="A482" t="inlineStr">
        <is>
          <t>Loan_ID</t>
        </is>
      </c>
      <c r="B482" t="inlineStr">
        <is>
          <t>LP002459</t>
        </is>
      </c>
      <c r="C482" t="n">
        <v>1</v>
      </c>
      <c r="D482" s="9" t="n">
        <v>0.001628664495114007</v>
      </c>
      <c r="E482" t="n">
        <v>481</v>
      </c>
    </row>
    <row r="483">
      <c r="A483" t="inlineStr">
        <is>
          <t>Loan_ID</t>
        </is>
      </c>
      <c r="B483" t="inlineStr">
        <is>
          <t>LP002467</t>
        </is>
      </c>
      <c r="C483" t="n">
        <v>1</v>
      </c>
      <c r="D483" s="9" t="n">
        <v>0.001628664495114007</v>
      </c>
      <c r="E483" t="n">
        <v>482</v>
      </c>
    </row>
    <row r="484">
      <c r="A484" t="inlineStr">
        <is>
          <t>Loan_ID</t>
        </is>
      </c>
      <c r="B484" t="inlineStr">
        <is>
          <t>LP002472</t>
        </is>
      </c>
      <c r="C484" t="n">
        <v>1</v>
      </c>
      <c r="D484" s="9" t="n">
        <v>0.001628664495114007</v>
      </c>
      <c r="E484" t="n">
        <v>483</v>
      </c>
    </row>
    <row r="485">
      <c r="A485" t="inlineStr">
        <is>
          <t>Loan_ID</t>
        </is>
      </c>
      <c r="B485" t="inlineStr">
        <is>
          <t>LP002473</t>
        </is>
      </c>
      <c r="C485" t="n">
        <v>1</v>
      </c>
      <c r="D485" s="9" t="n">
        <v>0.001628664495114007</v>
      </c>
      <c r="E485" t="n">
        <v>484</v>
      </c>
    </row>
    <row r="486">
      <c r="A486" t="inlineStr">
        <is>
          <t>Loan_ID</t>
        </is>
      </c>
      <c r="B486" t="inlineStr">
        <is>
          <t>LP002478</t>
        </is>
      </c>
      <c r="C486" t="n">
        <v>1</v>
      </c>
      <c r="D486" s="9" t="n">
        <v>0.001628664495114007</v>
      </c>
      <c r="E486" t="n">
        <v>485</v>
      </c>
    </row>
    <row r="487">
      <c r="A487" t="inlineStr">
        <is>
          <t>Loan_ID</t>
        </is>
      </c>
      <c r="B487" t="inlineStr">
        <is>
          <t>LP002484</t>
        </is>
      </c>
      <c r="C487" t="n">
        <v>1</v>
      </c>
      <c r="D487" s="9" t="n">
        <v>0.001628664495114007</v>
      </c>
      <c r="E487" t="n">
        <v>486</v>
      </c>
    </row>
    <row r="488">
      <c r="A488" t="inlineStr">
        <is>
          <t>Loan_ID</t>
        </is>
      </c>
      <c r="B488" t="inlineStr">
        <is>
          <t>LP002637</t>
        </is>
      </c>
      <c r="C488" t="n">
        <v>1</v>
      </c>
      <c r="D488" s="9" t="n">
        <v>0.001628664495114007</v>
      </c>
      <c r="E488" t="n">
        <v>487</v>
      </c>
    </row>
    <row r="489">
      <c r="A489" t="inlineStr">
        <is>
          <t>Loan_ID</t>
        </is>
      </c>
      <c r="B489" t="inlineStr">
        <is>
          <t>LP002640</t>
        </is>
      </c>
      <c r="C489" t="n">
        <v>1</v>
      </c>
      <c r="D489" s="9" t="n">
        <v>0.001628664495114007</v>
      </c>
      <c r="E489" t="n">
        <v>488</v>
      </c>
    </row>
    <row r="490">
      <c r="A490" t="inlineStr">
        <is>
          <t>Loan_ID</t>
        </is>
      </c>
      <c r="B490" t="inlineStr">
        <is>
          <t>LP002643</t>
        </is>
      </c>
      <c r="C490" t="n">
        <v>1</v>
      </c>
      <c r="D490" s="9" t="n">
        <v>0.001628664495114007</v>
      </c>
      <c r="E490" t="n">
        <v>489</v>
      </c>
    </row>
    <row r="491">
      <c r="A491" t="inlineStr">
        <is>
          <t>Loan_ID</t>
        </is>
      </c>
      <c r="B491" t="inlineStr">
        <is>
          <t>LP002648</t>
        </is>
      </c>
      <c r="C491" t="n">
        <v>1</v>
      </c>
      <c r="D491" s="9" t="n">
        <v>0.001628664495114007</v>
      </c>
      <c r="E491" t="n">
        <v>490</v>
      </c>
    </row>
    <row r="492">
      <c r="A492" t="inlineStr">
        <is>
          <t>Loan_ID</t>
        </is>
      </c>
      <c r="B492" t="inlineStr">
        <is>
          <t>LP002652</t>
        </is>
      </c>
      <c r="C492" t="n">
        <v>1</v>
      </c>
      <c r="D492" s="9" t="n">
        <v>0.001628664495114007</v>
      </c>
      <c r="E492" t="n">
        <v>491</v>
      </c>
    </row>
    <row r="493">
      <c r="A493" t="inlineStr">
        <is>
          <t>Loan_ID</t>
        </is>
      </c>
      <c r="B493" t="inlineStr">
        <is>
          <t>LP002659</t>
        </is>
      </c>
      <c r="C493" t="n">
        <v>1</v>
      </c>
      <c r="D493" s="9" t="n">
        <v>0.001628664495114007</v>
      </c>
      <c r="E493" t="n">
        <v>492</v>
      </c>
    </row>
    <row r="494">
      <c r="A494" t="inlineStr">
        <is>
          <t>Loan_ID</t>
        </is>
      </c>
      <c r="B494" t="inlineStr">
        <is>
          <t>LP002670</t>
        </is>
      </c>
      <c r="C494" t="n">
        <v>1</v>
      </c>
      <c r="D494" s="9" t="n">
        <v>0.001628664495114007</v>
      </c>
      <c r="E494" t="n">
        <v>493</v>
      </c>
    </row>
    <row r="495">
      <c r="A495" t="inlineStr">
        <is>
          <t>Loan_ID</t>
        </is>
      </c>
      <c r="B495" t="inlineStr">
        <is>
          <t>LP002682</t>
        </is>
      </c>
      <c r="C495" t="n">
        <v>1</v>
      </c>
      <c r="D495" s="9" t="n">
        <v>0.001628664495114007</v>
      </c>
      <c r="E495" t="n">
        <v>494</v>
      </c>
    </row>
    <row r="496">
      <c r="A496" t="inlineStr">
        <is>
          <t>Loan_ID</t>
        </is>
      </c>
      <c r="B496" t="inlineStr">
        <is>
          <t>LP002615</t>
        </is>
      </c>
      <c r="C496" t="n">
        <v>1</v>
      </c>
      <c r="D496" s="9" t="n">
        <v>0.001628664495114007</v>
      </c>
      <c r="E496" t="n">
        <v>495</v>
      </c>
    </row>
    <row r="497">
      <c r="A497" t="inlineStr">
        <is>
          <t>Loan_ID</t>
        </is>
      </c>
      <c r="B497" t="inlineStr">
        <is>
          <t>LP002618</t>
        </is>
      </c>
      <c r="C497" t="n">
        <v>1</v>
      </c>
      <c r="D497" s="9" t="n">
        <v>0.001628664495114007</v>
      </c>
      <c r="E497" t="n">
        <v>496</v>
      </c>
    </row>
    <row r="498">
      <c r="A498" t="inlineStr">
        <is>
          <t>Loan_ID</t>
        </is>
      </c>
      <c r="B498" t="inlineStr">
        <is>
          <t>LP002619</t>
        </is>
      </c>
      <c r="C498" t="n">
        <v>1</v>
      </c>
      <c r="D498" s="9" t="n">
        <v>0.001628664495114007</v>
      </c>
      <c r="E498" t="n">
        <v>497</v>
      </c>
    </row>
    <row r="499">
      <c r="A499" t="inlineStr">
        <is>
          <t>Loan_ID</t>
        </is>
      </c>
      <c r="B499" t="inlineStr">
        <is>
          <t>LP002622</t>
        </is>
      </c>
      <c r="C499" t="n">
        <v>1</v>
      </c>
      <c r="D499" s="9" t="n">
        <v>0.001628664495114007</v>
      </c>
      <c r="E499" t="n">
        <v>498</v>
      </c>
    </row>
    <row r="500">
      <c r="A500" t="inlineStr">
        <is>
          <t>Loan_ID</t>
        </is>
      </c>
      <c r="B500" t="inlineStr">
        <is>
          <t>LP002624</t>
        </is>
      </c>
      <c r="C500" t="n">
        <v>1</v>
      </c>
      <c r="D500" s="9" t="n">
        <v>0.001628664495114007</v>
      </c>
      <c r="E500" t="n">
        <v>499</v>
      </c>
    </row>
    <row r="501">
      <c r="A501" t="inlineStr">
        <is>
          <t>Loan_ID</t>
        </is>
      </c>
      <c r="B501" t="inlineStr">
        <is>
          <t>LP002625</t>
        </is>
      </c>
      <c r="C501" t="n">
        <v>1</v>
      </c>
      <c r="D501" s="9" t="n">
        <v>0.001628664495114007</v>
      </c>
      <c r="E501" t="n">
        <v>500</v>
      </c>
    </row>
    <row r="502">
      <c r="A502" t="inlineStr">
        <is>
          <t>Loan_ID</t>
        </is>
      </c>
      <c r="B502" t="inlineStr">
        <is>
          <t>LP002626</t>
        </is>
      </c>
      <c r="C502" t="n">
        <v>1</v>
      </c>
      <c r="D502" s="9" t="n">
        <v>0.001628664495114007</v>
      </c>
      <c r="E502" t="n">
        <v>501</v>
      </c>
    </row>
    <row r="503">
      <c r="A503" t="inlineStr">
        <is>
          <t>Loan_ID</t>
        </is>
      </c>
      <c r="B503" t="inlineStr">
        <is>
          <t>LP002634</t>
        </is>
      </c>
      <c r="C503" t="n">
        <v>1</v>
      </c>
      <c r="D503" s="9" t="n">
        <v>0.001628664495114007</v>
      </c>
      <c r="E503" t="n">
        <v>502</v>
      </c>
    </row>
    <row r="504">
      <c r="A504" t="inlineStr">
        <is>
          <t>Loan_ID</t>
        </is>
      </c>
      <c r="B504" t="inlineStr">
        <is>
          <t>LP002585</t>
        </is>
      </c>
      <c r="C504" t="n">
        <v>1</v>
      </c>
      <c r="D504" s="9" t="n">
        <v>0.001628664495114007</v>
      </c>
      <c r="E504" t="n">
        <v>503</v>
      </c>
    </row>
    <row r="505">
      <c r="A505" t="inlineStr">
        <is>
          <t>Loan_ID</t>
        </is>
      </c>
      <c r="B505" t="inlineStr">
        <is>
          <t>LP002586</t>
        </is>
      </c>
      <c r="C505" t="n">
        <v>1</v>
      </c>
      <c r="D505" s="9" t="n">
        <v>0.001628664495114007</v>
      </c>
      <c r="E505" t="n">
        <v>504</v>
      </c>
    </row>
    <row r="506">
      <c r="A506" t="inlineStr">
        <is>
          <t>Loan_ID</t>
        </is>
      </c>
      <c r="B506" t="inlineStr">
        <is>
          <t>LP002587</t>
        </is>
      </c>
      <c r="C506" t="n">
        <v>1</v>
      </c>
      <c r="D506" s="9" t="n">
        <v>0.001628664495114007</v>
      </c>
      <c r="E506" t="n">
        <v>505</v>
      </c>
    </row>
    <row r="507">
      <c r="A507" t="inlineStr">
        <is>
          <t>Loan_ID</t>
        </is>
      </c>
      <c r="B507" t="inlineStr">
        <is>
          <t>LP002588</t>
        </is>
      </c>
      <c r="C507" t="n">
        <v>1</v>
      </c>
      <c r="D507" s="9" t="n">
        <v>0.001628664495114007</v>
      </c>
      <c r="E507" t="n">
        <v>506</v>
      </c>
    </row>
    <row r="508">
      <c r="A508" t="inlineStr">
        <is>
          <t>Loan_ID</t>
        </is>
      </c>
      <c r="B508" t="inlineStr">
        <is>
          <t>LP002600</t>
        </is>
      </c>
      <c r="C508" t="n">
        <v>1</v>
      </c>
      <c r="D508" s="9" t="n">
        <v>0.001628664495114007</v>
      </c>
      <c r="E508" t="n">
        <v>507</v>
      </c>
    </row>
    <row r="509">
      <c r="A509" t="inlineStr">
        <is>
          <t>Loan_ID</t>
        </is>
      </c>
      <c r="B509" t="inlineStr">
        <is>
          <t>LP002602</t>
        </is>
      </c>
      <c r="C509" t="n">
        <v>1</v>
      </c>
      <c r="D509" s="9" t="n">
        <v>0.001628664495114007</v>
      </c>
      <c r="E509" t="n">
        <v>508</v>
      </c>
    </row>
    <row r="510">
      <c r="A510" t="inlineStr">
        <is>
          <t>Loan_ID</t>
        </is>
      </c>
      <c r="B510" t="inlineStr">
        <is>
          <t>LP002603</t>
        </is>
      </c>
      <c r="C510" t="n">
        <v>1</v>
      </c>
      <c r="D510" s="9" t="n">
        <v>0.001628664495114007</v>
      </c>
      <c r="E510" t="n">
        <v>509</v>
      </c>
    </row>
    <row r="511">
      <c r="A511" t="inlineStr">
        <is>
          <t>Loan_ID</t>
        </is>
      </c>
      <c r="B511" t="inlineStr">
        <is>
          <t>LP002606</t>
        </is>
      </c>
      <c r="C511" t="n">
        <v>1</v>
      </c>
      <c r="D511" s="9" t="n">
        <v>0.001628664495114007</v>
      </c>
      <c r="E511" t="n">
        <v>510</v>
      </c>
    </row>
    <row r="512">
      <c r="A512" t="inlineStr">
        <is>
          <t>Loan_ID</t>
        </is>
      </c>
      <c r="B512" t="inlineStr">
        <is>
          <t>LP002545</t>
        </is>
      </c>
      <c r="C512" t="n">
        <v>1</v>
      </c>
      <c r="D512" s="9" t="n">
        <v>0.001628664495114007</v>
      </c>
      <c r="E512" t="n">
        <v>511</v>
      </c>
    </row>
    <row r="513">
      <c r="A513" t="inlineStr">
        <is>
          <t>Loan_ID</t>
        </is>
      </c>
      <c r="B513" t="inlineStr">
        <is>
          <t>LP002547</t>
        </is>
      </c>
      <c r="C513" t="n">
        <v>1</v>
      </c>
      <c r="D513" s="9" t="n">
        <v>0.001628664495114007</v>
      </c>
      <c r="E513" t="n">
        <v>512</v>
      </c>
    </row>
    <row r="514">
      <c r="A514" t="inlineStr">
        <is>
          <t>Loan_ID</t>
        </is>
      </c>
      <c r="B514" t="inlineStr">
        <is>
          <t>LP002555</t>
        </is>
      </c>
      <c r="C514" t="n">
        <v>1</v>
      </c>
      <c r="D514" s="9" t="n">
        <v>0.001628664495114007</v>
      </c>
      <c r="E514" t="n">
        <v>513</v>
      </c>
    </row>
    <row r="515">
      <c r="A515" t="inlineStr">
        <is>
          <t>Loan_ID</t>
        </is>
      </c>
      <c r="B515" t="inlineStr">
        <is>
          <t>LP002556</t>
        </is>
      </c>
      <c r="C515" t="n">
        <v>1</v>
      </c>
      <c r="D515" s="9" t="n">
        <v>0.001628664495114007</v>
      </c>
      <c r="E515" t="n">
        <v>514</v>
      </c>
    </row>
    <row r="516">
      <c r="A516" t="inlineStr">
        <is>
          <t>Loan_ID</t>
        </is>
      </c>
      <c r="B516" t="inlineStr">
        <is>
          <t>LP002560</t>
        </is>
      </c>
      <c r="C516" t="n">
        <v>1</v>
      </c>
      <c r="D516" s="9" t="n">
        <v>0.001628664495114007</v>
      </c>
      <c r="E516" t="n">
        <v>515</v>
      </c>
    </row>
    <row r="517">
      <c r="A517" t="inlineStr">
        <is>
          <t>Loan_ID</t>
        </is>
      </c>
      <c r="B517" t="inlineStr">
        <is>
          <t>LP002562</t>
        </is>
      </c>
      <c r="C517" t="n">
        <v>1</v>
      </c>
      <c r="D517" s="9" t="n">
        <v>0.001628664495114007</v>
      </c>
      <c r="E517" t="n">
        <v>516</v>
      </c>
    </row>
    <row r="518">
      <c r="A518" t="inlineStr">
        <is>
          <t>Loan_ID</t>
        </is>
      </c>
      <c r="B518" t="inlineStr">
        <is>
          <t>LP002571</t>
        </is>
      </c>
      <c r="C518" t="n">
        <v>1</v>
      </c>
      <c r="D518" s="9" t="n">
        <v>0.001628664495114007</v>
      </c>
      <c r="E518" t="n">
        <v>517</v>
      </c>
    </row>
    <row r="519">
      <c r="A519" t="inlineStr">
        <is>
          <t>Loan_ID</t>
        </is>
      </c>
      <c r="B519" t="inlineStr">
        <is>
          <t>LP002582</t>
        </is>
      </c>
      <c r="C519" t="n">
        <v>1</v>
      </c>
      <c r="D519" s="9" t="n">
        <v>0.001628664495114007</v>
      </c>
      <c r="E519" t="n">
        <v>518</v>
      </c>
    </row>
    <row r="520">
      <c r="A520" t="inlineStr">
        <is>
          <t>Loan_ID</t>
        </is>
      </c>
      <c r="B520" t="inlineStr">
        <is>
          <t>LP002753</t>
        </is>
      </c>
      <c r="C520" t="n">
        <v>1</v>
      </c>
      <c r="D520" s="9" t="n">
        <v>0.001628664495114007</v>
      </c>
      <c r="E520" t="n">
        <v>519</v>
      </c>
    </row>
    <row r="521">
      <c r="A521" t="inlineStr">
        <is>
          <t>Loan_ID</t>
        </is>
      </c>
      <c r="B521" t="inlineStr">
        <is>
          <t>LP002755</t>
        </is>
      </c>
      <c r="C521" t="n">
        <v>1</v>
      </c>
      <c r="D521" s="9" t="n">
        <v>0.001628664495114007</v>
      </c>
      <c r="E521" t="n">
        <v>520</v>
      </c>
    </row>
    <row r="522">
      <c r="A522" t="inlineStr">
        <is>
          <t>Loan_ID</t>
        </is>
      </c>
      <c r="B522" t="inlineStr">
        <is>
          <t>LP002757</t>
        </is>
      </c>
      <c r="C522" t="n">
        <v>1</v>
      </c>
      <c r="D522" s="9" t="n">
        <v>0.001628664495114007</v>
      </c>
      <c r="E522" t="n">
        <v>521</v>
      </c>
    </row>
    <row r="523">
      <c r="A523" t="inlineStr">
        <is>
          <t>Loan_ID</t>
        </is>
      </c>
      <c r="B523" t="inlineStr">
        <is>
          <t>LP002767</t>
        </is>
      </c>
      <c r="C523" t="n">
        <v>1</v>
      </c>
      <c r="D523" s="9" t="n">
        <v>0.001628664495114007</v>
      </c>
      <c r="E523" t="n">
        <v>522</v>
      </c>
    </row>
    <row r="524">
      <c r="A524" t="inlineStr">
        <is>
          <t>Loan_ID</t>
        </is>
      </c>
      <c r="B524" t="inlineStr">
        <is>
          <t>LP002768</t>
        </is>
      </c>
      <c r="C524" t="n">
        <v>1</v>
      </c>
      <c r="D524" s="9" t="n">
        <v>0.001628664495114007</v>
      </c>
      <c r="E524" t="n">
        <v>523</v>
      </c>
    </row>
    <row r="525">
      <c r="A525" t="inlineStr">
        <is>
          <t>Loan_ID</t>
        </is>
      </c>
      <c r="B525" t="inlineStr">
        <is>
          <t>LP002772</t>
        </is>
      </c>
      <c r="C525" t="n">
        <v>1</v>
      </c>
      <c r="D525" s="9" t="n">
        <v>0.001628664495114007</v>
      </c>
      <c r="E525" t="n">
        <v>524</v>
      </c>
    </row>
    <row r="526">
      <c r="A526" t="inlineStr">
        <is>
          <t>Loan_ID</t>
        </is>
      </c>
      <c r="B526" t="inlineStr">
        <is>
          <t>LP002776</t>
        </is>
      </c>
      <c r="C526" t="n">
        <v>1</v>
      </c>
      <c r="D526" s="9" t="n">
        <v>0.001628664495114007</v>
      </c>
      <c r="E526" t="n">
        <v>525</v>
      </c>
    </row>
    <row r="527">
      <c r="A527" t="inlineStr">
        <is>
          <t>Loan_ID</t>
        </is>
      </c>
      <c r="B527" t="inlineStr">
        <is>
          <t>LP002777</t>
        </is>
      </c>
      <c r="C527" t="n">
        <v>1</v>
      </c>
      <c r="D527" s="9" t="n">
        <v>0.001628664495114007</v>
      </c>
      <c r="E527" t="n">
        <v>526</v>
      </c>
    </row>
    <row r="528">
      <c r="A528" t="inlineStr">
        <is>
          <t>Loan_ID</t>
        </is>
      </c>
      <c r="B528" t="inlineStr">
        <is>
          <t>LP002731</t>
        </is>
      </c>
      <c r="C528" t="n">
        <v>1</v>
      </c>
      <c r="D528" s="9" t="n">
        <v>0.001628664495114007</v>
      </c>
      <c r="E528" t="n">
        <v>527</v>
      </c>
    </row>
    <row r="529">
      <c r="A529" t="inlineStr">
        <is>
          <t>Loan_ID</t>
        </is>
      </c>
      <c r="B529" t="inlineStr">
        <is>
          <t>LP002732</t>
        </is>
      </c>
      <c r="C529" t="n">
        <v>1</v>
      </c>
      <c r="D529" s="9" t="n">
        <v>0.001628664495114007</v>
      </c>
      <c r="E529" t="n">
        <v>528</v>
      </c>
    </row>
    <row r="530">
      <c r="A530" t="inlineStr">
        <is>
          <t>Loan_ID</t>
        </is>
      </c>
      <c r="B530" t="inlineStr">
        <is>
          <t>LP002734</t>
        </is>
      </c>
      <c r="C530" t="n">
        <v>1</v>
      </c>
      <c r="D530" s="9" t="n">
        <v>0.001628664495114007</v>
      </c>
      <c r="E530" t="n">
        <v>529</v>
      </c>
    </row>
    <row r="531">
      <c r="A531" t="inlineStr">
        <is>
          <t>Loan_ID</t>
        </is>
      </c>
      <c r="B531" t="inlineStr">
        <is>
          <t>LP002738</t>
        </is>
      </c>
      <c r="C531" t="n">
        <v>1</v>
      </c>
      <c r="D531" s="9" t="n">
        <v>0.001628664495114007</v>
      </c>
      <c r="E531" t="n">
        <v>530</v>
      </c>
    </row>
    <row r="532">
      <c r="A532" t="inlineStr">
        <is>
          <t>Loan_ID</t>
        </is>
      </c>
      <c r="B532" t="inlineStr">
        <is>
          <t>LP002739</t>
        </is>
      </c>
      <c r="C532" t="n">
        <v>1</v>
      </c>
      <c r="D532" s="9" t="n">
        <v>0.001628664495114007</v>
      </c>
      <c r="E532" t="n">
        <v>531</v>
      </c>
    </row>
    <row r="533">
      <c r="A533" t="inlineStr">
        <is>
          <t>Loan_ID</t>
        </is>
      </c>
      <c r="B533" t="inlineStr">
        <is>
          <t>LP002740</t>
        </is>
      </c>
      <c r="C533" t="n">
        <v>1</v>
      </c>
      <c r="D533" s="9" t="n">
        <v>0.001628664495114007</v>
      </c>
      <c r="E533" t="n">
        <v>532</v>
      </c>
    </row>
    <row r="534">
      <c r="A534" t="inlineStr">
        <is>
          <t>Loan_ID</t>
        </is>
      </c>
      <c r="B534" t="inlineStr">
        <is>
          <t>LP002741</t>
        </is>
      </c>
      <c r="C534" t="n">
        <v>1</v>
      </c>
      <c r="D534" s="9" t="n">
        <v>0.001628664495114007</v>
      </c>
      <c r="E534" t="n">
        <v>533</v>
      </c>
    </row>
    <row r="535">
      <c r="A535" t="inlineStr">
        <is>
          <t>Loan_ID</t>
        </is>
      </c>
      <c r="B535" t="inlineStr">
        <is>
          <t>LP002743</t>
        </is>
      </c>
      <c r="C535" t="n">
        <v>1</v>
      </c>
      <c r="D535" s="9" t="n">
        <v>0.001628664495114007</v>
      </c>
      <c r="E535" t="n">
        <v>534</v>
      </c>
    </row>
    <row r="536">
      <c r="A536" t="inlineStr">
        <is>
          <t>Loan_ID</t>
        </is>
      </c>
      <c r="B536" t="inlineStr">
        <is>
          <t>LP002705</t>
        </is>
      </c>
      <c r="C536" t="n">
        <v>1</v>
      </c>
      <c r="D536" s="9" t="n">
        <v>0.001628664495114007</v>
      </c>
      <c r="E536" t="n">
        <v>535</v>
      </c>
    </row>
    <row r="537">
      <c r="A537" t="inlineStr">
        <is>
          <t>Loan_ID</t>
        </is>
      </c>
      <c r="B537" t="inlineStr">
        <is>
          <t>LP002706</t>
        </is>
      </c>
      <c r="C537" t="n">
        <v>1</v>
      </c>
      <c r="D537" s="9" t="n">
        <v>0.001628664495114007</v>
      </c>
      <c r="E537" t="n">
        <v>536</v>
      </c>
    </row>
    <row r="538">
      <c r="A538" t="inlineStr">
        <is>
          <t>Loan_ID</t>
        </is>
      </c>
      <c r="B538" t="inlineStr">
        <is>
          <t>LP002714</t>
        </is>
      </c>
      <c r="C538" t="n">
        <v>1</v>
      </c>
      <c r="D538" s="9" t="n">
        <v>0.001628664495114007</v>
      </c>
      <c r="E538" t="n">
        <v>537</v>
      </c>
    </row>
    <row r="539">
      <c r="A539" t="inlineStr">
        <is>
          <t>Loan_ID</t>
        </is>
      </c>
      <c r="B539" t="inlineStr">
        <is>
          <t>LP002716</t>
        </is>
      </c>
      <c r="C539" t="n">
        <v>1</v>
      </c>
      <c r="D539" s="9" t="n">
        <v>0.001628664495114007</v>
      </c>
      <c r="E539" t="n">
        <v>538</v>
      </c>
    </row>
    <row r="540">
      <c r="A540" t="inlineStr">
        <is>
          <t>Loan_ID</t>
        </is>
      </c>
      <c r="B540" t="inlineStr">
        <is>
          <t>LP002717</t>
        </is>
      </c>
      <c r="C540" t="n">
        <v>1</v>
      </c>
      <c r="D540" s="9" t="n">
        <v>0.001628664495114007</v>
      </c>
      <c r="E540" t="n">
        <v>539</v>
      </c>
    </row>
    <row r="541">
      <c r="A541" t="inlineStr">
        <is>
          <t>Loan_ID</t>
        </is>
      </c>
      <c r="B541" t="inlineStr">
        <is>
          <t>LP002720</t>
        </is>
      </c>
      <c r="C541" t="n">
        <v>1</v>
      </c>
      <c r="D541" s="9" t="n">
        <v>0.001628664495114007</v>
      </c>
      <c r="E541" t="n">
        <v>540</v>
      </c>
    </row>
    <row r="542">
      <c r="A542" t="inlineStr">
        <is>
          <t>Loan_ID</t>
        </is>
      </c>
      <c r="B542" t="inlineStr">
        <is>
          <t>LP002723</t>
        </is>
      </c>
      <c r="C542" t="n">
        <v>1</v>
      </c>
      <c r="D542" s="9" t="n">
        <v>0.001628664495114007</v>
      </c>
      <c r="E542" t="n">
        <v>541</v>
      </c>
    </row>
    <row r="543">
      <c r="A543" t="inlineStr">
        <is>
          <t>Loan_ID</t>
        </is>
      </c>
      <c r="B543" t="inlineStr">
        <is>
          <t>LP002729</t>
        </is>
      </c>
      <c r="C543" t="n">
        <v>1</v>
      </c>
      <c r="D543" s="9" t="n">
        <v>0.001628664495114007</v>
      </c>
      <c r="E543" t="n">
        <v>542</v>
      </c>
    </row>
    <row r="544">
      <c r="A544" t="inlineStr">
        <is>
          <t>Loan_ID</t>
        </is>
      </c>
      <c r="B544" t="inlineStr">
        <is>
          <t>LP002683</t>
        </is>
      </c>
      <c r="C544" t="n">
        <v>1</v>
      </c>
      <c r="D544" s="9" t="n">
        <v>0.001628664495114007</v>
      </c>
      <c r="E544" t="n">
        <v>543</v>
      </c>
    </row>
    <row r="545">
      <c r="A545" t="inlineStr">
        <is>
          <t>Loan_ID</t>
        </is>
      </c>
      <c r="B545" t="inlineStr">
        <is>
          <t>LP002684</t>
        </is>
      </c>
      <c r="C545" t="n">
        <v>1</v>
      </c>
      <c r="D545" s="9" t="n">
        <v>0.001628664495114007</v>
      </c>
      <c r="E545" t="n">
        <v>544</v>
      </c>
    </row>
    <row r="546">
      <c r="A546" t="inlineStr">
        <is>
          <t>Loan_ID</t>
        </is>
      </c>
      <c r="B546" t="inlineStr">
        <is>
          <t>LP002689</t>
        </is>
      </c>
      <c r="C546" t="n">
        <v>1</v>
      </c>
      <c r="D546" s="9" t="n">
        <v>0.001628664495114007</v>
      </c>
      <c r="E546" t="n">
        <v>545</v>
      </c>
    </row>
    <row r="547">
      <c r="A547" t="inlineStr">
        <is>
          <t>Loan_ID</t>
        </is>
      </c>
      <c r="B547" t="inlineStr">
        <is>
          <t>LP002690</t>
        </is>
      </c>
      <c r="C547" t="n">
        <v>1</v>
      </c>
      <c r="D547" s="9" t="n">
        <v>0.001628664495114007</v>
      </c>
      <c r="E547" t="n">
        <v>546</v>
      </c>
    </row>
    <row r="548">
      <c r="A548" t="inlineStr">
        <is>
          <t>Loan_ID</t>
        </is>
      </c>
      <c r="B548" t="inlineStr">
        <is>
          <t>LP002692</t>
        </is>
      </c>
      <c r="C548" t="n">
        <v>1</v>
      </c>
      <c r="D548" s="9" t="n">
        <v>0.001628664495114007</v>
      </c>
      <c r="E548" t="n">
        <v>547</v>
      </c>
    </row>
    <row r="549">
      <c r="A549" t="inlineStr">
        <is>
          <t>Loan_ID</t>
        </is>
      </c>
      <c r="B549" t="inlineStr">
        <is>
          <t>LP002693</t>
        </is>
      </c>
      <c r="C549" t="n">
        <v>1</v>
      </c>
      <c r="D549" s="9" t="n">
        <v>0.001628664495114007</v>
      </c>
      <c r="E549" t="n">
        <v>548</v>
      </c>
    </row>
    <row r="550">
      <c r="A550" t="inlineStr">
        <is>
          <t>Loan_ID</t>
        </is>
      </c>
      <c r="B550" t="inlineStr">
        <is>
          <t>LP002697</t>
        </is>
      </c>
      <c r="C550" t="n">
        <v>1</v>
      </c>
      <c r="D550" s="9" t="n">
        <v>0.001628664495114007</v>
      </c>
      <c r="E550" t="n">
        <v>549</v>
      </c>
    </row>
    <row r="551">
      <c r="A551" t="inlineStr">
        <is>
          <t>Loan_ID</t>
        </is>
      </c>
      <c r="B551" t="inlineStr">
        <is>
          <t>LP002699</t>
        </is>
      </c>
      <c r="C551" t="n">
        <v>1</v>
      </c>
      <c r="D551" s="9" t="n">
        <v>0.001628664495114007</v>
      </c>
      <c r="E551" t="n">
        <v>550</v>
      </c>
    </row>
    <row r="552">
      <c r="A552" t="inlineStr">
        <is>
          <t>Loan_ID</t>
        </is>
      </c>
      <c r="B552" t="inlineStr">
        <is>
          <t>LP002961</t>
        </is>
      </c>
      <c r="C552" t="n">
        <v>1</v>
      </c>
      <c r="D552" s="9" t="n">
        <v>0.001628664495114007</v>
      </c>
      <c r="E552" t="n">
        <v>551</v>
      </c>
    </row>
    <row r="553">
      <c r="A553" t="inlineStr">
        <is>
          <t>Loan_ID</t>
        </is>
      </c>
      <c r="B553" t="inlineStr">
        <is>
          <t>LP002964</t>
        </is>
      </c>
      <c r="C553" t="n">
        <v>1</v>
      </c>
      <c r="D553" s="9" t="n">
        <v>0.001628664495114007</v>
      </c>
      <c r="E553" t="n">
        <v>552</v>
      </c>
    </row>
    <row r="554">
      <c r="A554" t="inlineStr">
        <is>
          <t>Loan_ID</t>
        </is>
      </c>
      <c r="B554" t="inlineStr">
        <is>
          <t>LP002974</t>
        </is>
      </c>
      <c r="C554" t="n">
        <v>1</v>
      </c>
      <c r="D554" s="9" t="n">
        <v>0.001628664495114007</v>
      </c>
      <c r="E554" t="n">
        <v>553</v>
      </c>
    </row>
    <row r="555">
      <c r="A555" t="inlineStr">
        <is>
          <t>Loan_ID</t>
        </is>
      </c>
      <c r="B555" t="inlineStr">
        <is>
          <t>LP002978</t>
        </is>
      </c>
      <c r="C555" t="n">
        <v>1</v>
      </c>
      <c r="D555" s="9" t="n">
        <v>0.001628664495114007</v>
      </c>
      <c r="E555" t="n">
        <v>554</v>
      </c>
    </row>
    <row r="556">
      <c r="A556" t="inlineStr">
        <is>
          <t>Loan_ID</t>
        </is>
      </c>
      <c r="B556" t="inlineStr">
        <is>
          <t>LP002979</t>
        </is>
      </c>
      <c r="C556" t="n">
        <v>1</v>
      </c>
      <c r="D556" s="9" t="n">
        <v>0.001628664495114007</v>
      </c>
      <c r="E556" t="n">
        <v>555</v>
      </c>
    </row>
    <row r="557">
      <c r="A557" t="inlineStr">
        <is>
          <t>Loan_ID</t>
        </is>
      </c>
      <c r="B557" t="inlineStr">
        <is>
          <t>LP002983</t>
        </is>
      </c>
      <c r="C557" t="n">
        <v>1</v>
      </c>
      <c r="D557" s="9" t="n">
        <v>0.001628664495114007</v>
      </c>
      <c r="E557" t="n">
        <v>556</v>
      </c>
    </row>
    <row r="558">
      <c r="A558" t="inlineStr">
        <is>
          <t>Loan_ID</t>
        </is>
      </c>
      <c r="B558" t="inlineStr">
        <is>
          <t>LP002984</t>
        </is>
      </c>
      <c r="C558" t="n">
        <v>1</v>
      </c>
      <c r="D558" s="9" t="n">
        <v>0.001628664495114007</v>
      </c>
      <c r="E558" t="n">
        <v>557</v>
      </c>
    </row>
    <row r="559">
      <c r="A559" t="inlineStr">
        <is>
          <t>Loan_ID</t>
        </is>
      </c>
      <c r="B559" t="inlineStr">
        <is>
          <t>LP001011</t>
        </is>
      </c>
      <c r="C559" t="n">
        <v>1</v>
      </c>
      <c r="D559" s="9" t="n">
        <v>0.001628664495114007</v>
      </c>
      <c r="E559" t="n">
        <v>558</v>
      </c>
    </row>
    <row r="560">
      <c r="A560" t="inlineStr">
        <is>
          <t>Loan_ID</t>
        </is>
      </c>
      <c r="B560" t="inlineStr">
        <is>
          <t>LP002945</t>
        </is>
      </c>
      <c r="C560" t="n">
        <v>1</v>
      </c>
      <c r="D560" s="9" t="n">
        <v>0.001628664495114007</v>
      </c>
      <c r="E560" t="n">
        <v>559</v>
      </c>
    </row>
    <row r="561">
      <c r="A561" t="inlineStr">
        <is>
          <t>Loan_ID</t>
        </is>
      </c>
      <c r="B561" t="inlineStr">
        <is>
          <t>LP002948</t>
        </is>
      </c>
      <c r="C561" t="n">
        <v>1</v>
      </c>
      <c r="D561" s="9" t="n">
        <v>0.001628664495114007</v>
      </c>
      <c r="E561" t="n">
        <v>560</v>
      </c>
    </row>
    <row r="562">
      <c r="A562" t="inlineStr">
        <is>
          <t>Loan_ID</t>
        </is>
      </c>
      <c r="B562" t="inlineStr">
        <is>
          <t>LP002949</t>
        </is>
      </c>
      <c r="C562" t="n">
        <v>1</v>
      </c>
      <c r="D562" s="9" t="n">
        <v>0.001628664495114007</v>
      </c>
      <c r="E562" t="n">
        <v>561</v>
      </c>
    </row>
    <row r="563">
      <c r="A563" t="inlineStr">
        <is>
          <t>Loan_ID</t>
        </is>
      </c>
      <c r="B563" t="inlineStr">
        <is>
          <t>LP002950</t>
        </is>
      </c>
      <c r="C563" t="n">
        <v>1</v>
      </c>
      <c r="D563" s="9" t="n">
        <v>0.001628664495114007</v>
      </c>
      <c r="E563" t="n">
        <v>562</v>
      </c>
    </row>
    <row r="564">
      <c r="A564" t="inlineStr">
        <is>
          <t>Loan_ID</t>
        </is>
      </c>
      <c r="B564" t="inlineStr">
        <is>
          <t>LP002953</t>
        </is>
      </c>
      <c r="C564" t="n">
        <v>1</v>
      </c>
      <c r="D564" s="9" t="n">
        <v>0.001628664495114007</v>
      </c>
      <c r="E564" t="n">
        <v>563</v>
      </c>
    </row>
    <row r="565">
      <c r="A565" t="inlineStr">
        <is>
          <t>Loan_ID</t>
        </is>
      </c>
      <c r="B565" t="inlineStr">
        <is>
          <t>LP002958</t>
        </is>
      </c>
      <c r="C565" t="n">
        <v>1</v>
      </c>
      <c r="D565" s="9" t="n">
        <v>0.001628664495114007</v>
      </c>
      <c r="E565" t="n">
        <v>564</v>
      </c>
    </row>
    <row r="566">
      <c r="A566" t="inlineStr">
        <is>
          <t>Loan_ID</t>
        </is>
      </c>
      <c r="B566" t="inlineStr">
        <is>
          <t>LP002959</t>
        </is>
      </c>
      <c r="C566" t="n">
        <v>1</v>
      </c>
      <c r="D566" s="9" t="n">
        <v>0.001628664495114007</v>
      </c>
      <c r="E566" t="n">
        <v>565</v>
      </c>
    </row>
    <row r="567">
      <c r="A567" t="inlineStr">
        <is>
          <t>Loan_ID</t>
        </is>
      </c>
      <c r="B567" t="inlineStr">
        <is>
          <t>LP002960</t>
        </is>
      </c>
      <c r="C567" t="n">
        <v>1</v>
      </c>
      <c r="D567" s="9" t="n">
        <v>0.001628664495114007</v>
      </c>
      <c r="E567" t="n">
        <v>566</v>
      </c>
    </row>
    <row r="568">
      <c r="A568" t="inlineStr">
        <is>
          <t>Loan_ID</t>
        </is>
      </c>
      <c r="B568" t="inlineStr">
        <is>
          <t>LP002928</t>
        </is>
      </c>
      <c r="C568" t="n">
        <v>1</v>
      </c>
      <c r="D568" s="9" t="n">
        <v>0.001628664495114007</v>
      </c>
      <c r="E568" t="n">
        <v>567</v>
      </c>
    </row>
    <row r="569">
      <c r="A569" t="inlineStr">
        <is>
          <t>Loan_ID</t>
        </is>
      </c>
      <c r="B569" t="inlineStr">
        <is>
          <t>LP002931</t>
        </is>
      </c>
      <c r="C569" t="n">
        <v>1</v>
      </c>
      <c r="D569" s="9" t="n">
        <v>0.001628664495114007</v>
      </c>
      <c r="E569" t="n">
        <v>568</v>
      </c>
    </row>
    <row r="570">
      <c r="A570" t="inlineStr">
        <is>
          <t>Loan_ID</t>
        </is>
      </c>
      <c r="B570" t="inlineStr">
        <is>
          <t>LP002933</t>
        </is>
      </c>
      <c r="C570" t="n">
        <v>1</v>
      </c>
      <c r="D570" s="9" t="n">
        <v>0.001628664495114007</v>
      </c>
      <c r="E570" t="n">
        <v>569</v>
      </c>
    </row>
    <row r="571">
      <c r="A571" t="inlineStr">
        <is>
          <t>Loan_ID</t>
        </is>
      </c>
      <c r="B571" t="inlineStr">
        <is>
          <t>LP002936</t>
        </is>
      </c>
      <c r="C571" t="n">
        <v>1</v>
      </c>
      <c r="D571" s="9" t="n">
        <v>0.001628664495114007</v>
      </c>
      <c r="E571" t="n">
        <v>570</v>
      </c>
    </row>
    <row r="572">
      <c r="A572" t="inlineStr">
        <is>
          <t>Loan_ID</t>
        </is>
      </c>
      <c r="B572" t="inlineStr">
        <is>
          <t>LP002938</t>
        </is>
      </c>
      <c r="C572" t="n">
        <v>1</v>
      </c>
      <c r="D572" s="9" t="n">
        <v>0.001628664495114007</v>
      </c>
      <c r="E572" t="n">
        <v>571</v>
      </c>
    </row>
    <row r="573">
      <c r="A573" t="inlineStr">
        <is>
          <t>Loan_ID</t>
        </is>
      </c>
      <c r="B573" t="inlineStr">
        <is>
          <t>LP002940</t>
        </is>
      </c>
      <c r="C573" t="n">
        <v>1</v>
      </c>
      <c r="D573" s="9" t="n">
        <v>0.001628664495114007</v>
      </c>
      <c r="E573" t="n">
        <v>572</v>
      </c>
    </row>
    <row r="574">
      <c r="A574" t="inlineStr">
        <is>
          <t>Loan_ID</t>
        </is>
      </c>
      <c r="B574" t="inlineStr">
        <is>
          <t>LP002941</t>
        </is>
      </c>
      <c r="C574" t="n">
        <v>1</v>
      </c>
      <c r="D574" s="9" t="n">
        <v>0.001628664495114007</v>
      </c>
      <c r="E574" t="n">
        <v>573</v>
      </c>
    </row>
    <row r="575">
      <c r="A575" t="inlineStr">
        <is>
          <t>Loan_ID</t>
        </is>
      </c>
      <c r="B575" t="inlineStr">
        <is>
          <t>LP002943</t>
        </is>
      </c>
      <c r="C575" t="n">
        <v>1</v>
      </c>
      <c r="D575" s="9" t="n">
        <v>0.001628664495114007</v>
      </c>
      <c r="E575" t="n">
        <v>574</v>
      </c>
    </row>
    <row r="576">
      <c r="A576" t="inlineStr">
        <is>
          <t>Loan_ID</t>
        </is>
      </c>
      <c r="B576" t="inlineStr">
        <is>
          <t>LP002894</t>
        </is>
      </c>
      <c r="C576" t="n">
        <v>1</v>
      </c>
      <c r="D576" s="9" t="n">
        <v>0.001628664495114007</v>
      </c>
      <c r="E576" t="n">
        <v>575</v>
      </c>
    </row>
    <row r="577">
      <c r="A577" t="inlineStr">
        <is>
          <t>Loan_ID</t>
        </is>
      </c>
      <c r="B577" t="inlineStr">
        <is>
          <t>LP002898</t>
        </is>
      </c>
      <c r="C577" t="n">
        <v>1</v>
      </c>
      <c r="D577" s="9" t="n">
        <v>0.001628664495114007</v>
      </c>
      <c r="E577" t="n">
        <v>576</v>
      </c>
    </row>
    <row r="578">
      <c r="A578" t="inlineStr">
        <is>
          <t>Loan_ID</t>
        </is>
      </c>
      <c r="B578" t="inlineStr">
        <is>
          <t>LP002911</t>
        </is>
      </c>
      <c r="C578" t="n">
        <v>1</v>
      </c>
      <c r="D578" s="9" t="n">
        <v>0.001628664495114007</v>
      </c>
      <c r="E578" t="n">
        <v>577</v>
      </c>
    </row>
    <row r="579">
      <c r="A579" t="inlineStr">
        <is>
          <t>Loan_ID</t>
        </is>
      </c>
      <c r="B579" t="inlineStr">
        <is>
          <t>LP002912</t>
        </is>
      </c>
      <c r="C579" t="n">
        <v>1</v>
      </c>
      <c r="D579" s="9" t="n">
        <v>0.001628664495114007</v>
      </c>
      <c r="E579" t="n">
        <v>578</v>
      </c>
    </row>
    <row r="580">
      <c r="A580" t="inlineStr">
        <is>
          <t>Loan_ID</t>
        </is>
      </c>
      <c r="B580" t="inlineStr">
        <is>
          <t>LP002916</t>
        </is>
      </c>
      <c r="C580" t="n">
        <v>1</v>
      </c>
      <c r="D580" s="9" t="n">
        <v>0.001628664495114007</v>
      </c>
      <c r="E580" t="n">
        <v>579</v>
      </c>
    </row>
    <row r="581">
      <c r="A581" t="inlineStr">
        <is>
          <t>Loan_ID</t>
        </is>
      </c>
      <c r="B581" t="inlineStr">
        <is>
          <t>LP002917</t>
        </is>
      </c>
      <c r="C581" t="n">
        <v>1</v>
      </c>
      <c r="D581" s="9" t="n">
        <v>0.001628664495114007</v>
      </c>
      <c r="E581" t="n">
        <v>580</v>
      </c>
    </row>
    <row r="582">
      <c r="A582" t="inlineStr">
        <is>
          <t>Loan_ID</t>
        </is>
      </c>
      <c r="B582" t="inlineStr">
        <is>
          <t>LP002925</t>
        </is>
      </c>
      <c r="C582" t="n">
        <v>1</v>
      </c>
      <c r="D582" s="9" t="n">
        <v>0.001628664495114007</v>
      </c>
      <c r="E582" t="n">
        <v>581</v>
      </c>
    </row>
    <row r="583">
      <c r="A583" t="inlineStr">
        <is>
          <t>Loan_ID</t>
        </is>
      </c>
      <c r="B583" t="inlineStr">
        <is>
          <t>LP002926</t>
        </is>
      </c>
      <c r="C583" t="n">
        <v>1</v>
      </c>
      <c r="D583" s="9" t="n">
        <v>0.001628664495114007</v>
      </c>
      <c r="E583" t="n">
        <v>582</v>
      </c>
    </row>
    <row r="584">
      <c r="A584" t="inlineStr">
        <is>
          <t>Loan_ID</t>
        </is>
      </c>
      <c r="B584" t="inlineStr">
        <is>
          <t>LP001091</t>
        </is>
      </c>
      <c r="C584" t="n">
        <v>1</v>
      </c>
      <c r="D584" s="9" t="n">
        <v>0.001628664495114007</v>
      </c>
      <c r="E584" t="n">
        <v>583</v>
      </c>
    </row>
    <row r="585">
      <c r="A585" t="inlineStr">
        <is>
          <t>Loan_ID</t>
        </is>
      </c>
      <c r="B585" t="inlineStr">
        <is>
          <t>LP001095</t>
        </is>
      </c>
      <c r="C585" t="n">
        <v>1</v>
      </c>
      <c r="D585" s="9" t="n">
        <v>0.001628664495114007</v>
      </c>
      <c r="E585" t="n">
        <v>584</v>
      </c>
    </row>
    <row r="586">
      <c r="A586" t="inlineStr">
        <is>
          <t>Loan_ID</t>
        </is>
      </c>
      <c r="B586" t="inlineStr">
        <is>
          <t>LP001097</t>
        </is>
      </c>
      <c r="C586" t="n">
        <v>1</v>
      </c>
      <c r="D586" s="9" t="n">
        <v>0.001628664495114007</v>
      </c>
      <c r="E586" t="n">
        <v>585</v>
      </c>
    </row>
    <row r="587">
      <c r="A587" t="inlineStr">
        <is>
          <t>Loan_ID</t>
        </is>
      </c>
      <c r="B587" t="inlineStr">
        <is>
          <t>LP001098</t>
        </is>
      </c>
      <c r="C587" t="n">
        <v>1</v>
      </c>
      <c r="D587" s="9" t="n">
        <v>0.001628664495114007</v>
      </c>
      <c r="E587" t="n">
        <v>586</v>
      </c>
    </row>
    <row r="588">
      <c r="A588" t="inlineStr">
        <is>
          <t>Loan_ID</t>
        </is>
      </c>
      <c r="B588" t="inlineStr">
        <is>
          <t>LP001100</t>
        </is>
      </c>
      <c r="C588" t="n">
        <v>1</v>
      </c>
      <c r="D588" s="9" t="n">
        <v>0.001628664495114007</v>
      </c>
      <c r="E588" t="n">
        <v>587</v>
      </c>
    </row>
    <row r="589">
      <c r="A589" t="inlineStr">
        <is>
          <t>Loan_ID</t>
        </is>
      </c>
      <c r="B589" t="inlineStr">
        <is>
          <t>LP001106</t>
        </is>
      </c>
      <c r="C589" t="n">
        <v>1</v>
      </c>
      <c r="D589" s="9" t="n">
        <v>0.001628664495114007</v>
      </c>
      <c r="E589" t="n">
        <v>588</v>
      </c>
    </row>
    <row r="590">
      <c r="A590" t="inlineStr">
        <is>
          <t>Loan_ID</t>
        </is>
      </c>
      <c r="B590" t="inlineStr">
        <is>
          <t>LP001109</t>
        </is>
      </c>
      <c r="C590" t="n">
        <v>1</v>
      </c>
      <c r="D590" s="9" t="n">
        <v>0.001628664495114007</v>
      </c>
      <c r="E590" t="n">
        <v>589</v>
      </c>
    </row>
    <row r="591">
      <c r="A591" t="inlineStr">
        <is>
          <t>Loan_ID</t>
        </is>
      </c>
      <c r="B591" t="inlineStr">
        <is>
          <t>LP001112</t>
        </is>
      </c>
      <c r="C591" t="n">
        <v>1</v>
      </c>
      <c r="D591" s="9" t="n">
        <v>0.001628664495114007</v>
      </c>
      <c r="E591" t="n">
        <v>590</v>
      </c>
    </row>
    <row r="592">
      <c r="A592" t="inlineStr">
        <is>
          <t>Loan_ID</t>
        </is>
      </c>
      <c r="B592" t="inlineStr">
        <is>
          <t>LP001047</t>
        </is>
      </c>
      <c r="C592" t="n">
        <v>1</v>
      </c>
      <c r="D592" s="9" t="n">
        <v>0.001628664495114007</v>
      </c>
      <c r="E592" t="n">
        <v>591</v>
      </c>
    </row>
    <row r="593">
      <c r="A593" t="inlineStr">
        <is>
          <t>Loan_ID</t>
        </is>
      </c>
      <c r="B593" t="inlineStr">
        <is>
          <t>LP001050</t>
        </is>
      </c>
      <c r="C593" t="n">
        <v>1</v>
      </c>
      <c r="D593" s="9" t="n">
        <v>0.001628664495114007</v>
      </c>
      <c r="E593" t="n">
        <v>592</v>
      </c>
    </row>
    <row r="594">
      <c r="A594" t="inlineStr">
        <is>
          <t>Loan_ID</t>
        </is>
      </c>
      <c r="B594" t="inlineStr">
        <is>
          <t>LP001052</t>
        </is>
      </c>
      <c r="C594" t="n">
        <v>1</v>
      </c>
      <c r="D594" s="9" t="n">
        <v>0.001628664495114007</v>
      </c>
      <c r="E594" t="n">
        <v>593</v>
      </c>
    </row>
    <row r="595">
      <c r="A595" t="inlineStr">
        <is>
          <t>Loan_ID</t>
        </is>
      </c>
      <c r="B595" t="inlineStr">
        <is>
          <t>LP001066</t>
        </is>
      </c>
      <c r="C595" t="n">
        <v>1</v>
      </c>
      <c r="D595" s="9" t="n">
        <v>0.001628664495114007</v>
      </c>
      <c r="E595" t="n">
        <v>594</v>
      </c>
    </row>
    <row r="596">
      <c r="A596" t="inlineStr">
        <is>
          <t>Loan_ID</t>
        </is>
      </c>
      <c r="B596" t="inlineStr">
        <is>
          <t>LP001068</t>
        </is>
      </c>
      <c r="C596" t="n">
        <v>1</v>
      </c>
      <c r="D596" s="9" t="n">
        <v>0.001628664495114007</v>
      </c>
      <c r="E596" t="n">
        <v>595</v>
      </c>
    </row>
    <row r="597">
      <c r="A597" t="inlineStr">
        <is>
          <t>Loan_ID</t>
        </is>
      </c>
      <c r="B597" t="inlineStr">
        <is>
          <t>LP001073</t>
        </is>
      </c>
      <c r="C597" t="n">
        <v>1</v>
      </c>
      <c r="D597" s="9" t="n">
        <v>0.001628664495114007</v>
      </c>
      <c r="E597" t="n">
        <v>596</v>
      </c>
    </row>
    <row r="598">
      <c r="A598" t="inlineStr">
        <is>
          <t>Loan_ID</t>
        </is>
      </c>
      <c r="B598" t="inlineStr">
        <is>
          <t>LP001086</t>
        </is>
      </c>
      <c r="C598" t="n">
        <v>1</v>
      </c>
      <c r="D598" s="9" t="n">
        <v>0.001628664495114007</v>
      </c>
      <c r="E598" t="n">
        <v>597</v>
      </c>
    </row>
    <row r="599">
      <c r="A599" t="inlineStr">
        <is>
          <t>Loan_ID</t>
        </is>
      </c>
      <c r="B599" t="inlineStr">
        <is>
          <t>LP001087</t>
        </is>
      </c>
      <c r="C599" t="n">
        <v>1</v>
      </c>
      <c r="D599" s="9" t="n">
        <v>0.001628664495114007</v>
      </c>
      <c r="E599" t="n">
        <v>598</v>
      </c>
    </row>
    <row r="600">
      <c r="A600" t="inlineStr">
        <is>
          <t>Loan_ID</t>
        </is>
      </c>
      <c r="B600" t="inlineStr">
        <is>
          <t>LP001030</t>
        </is>
      </c>
      <c r="C600" t="n">
        <v>1</v>
      </c>
      <c r="D600" s="9" t="n">
        <v>0.001628664495114007</v>
      </c>
      <c r="E600" t="n">
        <v>599</v>
      </c>
    </row>
    <row r="601">
      <c r="A601" t="inlineStr">
        <is>
          <t>Loan_ID</t>
        </is>
      </c>
      <c r="B601" t="inlineStr">
        <is>
          <t>LP001032</t>
        </is>
      </c>
      <c r="C601" t="n">
        <v>1</v>
      </c>
      <c r="D601" s="9" t="n">
        <v>0.001628664495114007</v>
      </c>
      <c r="E601" t="n">
        <v>600</v>
      </c>
    </row>
    <row r="602">
      <c r="A602" t="inlineStr">
        <is>
          <t>Loan_ID</t>
        </is>
      </c>
      <c r="B602" t="inlineStr">
        <is>
          <t>LP001034</t>
        </is>
      </c>
      <c r="C602" t="n">
        <v>1</v>
      </c>
      <c r="D602" s="9" t="n">
        <v>0.001628664495114007</v>
      </c>
      <c r="E602" t="n">
        <v>601</v>
      </c>
    </row>
    <row r="603">
      <c r="A603" t="inlineStr">
        <is>
          <t>Loan_ID</t>
        </is>
      </c>
      <c r="B603" t="inlineStr">
        <is>
          <t>LP001036</t>
        </is>
      </c>
      <c r="C603" t="n">
        <v>1</v>
      </c>
      <c r="D603" s="9" t="n">
        <v>0.001628664495114007</v>
      </c>
      <c r="E603" t="n">
        <v>602</v>
      </c>
    </row>
    <row r="604">
      <c r="A604" t="inlineStr">
        <is>
          <t>Loan_ID</t>
        </is>
      </c>
      <c r="B604" t="inlineStr">
        <is>
          <t>LP001038</t>
        </is>
      </c>
      <c r="C604" t="n">
        <v>1</v>
      </c>
      <c r="D604" s="9" t="n">
        <v>0.001628664495114007</v>
      </c>
      <c r="E604" t="n">
        <v>603</v>
      </c>
    </row>
    <row r="605">
      <c r="A605" t="inlineStr">
        <is>
          <t>Loan_ID</t>
        </is>
      </c>
      <c r="B605" t="inlineStr">
        <is>
          <t>LP001041</t>
        </is>
      </c>
      <c r="C605" t="n">
        <v>1</v>
      </c>
      <c r="D605" s="9" t="n">
        <v>0.001628664495114007</v>
      </c>
      <c r="E605" t="n">
        <v>604</v>
      </c>
    </row>
    <row r="606">
      <c r="A606" t="inlineStr">
        <is>
          <t>Loan_ID</t>
        </is>
      </c>
      <c r="B606" t="inlineStr">
        <is>
          <t>LP001043</t>
        </is>
      </c>
      <c r="C606" t="n">
        <v>1</v>
      </c>
      <c r="D606" s="9" t="n">
        <v>0.001628664495114007</v>
      </c>
      <c r="E606" t="n">
        <v>605</v>
      </c>
    </row>
    <row r="607">
      <c r="A607" t="inlineStr">
        <is>
          <t>Loan_ID</t>
        </is>
      </c>
      <c r="B607" t="inlineStr">
        <is>
          <t>LP001046</t>
        </is>
      </c>
      <c r="C607" t="n">
        <v>1</v>
      </c>
      <c r="D607" s="9" t="n">
        <v>0.001628664495114007</v>
      </c>
      <c r="E607" t="n">
        <v>606</v>
      </c>
    </row>
    <row r="608">
      <c r="A608" t="inlineStr">
        <is>
          <t>Loan_ID</t>
        </is>
      </c>
      <c r="B608" t="inlineStr">
        <is>
          <t>LP001013</t>
        </is>
      </c>
      <c r="C608" t="n">
        <v>1</v>
      </c>
      <c r="D608" s="9" t="n">
        <v>0.001628664495114007</v>
      </c>
      <c r="E608" t="n">
        <v>607</v>
      </c>
    </row>
    <row r="609">
      <c r="A609" t="inlineStr">
        <is>
          <t>Loan_ID</t>
        </is>
      </c>
      <c r="B609" t="inlineStr">
        <is>
          <t>LP001014</t>
        </is>
      </c>
      <c r="C609" t="n">
        <v>1</v>
      </c>
      <c r="D609" s="9" t="n">
        <v>0.001628664495114007</v>
      </c>
      <c r="E609" t="n">
        <v>608</v>
      </c>
    </row>
    <row r="610">
      <c r="A610" t="inlineStr">
        <is>
          <t>Loan_ID</t>
        </is>
      </c>
      <c r="B610" t="inlineStr">
        <is>
          <t>LP001018</t>
        </is>
      </c>
      <c r="C610" t="n">
        <v>1</v>
      </c>
      <c r="D610" s="9" t="n">
        <v>0.001628664495114007</v>
      </c>
      <c r="E610" t="n">
        <v>609</v>
      </c>
    </row>
    <row r="611">
      <c r="A611" t="inlineStr">
        <is>
          <t>Loan_ID</t>
        </is>
      </c>
      <c r="B611" t="inlineStr">
        <is>
          <t>LP001020</t>
        </is>
      </c>
      <c r="C611" t="n">
        <v>1</v>
      </c>
      <c r="D611" s="9" t="n">
        <v>0.001628664495114007</v>
      </c>
      <c r="E611" t="n">
        <v>610</v>
      </c>
    </row>
    <row r="612">
      <c r="A612" t="inlineStr">
        <is>
          <t>Loan_ID</t>
        </is>
      </c>
      <c r="B612" t="inlineStr">
        <is>
          <t>LP001024</t>
        </is>
      </c>
      <c r="C612" t="n">
        <v>1</v>
      </c>
      <c r="D612" s="9" t="n">
        <v>0.001628664495114007</v>
      </c>
      <c r="E612" t="n">
        <v>611</v>
      </c>
    </row>
    <row r="613">
      <c r="A613" t="inlineStr">
        <is>
          <t>Loan_ID</t>
        </is>
      </c>
      <c r="B613" t="inlineStr">
        <is>
          <t>LP001027</t>
        </is>
      </c>
      <c r="C613" t="n">
        <v>1</v>
      </c>
      <c r="D613" s="9" t="n">
        <v>0.001628664495114007</v>
      </c>
      <c r="E613" t="n">
        <v>612</v>
      </c>
    </row>
    <row r="614">
      <c r="A614" t="inlineStr">
        <is>
          <t>Loan_ID</t>
        </is>
      </c>
      <c r="B614" t="inlineStr">
        <is>
          <t>LP001028</t>
        </is>
      </c>
      <c r="C614" t="n">
        <v>1</v>
      </c>
      <c r="D614" s="9" t="n">
        <v>0.001628664495114007</v>
      </c>
      <c r="E614" t="n">
        <v>613</v>
      </c>
    </row>
    <row r="615">
      <c r="A615" t="inlineStr">
        <is>
          <t>Loan_ID</t>
        </is>
      </c>
      <c r="B615" t="inlineStr">
        <is>
          <t>LP001029</t>
        </is>
      </c>
      <c r="C615" t="n">
        <v>1</v>
      </c>
      <c r="D615" s="9" t="n">
        <v>0.001628664495114007</v>
      </c>
      <c r="E615" t="n">
        <v>614</v>
      </c>
    </row>
    <row r="616">
      <c r="A616" t="inlineStr">
        <is>
          <t>Gender</t>
        </is>
      </c>
      <c r="B616" t="inlineStr">
        <is>
          <t>Male</t>
        </is>
      </c>
      <c r="C616" t="n">
        <v>489</v>
      </c>
      <c r="D616" s="9" t="n">
        <v>0.7964169381107492</v>
      </c>
      <c r="E616" t="n">
        <v>1</v>
      </c>
    </row>
    <row r="617">
      <c r="A617" t="inlineStr">
        <is>
          <t>Gender</t>
        </is>
      </c>
      <c r="B617" t="inlineStr">
        <is>
          <t>Female</t>
        </is>
      </c>
      <c r="C617" t="n">
        <v>112</v>
      </c>
      <c r="D617" s="9" t="n">
        <v>0.1824104234527687</v>
      </c>
      <c r="E617" t="n">
        <v>2</v>
      </c>
    </row>
    <row r="618">
      <c r="A618" t="inlineStr">
        <is>
          <t>Gender</t>
        </is>
      </c>
      <c r="B618" t="inlineStr">
        <is>
          <t>Missing</t>
        </is>
      </c>
      <c r="C618" t="n">
        <v>13</v>
      </c>
      <c r="D618" s="9" t="n">
        <v>0.02117263843648208</v>
      </c>
      <c r="E618" t="n">
        <v>3</v>
      </c>
    </row>
    <row r="619">
      <c r="A619" t="inlineStr">
        <is>
          <t>Married</t>
        </is>
      </c>
      <c r="B619" t="inlineStr">
        <is>
          <t>Yes</t>
        </is>
      </c>
      <c r="C619" t="n">
        <v>398</v>
      </c>
      <c r="D619" s="9" t="n">
        <v>0.6482084690553745</v>
      </c>
      <c r="E619" t="n">
        <v>1</v>
      </c>
    </row>
    <row r="620">
      <c r="A620" t="inlineStr">
        <is>
          <t>Married</t>
        </is>
      </c>
      <c r="B620" t="inlineStr">
        <is>
          <t>No</t>
        </is>
      </c>
      <c r="C620" t="n">
        <v>213</v>
      </c>
      <c r="D620" s="9" t="n">
        <v>0.3469055374592834</v>
      </c>
      <c r="E620" t="n">
        <v>2</v>
      </c>
    </row>
    <row r="621">
      <c r="A621" t="inlineStr">
        <is>
          <t>Married</t>
        </is>
      </c>
      <c r="B621" t="inlineStr">
        <is>
          <t>Missing</t>
        </is>
      </c>
      <c r="C621" t="n">
        <v>3</v>
      </c>
      <c r="D621" s="9" t="n">
        <v>0.004885993485342019</v>
      </c>
      <c r="E621" t="n">
        <v>3</v>
      </c>
    </row>
    <row r="622">
      <c r="A622" t="inlineStr">
        <is>
          <t>Dependents</t>
        </is>
      </c>
      <c r="B622" t="inlineStr">
        <is>
          <t>0</t>
        </is>
      </c>
      <c r="C622" t="n">
        <v>345</v>
      </c>
      <c r="D622" s="9" t="n">
        <v>0.5618892508143323</v>
      </c>
      <c r="E622" t="n">
        <v>1</v>
      </c>
    </row>
    <row r="623">
      <c r="A623" t="inlineStr">
        <is>
          <t>Dependents</t>
        </is>
      </c>
      <c r="B623" t="inlineStr">
        <is>
          <t>1</t>
        </is>
      </c>
      <c r="C623" t="n">
        <v>102</v>
      </c>
      <c r="D623" s="9" t="n">
        <v>0.1661237785016287</v>
      </c>
      <c r="E623" t="n">
        <v>2</v>
      </c>
    </row>
    <row r="624">
      <c r="A624" t="inlineStr">
        <is>
          <t>Dependents</t>
        </is>
      </c>
      <c r="B624" t="inlineStr">
        <is>
          <t>2</t>
        </is>
      </c>
      <c r="C624" t="n">
        <v>101</v>
      </c>
      <c r="D624" s="9" t="n">
        <v>0.1644951140065146</v>
      </c>
      <c r="E624" t="n">
        <v>3</v>
      </c>
    </row>
    <row r="625">
      <c r="A625" t="inlineStr">
        <is>
          <t>Dependents</t>
        </is>
      </c>
      <c r="B625" t="inlineStr">
        <is>
          <t>3+</t>
        </is>
      </c>
      <c r="C625" t="n">
        <v>51</v>
      </c>
      <c r="D625" s="9" t="n">
        <v>0.08306188925081433</v>
      </c>
      <c r="E625" t="n">
        <v>4</v>
      </c>
    </row>
    <row r="626">
      <c r="A626" t="inlineStr">
        <is>
          <t>Dependents</t>
        </is>
      </c>
      <c r="B626" t="inlineStr">
        <is>
          <t>Missing</t>
        </is>
      </c>
      <c r="C626" t="n">
        <v>15</v>
      </c>
      <c r="D626" s="9" t="n">
        <v>0.0244299674267101</v>
      </c>
      <c r="E626" t="n">
        <v>5</v>
      </c>
    </row>
    <row r="627">
      <c r="A627" t="inlineStr">
        <is>
          <t>Education</t>
        </is>
      </c>
      <c r="B627" t="inlineStr">
        <is>
          <t>Graduate</t>
        </is>
      </c>
      <c r="C627" t="n">
        <v>480</v>
      </c>
      <c r="D627" s="9" t="n">
        <v>0.7817589576547231</v>
      </c>
      <c r="E627" t="n">
        <v>1</v>
      </c>
    </row>
    <row r="628">
      <c r="A628" t="inlineStr">
        <is>
          <t>Education</t>
        </is>
      </c>
      <c r="B628" t="inlineStr">
        <is>
          <t>Not Graduate</t>
        </is>
      </c>
      <c r="C628" t="n">
        <v>134</v>
      </c>
      <c r="D628" s="9" t="n">
        <v>0.2182410423452769</v>
      </c>
      <c r="E628" t="n">
        <v>2</v>
      </c>
    </row>
    <row r="629">
      <c r="A629" t="inlineStr">
        <is>
          <t>Self_Employed</t>
        </is>
      </c>
      <c r="B629" t="inlineStr">
        <is>
          <t>No</t>
        </is>
      </c>
      <c r="C629" t="n">
        <v>500</v>
      </c>
      <c r="D629" s="9" t="n">
        <v>0.8143322475570033</v>
      </c>
      <c r="E629" t="n">
        <v>1</v>
      </c>
    </row>
    <row r="630">
      <c r="A630" t="inlineStr">
        <is>
          <t>Self_Employed</t>
        </is>
      </c>
      <c r="B630" t="inlineStr">
        <is>
          <t>Yes</t>
        </is>
      </c>
      <c r="C630" t="n">
        <v>82</v>
      </c>
      <c r="D630" s="9" t="n">
        <v>0.1335504885993485</v>
      </c>
      <c r="E630" t="n">
        <v>2</v>
      </c>
    </row>
    <row r="631">
      <c r="A631" t="inlineStr">
        <is>
          <t>Self_Employed</t>
        </is>
      </c>
      <c r="B631" t="inlineStr">
        <is>
          <t>Missing</t>
        </is>
      </c>
      <c r="C631" t="n">
        <v>32</v>
      </c>
      <c r="D631" s="9" t="n">
        <v>0.05211726384364821</v>
      </c>
      <c r="E631" t="n">
        <v>3</v>
      </c>
    </row>
    <row r="632">
      <c r="A632" t="inlineStr">
        <is>
          <t>Property_Area</t>
        </is>
      </c>
      <c r="B632" t="inlineStr">
        <is>
          <t>Semiurban</t>
        </is>
      </c>
      <c r="C632" t="n">
        <v>233</v>
      </c>
      <c r="D632" s="9" t="n">
        <v>0.3794788273615635</v>
      </c>
      <c r="E632" t="n">
        <v>1</v>
      </c>
    </row>
    <row r="633">
      <c r="A633" t="inlineStr">
        <is>
          <t>Property_Area</t>
        </is>
      </c>
      <c r="B633" t="inlineStr">
        <is>
          <t>Urban</t>
        </is>
      </c>
      <c r="C633" t="n">
        <v>202</v>
      </c>
      <c r="D633" s="9" t="n">
        <v>0.3289902280130293</v>
      </c>
      <c r="E633" t="n">
        <v>2</v>
      </c>
    </row>
    <row r="634">
      <c r="A634" t="inlineStr">
        <is>
          <t>Property_Area</t>
        </is>
      </c>
      <c r="B634" t="inlineStr">
        <is>
          <t>Rural</t>
        </is>
      </c>
      <c r="C634" t="n">
        <v>179</v>
      </c>
      <c r="D634" s="9" t="n">
        <v>0.2915309446254072</v>
      </c>
      <c r="E634" t="n">
        <v>3</v>
      </c>
    </row>
    <row r="635">
      <c r="A635" t="inlineStr">
        <is>
          <t>Loan_Status</t>
        </is>
      </c>
      <c r="B635" t="inlineStr">
        <is>
          <t>Y</t>
        </is>
      </c>
      <c r="C635" t="n">
        <v>422</v>
      </c>
      <c r="D635" s="9" t="n">
        <v>0.6872964169381107</v>
      </c>
      <c r="E635" t="n">
        <v>1</v>
      </c>
    </row>
    <row r="636">
      <c r="A636" t="inlineStr">
        <is>
          <t>Loan_Status</t>
        </is>
      </c>
      <c r="B636" t="inlineStr">
        <is>
          <t>N</t>
        </is>
      </c>
      <c r="C636" t="n">
        <v>192</v>
      </c>
      <c r="D636" s="9" t="n">
        <v>0.3127035830618892</v>
      </c>
      <c r="E636" t="n">
        <v>2</v>
      </c>
    </row>
    <row r="637">
      <c r="A637" t="inlineStr">
        <is>
          <t>Risk_Category</t>
        </is>
      </c>
      <c r="B637" t="inlineStr">
        <is>
          <t>Lower Risk</t>
        </is>
      </c>
      <c r="C637" t="n">
        <v>378</v>
      </c>
      <c r="D637" s="9" t="n">
        <v>0.6156351791530945</v>
      </c>
      <c r="E637" t="n">
        <v>1</v>
      </c>
    </row>
    <row r="638">
      <c r="A638" t="inlineStr">
        <is>
          <t>Risk_Category</t>
        </is>
      </c>
      <c r="B638" t="inlineStr">
        <is>
          <t>Medium Risk</t>
        </is>
      </c>
      <c r="C638" t="n">
        <v>141</v>
      </c>
      <c r="D638" s="9" t="n">
        <v>0.2296416938110749</v>
      </c>
      <c r="E638" t="n">
        <v>2</v>
      </c>
    </row>
    <row r="639">
      <c r="A639" t="inlineStr">
        <is>
          <t>Risk_Category</t>
        </is>
      </c>
      <c r="B639" t="inlineStr">
        <is>
          <t>High Risk</t>
        </is>
      </c>
      <c r="C639" t="n">
        <v>95</v>
      </c>
      <c r="D639" s="9" t="n">
        <v>0.1547231270358306</v>
      </c>
      <c r="E639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4" customWidth="1" min="8" max="8"/>
    <col width="22" customWidth="1" min="9" max="9"/>
  </cols>
  <sheetData>
    <row r="1" ht="28" customHeight="1">
      <c r="A1" s="29" t="inlineStr">
        <is>
          <t>Variable</t>
        </is>
      </c>
      <c r="B1" s="29" t="inlineStr">
        <is>
          <t>ApplicantIncome</t>
        </is>
      </c>
      <c r="C1" s="29" t="inlineStr">
        <is>
          <t>CoapplicantIncome</t>
        </is>
      </c>
      <c r="D1" s="29" t="inlineStr">
        <is>
          <t>LoanAmount</t>
        </is>
      </c>
      <c r="E1" s="29" t="inlineStr">
        <is>
          <t>Loan_Amount_Term</t>
        </is>
      </c>
      <c r="F1" s="29" t="inlineStr">
        <is>
          <t>Credit_History</t>
        </is>
      </c>
      <c r="G1" s="29" t="inlineStr">
        <is>
          <t>CombinedIncome</t>
        </is>
      </c>
      <c r="H1" s="29" t="inlineStr">
        <is>
          <t>Approval_Flag</t>
        </is>
      </c>
      <c r="I1" s="29" t="inlineStr">
        <is>
          <t>Loan_to_Income_Index</t>
        </is>
      </c>
    </row>
    <row r="2">
      <c r="A2" t="inlineStr">
        <is>
          <t>ApplicantIncome</t>
        </is>
      </c>
      <c r="B2" t="n">
        <v>1</v>
      </c>
      <c r="C2" t="n">
        <v>-0.1166045812288996</v>
      </c>
      <c r="D2" t="n">
        <v>0.5709090389885663</v>
      </c>
      <c r="E2" t="n">
        <v>-0.04530608706258189</v>
      </c>
      <c r="F2" t="n">
        <v>-0.0147148781003131</v>
      </c>
      <c r="G2" t="n">
        <v>0.8930372940684417</v>
      </c>
      <c r="H2" t="n">
        <v>-0.004709522659351558</v>
      </c>
      <c r="I2" t="n">
        <v>-0.3119176454436244</v>
      </c>
    </row>
    <row r="3">
      <c r="A3" t="inlineStr">
        <is>
          <t>CoapplicantIncome</t>
        </is>
      </c>
      <c r="B3" t="n">
        <v>-0.1166045812288996</v>
      </c>
      <c r="C3" t="n">
        <v>1</v>
      </c>
      <c r="D3" t="n">
        <v>0.1886194044231174</v>
      </c>
      <c r="E3" t="n">
        <v>-0.0598780087316314</v>
      </c>
      <c r="F3" t="n">
        <v>-0.00205627644650305</v>
      </c>
      <c r="G3" t="n">
        <v>0.3427808238667175</v>
      </c>
      <c r="H3" t="n">
        <v>-0.05918731348785006</v>
      </c>
      <c r="I3" t="n">
        <v>-0.2063207235020225</v>
      </c>
    </row>
    <row r="4">
      <c r="A4" t="inlineStr">
        <is>
          <t>LoanAmount</t>
        </is>
      </c>
      <c r="B4" t="n">
        <v>0.5709090389885663</v>
      </c>
      <c r="C4" t="n">
        <v>0.1886194044231174</v>
      </c>
      <c r="D4" t="n">
        <v>1</v>
      </c>
      <c r="E4" t="n">
        <v>0.0394472509159701</v>
      </c>
      <c r="F4" t="n">
        <v>-0.008432772365243776</v>
      </c>
      <c r="G4" t="n">
        <v>0.624620695998466</v>
      </c>
      <c r="H4" t="n">
        <v>-0.03731776869979418</v>
      </c>
      <c r="I4" t="n">
        <v>0.1666597809143118</v>
      </c>
    </row>
    <row r="5">
      <c r="A5" t="inlineStr">
        <is>
          <t>Loan_Amount_Term</t>
        </is>
      </c>
      <c r="B5" t="n">
        <v>-0.04530608706258189</v>
      </c>
      <c r="C5" t="n">
        <v>-0.0598780087316314</v>
      </c>
      <c r="D5" t="n">
        <v>0.0394472509159701</v>
      </c>
      <c r="E5" t="n">
        <v>1</v>
      </c>
      <c r="F5" t="n">
        <v>0.001470109869839285</v>
      </c>
      <c r="G5" t="n">
        <v>-0.06994840995501785</v>
      </c>
      <c r="H5" t="n">
        <v>-0.02126765812386296</v>
      </c>
      <c r="I5" t="n">
        <v>0.177975829417843</v>
      </c>
    </row>
    <row r="6">
      <c r="A6" t="inlineStr">
        <is>
          <t>Credit_History</t>
        </is>
      </c>
      <c r="B6" t="n">
        <v>-0.0147148781003131</v>
      </c>
      <c r="C6" t="n">
        <v>-0.00205627644650305</v>
      </c>
      <c r="D6" t="n">
        <v>-0.008432772365243776</v>
      </c>
      <c r="E6" t="n">
        <v>0.001470109869839285</v>
      </c>
      <c r="F6" t="n">
        <v>1</v>
      </c>
      <c r="G6" t="n">
        <v>-0.01510890857641533</v>
      </c>
      <c r="H6" t="n">
        <v>0.5616781574653794</v>
      </c>
      <c r="I6" t="n">
        <v>-0.02667830982440599</v>
      </c>
    </row>
    <row r="7">
      <c r="A7" t="inlineStr">
        <is>
          <t>CombinedIncome</t>
        </is>
      </c>
      <c r="B7" t="n">
        <v>0.8930372940684417</v>
      </c>
      <c r="C7" t="n">
        <v>0.3427808238667175</v>
      </c>
      <c r="D7" t="n">
        <v>0.624620695998466</v>
      </c>
      <c r="E7" t="n">
        <v>-0.06994840995501785</v>
      </c>
      <c r="F7" t="n">
        <v>-0.01510890857641533</v>
      </c>
      <c r="G7" t="n">
        <v>1</v>
      </c>
      <c r="H7" t="n">
        <v>-0.03127077887267463</v>
      </c>
      <c r="I7" t="n">
        <v>-0.388194423383371</v>
      </c>
    </row>
    <row r="8">
      <c r="A8" t="inlineStr">
        <is>
          <t>Approval_Flag</t>
        </is>
      </c>
      <c r="B8" t="n">
        <v>-0.004709522659351558</v>
      </c>
      <c r="C8" t="n">
        <v>-0.05918731348785006</v>
      </c>
      <c r="D8" t="n">
        <v>-0.03731776869979418</v>
      </c>
      <c r="E8" t="n">
        <v>-0.02126765812386296</v>
      </c>
      <c r="F8" t="n">
        <v>0.5616781574653794</v>
      </c>
      <c r="G8" t="n">
        <v>-0.03127077887267463</v>
      </c>
      <c r="H8" t="n">
        <v>1</v>
      </c>
      <c r="I8" t="n">
        <v>-0.07657745725779438</v>
      </c>
    </row>
    <row r="9">
      <c r="A9" t="inlineStr">
        <is>
          <t>Loan_to_Income_Index</t>
        </is>
      </c>
      <c r="B9" t="n">
        <v>-0.3119176454436244</v>
      </c>
      <c r="C9" t="n">
        <v>-0.2063207235020225</v>
      </c>
      <c r="D9" t="n">
        <v>0.1666597809143118</v>
      </c>
      <c r="E9" t="n">
        <v>0.177975829417843</v>
      </c>
      <c r="F9" t="n">
        <v>-0.02667830982440599</v>
      </c>
      <c r="G9" t="n">
        <v>-0.388194423383371</v>
      </c>
      <c r="H9" t="n">
        <v>-0.07657745725779438</v>
      </c>
      <c r="I9" t="n">
        <v>1</v>
      </c>
    </row>
  </sheetData>
  <conditionalFormatting sqref="B2:I9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</cols>
  <sheetData>
    <row r="1" ht="28" customHeight="1">
      <c r="A1" s="29" t="inlineStr">
        <is>
          <t>Status</t>
        </is>
      </c>
      <c r="B1" s="29" t="inlineStr">
        <is>
          <t>Finding</t>
        </is>
      </c>
    </row>
    <row r="2">
      <c r="A2" t="inlineStr">
        <is>
          <t>Unavailable</t>
        </is>
      </c>
      <c r="B2" t="inlineStr">
        <is>
          <t>No date field is present in the application dataset. Monthly, quarterly and yearly trends cannot be calculated without inventing dates.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1" customWidth="1" min="4" max="4"/>
    <col width="11" customWidth="1" min="5" max="5"/>
    <col width="21" customWidth="1" min="6" max="6"/>
    <col width="21" customWidth="1" min="7" max="7"/>
    <col width="14" customWidth="1" min="8" max="8"/>
  </cols>
  <sheetData>
    <row r="1" ht="28" customHeight="1">
      <c r="A1" s="29" t="inlineStr">
        <is>
          <t>Dimension</t>
        </is>
      </c>
      <c r="B1" s="29" t="inlineStr">
        <is>
          <t>Segment</t>
        </is>
      </c>
      <c r="C1" s="29" t="inlineStr">
        <is>
          <t>Applications</t>
        </is>
      </c>
      <c r="D1" s="29" t="inlineStr">
        <is>
          <t>Approved</t>
        </is>
      </c>
      <c r="E1" s="29" t="inlineStr">
        <is>
          <t>Rejected</t>
        </is>
      </c>
      <c r="F1" s="29" t="inlineStr">
        <is>
          <t>Approval Rate</t>
        </is>
      </c>
      <c r="G1" s="29" t="inlineStr">
        <is>
          <t>Rejection Rate</t>
        </is>
      </c>
      <c r="H1" s="29" t="inlineStr">
        <is>
          <t>Sample Flag</t>
        </is>
      </c>
    </row>
    <row r="2">
      <c r="A2" t="inlineStr">
        <is>
          <t>Property_Area</t>
        </is>
      </c>
      <c r="B2" t="inlineStr">
        <is>
          <t>Rural</t>
        </is>
      </c>
      <c r="C2" t="n">
        <v>179</v>
      </c>
      <c r="D2" t="n">
        <v>110</v>
      </c>
      <c r="E2" t="n">
        <v>69</v>
      </c>
      <c r="F2" s="9" t="n">
        <v>0.6145251396648045</v>
      </c>
      <c r="G2" s="9" t="n">
        <v>0.3854748603351955</v>
      </c>
      <c r="H2" t="inlineStr"/>
    </row>
    <row r="3">
      <c r="A3" t="inlineStr">
        <is>
          <t>Property_Area</t>
        </is>
      </c>
      <c r="B3" t="inlineStr">
        <is>
          <t>Semiurban</t>
        </is>
      </c>
      <c r="C3" t="n">
        <v>233</v>
      </c>
      <c r="D3" t="n">
        <v>179</v>
      </c>
      <c r="E3" t="n">
        <v>54</v>
      </c>
      <c r="F3" s="9" t="n">
        <v>0.7682403433476395</v>
      </c>
      <c r="G3" s="9" t="n">
        <v>0.2317596566523605</v>
      </c>
      <c r="H3" t="inlineStr"/>
    </row>
    <row r="4">
      <c r="A4" t="inlineStr">
        <is>
          <t>Property_Area</t>
        </is>
      </c>
      <c r="B4" t="inlineStr">
        <is>
          <t>Urban</t>
        </is>
      </c>
      <c r="C4" t="n">
        <v>202</v>
      </c>
      <c r="D4" t="n">
        <v>133</v>
      </c>
      <c r="E4" t="n">
        <v>69</v>
      </c>
      <c r="F4" s="9" t="n">
        <v>0.6584158415841584</v>
      </c>
      <c r="G4" s="9" t="n">
        <v>0.3415841584158416</v>
      </c>
      <c r="H4" t="inlineStr"/>
    </row>
    <row r="5">
      <c r="A5" t="inlineStr">
        <is>
          <t>Credit_History</t>
        </is>
      </c>
      <c r="B5" t="inlineStr">
        <is>
          <t>0.0</t>
        </is>
      </c>
      <c r="C5" t="n">
        <v>89</v>
      </c>
      <c r="D5" t="n">
        <v>7</v>
      </c>
      <c r="E5" t="n">
        <v>82</v>
      </c>
      <c r="F5" s="9" t="n">
        <v>0.07865168539325842</v>
      </c>
      <c r="G5" s="9" t="n">
        <v>0.9213483146067416</v>
      </c>
      <c r="H5" t="inlineStr"/>
    </row>
    <row r="6">
      <c r="A6" t="inlineStr">
        <is>
          <t>Credit_History</t>
        </is>
      </c>
      <c r="B6" t="inlineStr">
        <is>
          <t>1.0</t>
        </is>
      </c>
      <c r="C6" t="n">
        <v>475</v>
      </c>
      <c r="D6" t="n">
        <v>378</v>
      </c>
      <c r="E6" t="n">
        <v>97</v>
      </c>
      <c r="F6" s="9" t="n">
        <v>0.7957894736842105</v>
      </c>
      <c r="G6" s="9" t="n">
        <v>0.2042105263157895</v>
      </c>
      <c r="H6" t="inlineStr"/>
    </row>
    <row r="7">
      <c r="A7" t="inlineStr">
        <is>
          <t>Credit_History</t>
        </is>
      </c>
      <c r="B7" t="inlineStr">
        <is>
          <t>Missing</t>
        </is>
      </c>
      <c r="C7" t="n">
        <v>50</v>
      </c>
      <c r="D7" t="n">
        <v>37</v>
      </c>
      <c r="E7" t="n">
        <v>13</v>
      </c>
      <c r="F7" s="9" t="n">
        <v>0.74</v>
      </c>
      <c r="G7" s="9" t="n">
        <v>0.26</v>
      </c>
      <c r="H7" t="inlineStr"/>
    </row>
    <row r="8">
      <c r="A8" t="inlineStr">
        <is>
          <t>Education</t>
        </is>
      </c>
      <c r="B8" t="inlineStr">
        <is>
          <t>Graduate</t>
        </is>
      </c>
      <c r="C8" t="n">
        <v>480</v>
      </c>
      <c r="D8" t="n">
        <v>340</v>
      </c>
      <c r="E8" t="n">
        <v>140</v>
      </c>
      <c r="F8" s="9" t="n">
        <v>0.7083333333333334</v>
      </c>
      <c r="G8" s="9" t="n">
        <v>0.2916666666666667</v>
      </c>
      <c r="H8" t="inlineStr"/>
    </row>
    <row r="9">
      <c r="A9" t="inlineStr">
        <is>
          <t>Education</t>
        </is>
      </c>
      <c r="B9" t="inlineStr">
        <is>
          <t>Not Graduate</t>
        </is>
      </c>
      <c r="C9" t="n">
        <v>134</v>
      </c>
      <c r="D9" t="n">
        <v>82</v>
      </c>
      <c r="E9" t="n">
        <v>52</v>
      </c>
      <c r="F9" s="9" t="n">
        <v>0.6119402985074627</v>
      </c>
      <c r="G9" s="9" t="n">
        <v>0.3880597014925373</v>
      </c>
      <c r="H9" t="inlineStr"/>
    </row>
    <row r="10">
      <c r="A10" t="inlineStr">
        <is>
          <t>Self_Employed</t>
        </is>
      </c>
      <c r="B10" t="inlineStr">
        <is>
          <t>No</t>
        </is>
      </c>
      <c r="C10" t="n">
        <v>500</v>
      </c>
      <c r="D10" t="n">
        <v>343</v>
      </c>
      <c r="E10" t="n">
        <v>157</v>
      </c>
      <c r="F10" s="9" t="n">
        <v>0.6860000000000001</v>
      </c>
      <c r="G10" s="9" t="n">
        <v>0.314</v>
      </c>
      <c r="H10" t="inlineStr"/>
    </row>
    <row r="11">
      <c r="A11" t="inlineStr">
        <is>
          <t>Self_Employed</t>
        </is>
      </c>
      <c r="B11" t="inlineStr">
        <is>
          <t>Yes</t>
        </is>
      </c>
      <c r="C11" t="n">
        <v>82</v>
      </c>
      <c r="D11" t="n">
        <v>56</v>
      </c>
      <c r="E11" t="n">
        <v>26</v>
      </c>
      <c r="F11" s="9" t="n">
        <v>0.6829268292682927</v>
      </c>
      <c r="G11" s="9" t="n">
        <v>0.3170731707317073</v>
      </c>
      <c r="H11" t="inlineStr"/>
    </row>
    <row r="12">
      <c r="A12" t="inlineStr">
        <is>
          <t>Self_Employed</t>
        </is>
      </c>
      <c r="B12" t="inlineStr">
        <is>
          <t>Missing</t>
        </is>
      </c>
      <c r="C12" t="n">
        <v>32</v>
      </c>
      <c r="D12" t="n">
        <v>23</v>
      </c>
      <c r="E12" t="n">
        <v>9</v>
      </c>
      <c r="F12" s="9" t="n">
        <v>0.71875</v>
      </c>
      <c r="G12" s="9" t="n">
        <v>0.28125</v>
      </c>
      <c r="H12" t="inlineStr"/>
    </row>
    <row r="13">
      <c r="A13" t="inlineStr">
        <is>
          <t>Gender</t>
        </is>
      </c>
      <c r="B13" t="inlineStr">
        <is>
          <t>Female</t>
        </is>
      </c>
      <c r="C13" t="n">
        <v>112</v>
      </c>
      <c r="D13" t="n">
        <v>75</v>
      </c>
      <c r="E13" t="n">
        <v>37</v>
      </c>
      <c r="F13" s="9" t="n">
        <v>0.6696428571428571</v>
      </c>
      <c r="G13" s="9" t="n">
        <v>0.3303571428571428</v>
      </c>
      <c r="H13" t="inlineStr"/>
    </row>
    <row r="14">
      <c r="A14" t="inlineStr">
        <is>
          <t>Gender</t>
        </is>
      </c>
      <c r="B14" t="inlineStr">
        <is>
          <t>Male</t>
        </is>
      </c>
      <c r="C14" t="n">
        <v>489</v>
      </c>
      <c r="D14" t="n">
        <v>339</v>
      </c>
      <c r="E14" t="n">
        <v>150</v>
      </c>
      <c r="F14" s="9" t="n">
        <v>0.6932515337423313</v>
      </c>
      <c r="G14" s="9" t="n">
        <v>0.3067484662576687</v>
      </c>
      <c r="H14" t="inlineStr"/>
    </row>
    <row r="15">
      <c r="A15" t="inlineStr">
        <is>
          <t>Gender</t>
        </is>
      </c>
      <c r="B15" t="inlineStr">
        <is>
          <t>Missing</t>
        </is>
      </c>
      <c r="C15" t="n">
        <v>13</v>
      </c>
      <c r="D15" t="n">
        <v>8</v>
      </c>
      <c r="E15" t="n">
        <v>5</v>
      </c>
      <c r="F15" s="9" t="n">
        <v>0.6153846153846154</v>
      </c>
      <c r="G15" s="9" t="n">
        <v>0.3846153846153846</v>
      </c>
      <c r="H15" t="inlineStr">
        <is>
          <t>Small sample</t>
        </is>
      </c>
    </row>
    <row r="16">
      <c r="A16" t="inlineStr">
        <is>
          <t>Married</t>
        </is>
      </c>
      <c r="B16" t="inlineStr">
        <is>
          <t>No</t>
        </is>
      </c>
      <c r="C16" t="n">
        <v>213</v>
      </c>
      <c r="D16" t="n">
        <v>134</v>
      </c>
      <c r="E16" t="n">
        <v>79</v>
      </c>
      <c r="F16" s="9" t="n">
        <v>0.6291079812206573</v>
      </c>
      <c r="G16" s="9" t="n">
        <v>0.3708920187793427</v>
      </c>
      <c r="H16" t="inlineStr"/>
    </row>
    <row r="17">
      <c r="A17" t="inlineStr">
        <is>
          <t>Married</t>
        </is>
      </c>
      <c r="B17" t="inlineStr">
        <is>
          <t>Yes</t>
        </is>
      </c>
      <c r="C17" t="n">
        <v>398</v>
      </c>
      <c r="D17" t="n">
        <v>285</v>
      </c>
      <c r="E17" t="n">
        <v>113</v>
      </c>
      <c r="F17" s="9" t="n">
        <v>0.7160804020100503</v>
      </c>
      <c r="G17" s="9" t="n">
        <v>0.2839195979899498</v>
      </c>
      <c r="H17" t="inlineStr"/>
    </row>
    <row r="18">
      <c r="A18" t="inlineStr">
        <is>
          <t>Married</t>
        </is>
      </c>
      <c r="B18" t="inlineStr">
        <is>
          <t>Missing</t>
        </is>
      </c>
      <c r="C18" t="n">
        <v>3</v>
      </c>
      <c r="D18" t="n">
        <v>3</v>
      </c>
      <c r="E18" t="n">
        <v>0</v>
      </c>
      <c r="F18" s="9" t="n">
        <v>1</v>
      </c>
      <c r="G18" s="9" t="n">
        <v>0</v>
      </c>
      <c r="H18" t="inlineStr">
        <is>
          <t>Small sample</t>
        </is>
      </c>
    </row>
    <row r="19">
      <c r="A19" t="inlineStr">
        <is>
          <t>Risk_Category</t>
        </is>
      </c>
      <c r="B19" t="inlineStr">
        <is>
          <t>High Risk</t>
        </is>
      </c>
      <c r="C19" t="n">
        <v>95</v>
      </c>
      <c r="D19" t="n">
        <v>0</v>
      </c>
      <c r="E19" t="n">
        <v>95</v>
      </c>
      <c r="F19" s="9" t="n">
        <v>0</v>
      </c>
      <c r="G19" s="9" t="n">
        <v>1</v>
      </c>
      <c r="H19" t="inlineStr"/>
    </row>
    <row r="20">
      <c r="A20" t="inlineStr">
        <is>
          <t>Risk_Category</t>
        </is>
      </c>
      <c r="B20" t="inlineStr">
        <is>
          <t>Lower Risk</t>
        </is>
      </c>
      <c r="C20" t="n">
        <v>378</v>
      </c>
      <c r="D20" t="n">
        <v>378</v>
      </c>
      <c r="E20" t="n">
        <v>0</v>
      </c>
      <c r="F20" s="9" t="n">
        <v>1</v>
      </c>
      <c r="G20" s="9" t="n">
        <v>0</v>
      </c>
      <c r="H20" t="inlineStr"/>
    </row>
    <row r="21">
      <c r="A21" t="inlineStr">
        <is>
          <t>Risk_Category</t>
        </is>
      </c>
      <c r="B21" t="inlineStr">
        <is>
          <t>Medium Risk</t>
        </is>
      </c>
      <c r="C21" t="n">
        <v>141</v>
      </c>
      <c r="D21" t="n">
        <v>44</v>
      </c>
      <c r="E21" t="n">
        <v>97</v>
      </c>
      <c r="F21" s="9" t="n">
        <v>0.3120567375886525</v>
      </c>
      <c r="G21" s="9" t="n">
        <v>0.6879432624113475</v>
      </c>
      <c r="H2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2" customWidth="1" min="2" max="2"/>
    <col width="35" customWidth="1" min="3" max="3"/>
    <col width="35" customWidth="1" min="4" max="4"/>
  </cols>
  <sheetData>
    <row r="1" ht="28" customHeight="1">
      <c r="A1" s="29" t="inlineStr">
        <is>
          <t>Metric</t>
        </is>
      </c>
      <c r="B1" s="29" t="inlineStr">
        <is>
          <t>Value</t>
        </is>
      </c>
      <c r="C1" s="29" t="inlineStr">
        <is>
          <t>Definition</t>
        </is>
      </c>
      <c r="D1" s="29" t="inlineStr">
        <is>
          <t>Interpretation / Limitation</t>
        </is>
      </c>
    </row>
    <row r="2">
      <c r="A2" t="inlineStr">
        <is>
          <t>Average Applicant Income</t>
        </is>
      </c>
      <c r="B2" t="n">
        <v>5403.459283387622</v>
      </c>
      <c r="C2" t="inlineStr">
        <is>
          <t>Mean ApplicantIncome</t>
        </is>
      </c>
      <c r="D2" t="inlineStr">
        <is>
          <t>Unit and reporting period undocumented</t>
        </is>
      </c>
    </row>
    <row r="3">
      <c r="A3" t="inlineStr">
        <is>
          <t>Average Coapplicant Income</t>
        </is>
      </c>
      <c r="B3" t="n">
        <v>1621.245798027101</v>
      </c>
      <c r="C3" t="inlineStr">
        <is>
          <t>Mean CoapplicantIncome</t>
        </is>
      </c>
      <c r="D3" t="inlineStr">
        <is>
          <t>Unit and reporting period undocumented</t>
        </is>
      </c>
    </row>
    <row r="4">
      <c r="A4" t="inlineStr">
        <is>
          <t>Average Combined Income</t>
        </is>
      </c>
      <c r="B4" t="n">
        <v>7024.705081414722</v>
      </c>
      <c r="C4" t="inlineStr">
        <is>
          <t>Mean ApplicantIncome + CoapplicantIncome</t>
        </is>
      </c>
      <c r="D4" t="inlineStr">
        <is>
          <t>Reported, not verified</t>
        </is>
      </c>
    </row>
    <row r="5">
      <c r="A5" t="inlineStr">
        <is>
          <t>Median Combined Income</t>
        </is>
      </c>
      <c r="B5" t="n">
        <v>5416.5</v>
      </c>
      <c r="C5" t="inlineStr">
        <is>
          <t>Median combined reported income</t>
        </is>
      </c>
      <c r="D5" t="inlineStr">
        <is>
          <t>Reported, not verified</t>
        </is>
      </c>
    </row>
    <row r="6">
      <c r="A6" t="inlineStr">
        <is>
          <t>Average Loan Amount</t>
        </is>
      </c>
      <c r="B6" t="n">
        <v>146.4121621621622</v>
      </c>
      <c r="C6" t="inlineStr">
        <is>
          <t>Mean requested LoanAmount</t>
        </is>
      </c>
      <c r="D6" t="inlineStr">
        <is>
          <t>Unit undocumented</t>
        </is>
      </c>
    </row>
    <row r="7">
      <c r="A7" t="inlineStr">
        <is>
          <t>Median Loan Amount</t>
        </is>
      </c>
      <c r="B7" t="n">
        <v>128</v>
      </c>
      <c r="C7" t="inlineStr">
        <is>
          <t>Median requested LoanAmount</t>
        </is>
      </c>
      <c r="D7" t="inlineStr">
        <is>
          <t>Unit undocumented</t>
        </is>
      </c>
    </row>
    <row r="8">
      <c r="A8" t="inlineStr">
        <is>
          <t>Median Loan-to-Income Index</t>
        </is>
      </c>
      <c r="B8" t="n">
        <v>0.02413911880935467</v>
      </c>
      <c r="C8" t="inlineStr">
        <is>
          <t>LoanAmount / CombinedIncome</t>
        </is>
      </c>
      <c r="D8" t="inlineStr">
        <is>
          <t>Relative indicator only; not debt service capacity</t>
        </is>
      </c>
    </row>
    <row r="9">
      <c r="A9" t="inlineStr">
        <is>
          <t>Revenue Analysis</t>
        </is>
      </c>
      <c r="B9" t="inlineStr">
        <is>
          <t>Unavailable</t>
        </is>
      </c>
      <c r="C9" t="inlineStr">
        <is>
          <t>No revenue field</t>
        </is>
      </c>
      <c r="D9" t="inlineStr">
        <is>
          <t>Cannot calculate</t>
        </is>
      </c>
    </row>
    <row r="10">
      <c r="A10" t="inlineStr">
        <is>
          <t>Cost Analysis</t>
        </is>
      </c>
      <c r="B10" t="inlineStr">
        <is>
          <t>Unavailable</t>
        </is>
      </c>
      <c r="C10" t="inlineStr">
        <is>
          <t>No cost field</t>
        </is>
      </c>
      <c r="D10" t="inlineStr">
        <is>
          <t>Cannot calculate</t>
        </is>
      </c>
    </row>
    <row r="11">
      <c r="A11" t="inlineStr">
        <is>
          <t>Credit Exposure</t>
        </is>
      </c>
      <c r="B11" t="inlineStr">
        <is>
          <t>Unavailable</t>
        </is>
      </c>
      <c r="C11" t="inlineStr">
        <is>
          <t>No disbursed or outstanding balance field</t>
        </is>
      </c>
      <c r="D11" t="inlineStr">
        <is>
          <t>Applications are not exposure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E6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1" customWidth="1" min="3" max="3"/>
    <col width="11" customWidth="1" min="4" max="4"/>
    <col width="21" customWidth="1" min="5" max="5"/>
  </cols>
  <sheetData>
    <row r="1" ht="28" customHeight="1">
      <c r="A1" s="29" t="inlineStr">
        <is>
          <t>Management Summary Tables</t>
        </is>
      </c>
      <c r="B1" s="29" t="n"/>
      <c r="C1" s="29" t="n"/>
      <c r="D1" s="29" t="n"/>
      <c r="E1" s="29" t="n"/>
    </row>
    <row r="2"/>
    <row r="3">
      <c r="A3" t="inlineStr">
        <is>
          <t>Approval outcome by Property_Area</t>
        </is>
      </c>
    </row>
    <row r="4">
      <c r="A4" t="inlineStr">
        <is>
          <t>Property_Area</t>
        </is>
      </c>
      <c r="B4" t="inlineStr">
        <is>
          <t>Applications</t>
        </is>
      </c>
      <c r="C4" t="inlineStr">
        <is>
          <t>Approved</t>
        </is>
      </c>
      <c r="D4" t="inlineStr">
        <is>
          <t>Rejected</t>
        </is>
      </c>
      <c r="E4" t="inlineStr">
        <is>
          <t>Approval Rate</t>
        </is>
      </c>
    </row>
    <row r="5">
      <c r="A5" t="inlineStr">
        <is>
          <t>Rural</t>
        </is>
      </c>
      <c r="B5" t="n">
        <v>179</v>
      </c>
      <c r="C5" t="n">
        <v>110</v>
      </c>
      <c r="D5" t="n">
        <v>69</v>
      </c>
      <c r="E5" t="n">
        <v>0.6145251396648045</v>
      </c>
    </row>
    <row r="6">
      <c r="A6" t="inlineStr">
        <is>
          <t>Semiurban</t>
        </is>
      </c>
      <c r="B6" t="n">
        <v>233</v>
      </c>
      <c r="C6" t="n">
        <v>179</v>
      </c>
      <c r="D6" t="n">
        <v>54</v>
      </c>
      <c r="E6" t="n">
        <v>0.7682403433476395</v>
      </c>
    </row>
    <row r="7">
      <c r="A7" t="inlineStr">
        <is>
          <t>Urban</t>
        </is>
      </c>
      <c r="B7" t="n">
        <v>202</v>
      </c>
      <c r="C7" t="n">
        <v>133</v>
      </c>
      <c r="D7" t="n">
        <v>69</v>
      </c>
      <c r="E7" t="n">
        <v>0.6584158415841584</v>
      </c>
    </row>
    <row r="8"/>
    <row r="9"/>
    <row r="10"/>
    <row r="11"/>
    <row r="12"/>
    <row r="13"/>
    <row r="14"/>
    <row r="15"/>
    <row r="16"/>
    <row r="17"/>
    <row r="18"/>
    <row r="19"/>
    <row r="20">
      <c r="A20" t="inlineStr">
        <is>
          <t>Approval outcome by Credit_History</t>
        </is>
      </c>
    </row>
    <row r="21">
      <c r="A21" t="inlineStr">
        <is>
          <t>Credit_History</t>
        </is>
      </c>
      <c r="B21" t="inlineStr">
        <is>
          <t>Applications</t>
        </is>
      </c>
      <c r="C21" t="inlineStr">
        <is>
          <t>Approved</t>
        </is>
      </c>
      <c r="D21" t="inlineStr">
        <is>
          <t>Rejected</t>
        </is>
      </c>
      <c r="E21" t="inlineStr">
        <is>
          <t>Approval Rate</t>
        </is>
      </c>
    </row>
    <row r="22">
      <c r="A22" t="inlineStr">
        <is>
          <t>0.0</t>
        </is>
      </c>
      <c r="B22" t="n">
        <v>89</v>
      </c>
      <c r="C22" t="n">
        <v>7</v>
      </c>
      <c r="D22" t="n">
        <v>82</v>
      </c>
      <c r="E22" t="n">
        <v>0.07865168539325842</v>
      </c>
    </row>
    <row r="23">
      <c r="A23" t="inlineStr">
        <is>
          <t>1.0</t>
        </is>
      </c>
      <c r="B23" t="n">
        <v>475</v>
      </c>
      <c r="C23" t="n">
        <v>378</v>
      </c>
      <c r="D23" t="n">
        <v>97</v>
      </c>
      <c r="E23" t="n">
        <v>0.7957894736842105</v>
      </c>
    </row>
    <row r="24">
      <c r="A24" t="inlineStr">
        <is>
          <t>Missing</t>
        </is>
      </c>
      <c r="B24" t="n">
        <v>50</v>
      </c>
      <c r="C24" t="n">
        <v>37</v>
      </c>
      <c r="D24" t="n">
        <v>13</v>
      </c>
      <c r="E24" t="n">
        <v>0.74</v>
      </c>
    </row>
    <row r="25"/>
    <row r="26"/>
    <row r="27"/>
    <row r="28"/>
    <row r="29"/>
    <row r="30"/>
    <row r="31"/>
    <row r="32"/>
    <row r="33"/>
    <row r="34"/>
    <row r="35"/>
    <row r="36"/>
    <row r="37">
      <c r="A37" t="inlineStr">
        <is>
          <t>Approval outcome by Education</t>
        </is>
      </c>
    </row>
    <row r="38">
      <c r="A38" t="inlineStr">
        <is>
          <t>Education</t>
        </is>
      </c>
      <c r="B38" t="inlineStr">
        <is>
          <t>Applications</t>
        </is>
      </c>
      <c r="C38" t="inlineStr">
        <is>
          <t>Approved</t>
        </is>
      </c>
      <c r="D38" t="inlineStr">
        <is>
          <t>Rejected</t>
        </is>
      </c>
      <c r="E38" t="inlineStr">
        <is>
          <t>Approval Rate</t>
        </is>
      </c>
    </row>
    <row r="39">
      <c r="A39" t="inlineStr">
        <is>
          <t>Graduate</t>
        </is>
      </c>
      <c r="B39" t="n">
        <v>480</v>
      </c>
      <c r="C39" t="n">
        <v>340</v>
      </c>
      <c r="D39" t="n">
        <v>140</v>
      </c>
      <c r="E39" t="n">
        <v>0.7083333333333334</v>
      </c>
    </row>
    <row r="40">
      <c r="A40" t="inlineStr">
        <is>
          <t>Not Graduate</t>
        </is>
      </c>
      <c r="B40" t="n">
        <v>134</v>
      </c>
      <c r="C40" t="n">
        <v>82</v>
      </c>
      <c r="D40" t="n">
        <v>52</v>
      </c>
      <c r="E40" t="n">
        <v>0.6119402985074627</v>
      </c>
    </row>
    <row r="41"/>
    <row r="42"/>
    <row r="43"/>
    <row r="44"/>
    <row r="45"/>
    <row r="46"/>
    <row r="47">
      <c r="A47" t="inlineStr">
        <is>
          <t>Approval outcome by Self_Employed</t>
        </is>
      </c>
    </row>
    <row r="48">
      <c r="A48" t="inlineStr">
        <is>
          <t>Self_Employed</t>
        </is>
      </c>
      <c r="B48" t="inlineStr">
        <is>
          <t>Applications</t>
        </is>
      </c>
      <c r="C48" t="inlineStr">
        <is>
          <t>Approved</t>
        </is>
      </c>
      <c r="D48" t="inlineStr">
        <is>
          <t>Rejected</t>
        </is>
      </c>
      <c r="E48" t="inlineStr">
        <is>
          <t>Approval Rate</t>
        </is>
      </c>
    </row>
    <row r="49">
      <c r="A49" t="inlineStr">
        <is>
          <t>No</t>
        </is>
      </c>
      <c r="B49" t="n">
        <v>500</v>
      </c>
      <c r="C49" t="n">
        <v>343</v>
      </c>
      <c r="D49" t="n">
        <v>157</v>
      </c>
      <c r="E49" t="n">
        <v>0.6860000000000001</v>
      </c>
    </row>
    <row r="50">
      <c r="A50" t="inlineStr">
        <is>
          <t>Yes</t>
        </is>
      </c>
      <c r="B50" t="n">
        <v>82</v>
      </c>
      <c r="C50" t="n">
        <v>56</v>
      </c>
      <c r="D50" t="n">
        <v>26</v>
      </c>
      <c r="E50" t="n">
        <v>0.6829268292682927</v>
      </c>
    </row>
    <row r="51">
      <c r="A51" t="inlineStr">
        <is>
          <t>Missing</t>
        </is>
      </c>
      <c r="B51" t="n">
        <v>32</v>
      </c>
      <c r="C51" t="n">
        <v>23</v>
      </c>
      <c r="D51" t="n">
        <v>9</v>
      </c>
      <c r="E51" t="n">
        <v>0.71875</v>
      </c>
    </row>
    <row r="52"/>
    <row r="53"/>
    <row r="54"/>
    <row r="55"/>
    <row r="56"/>
    <row r="57"/>
    <row r="58"/>
    <row r="59"/>
    <row r="60"/>
    <row r="61"/>
    <row r="62"/>
    <row r="63"/>
    <row r="64">
      <c r="A64" t="inlineStr">
        <is>
          <t>Approval outcome by Risk_Category</t>
        </is>
      </c>
    </row>
    <row r="65">
      <c r="A65" t="inlineStr">
        <is>
          <t>Risk_Category</t>
        </is>
      </c>
      <c r="B65" t="inlineStr">
        <is>
          <t>Applications</t>
        </is>
      </c>
      <c r="C65" t="inlineStr">
        <is>
          <t>Approved</t>
        </is>
      </c>
      <c r="D65" t="inlineStr">
        <is>
          <t>Rejected</t>
        </is>
      </c>
      <c r="E65" t="inlineStr">
        <is>
          <t>Approval Rate</t>
        </is>
      </c>
    </row>
    <row r="66">
      <c r="A66" t="inlineStr">
        <is>
          <t>High Risk</t>
        </is>
      </c>
      <c r="B66" t="n">
        <v>95</v>
      </c>
      <c r="C66" t="n">
        <v>0</v>
      </c>
      <c r="D66" t="n">
        <v>95</v>
      </c>
      <c r="E66" t="n">
        <v>0</v>
      </c>
    </row>
    <row r="67">
      <c r="A67" t="inlineStr">
        <is>
          <t>Lower Risk</t>
        </is>
      </c>
      <c r="B67" t="n">
        <v>378</v>
      </c>
      <c r="C67" t="n">
        <v>378</v>
      </c>
      <c r="D67" t="n">
        <v>0</v>
      </c>
      <c r="E67" t="n">
        <v>1</v>
      </c>
    </row>
    <row r="68">
      <c r="A68" t="inlineStr">
        <is>
          <t>Medium Risk</t>
        </is>
      </c>
      <c r="B68" t="n">
        <v>141</v>
      </c>
      <c r="C68" t="n">
        <v>44</v>
      </c>
      <c r="D68" t="n">
        <v>97</v>
      </c>
      <c r="E68" t="n">
        <v>0.3120567375886525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M365 Copilot</dc:creator>
  <dcterms:created xsi:type="dcterms:W3CDTF">2026-10-10T06:00:30.1228337Z</dcterms:created>
  <dcterms:modified xsi:type="dcterms:W3CDTF">2026-10-10T06:00:30.1228337Z</dcterms:modified>
  <lastModifiedBy>M365 Copilot</lastModifiedBy>
</coreProperties>
</file>