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h\Desktop\educational\github_loxford_pvt\AI_tools\chatGPT_PLUS\finance_agent_workshop_Using_ChatGPT_PLUS_Work\"/>
    </mc:Choice>
  </mc:AlternateContent>
  <xr:revisionPtr revIDLastSave="0" documentId="13_ncr:1_{D221D479-5E9E-43B4-B3FC-4DB7DD66EE12}" xr6:coauthVersionLast="47" xr6:coauthVersionMax="47" xr10:uidLastSave="{00000000-0000-0000-0000-000000000000}"/>
  <bookViews>
    <workbookView xWindow="390" yWindow="390" windowWidth="28080" windowHeight="14160" tabRatio="758" firstSheet="6" activeTab="13" xr2:uid="{00000000-000D-0000-FFFF-FFFF00000000}"/>
  </bookViews>
  <sheets>
    <sheet name="Brief" sheetId="1" r:id="rId1"/>
    <sheet name="Sheet1" sheetId="13" r:id="rId2"/>
    <sheet name="Sheet2" sheetId="14" r:id="rId3"/>
    <sheet name="Budget" sheetId="2" r:id="rId4"/>
    <sheet name="Actuals" sheetId="3" r:id="rId5"/>
    <sheet name="Evidence" sheetId="4" r:id="rId6"/>
    <sheet name="Clarification log" sheetId="5" r:id="rId7"/>
    <sheet name="Clean actuals" sheetId="6" r:id="rId8"/>
    <sheet name="Cleaning log" sheetId="7" r:id="rId9"/>
    <sheet name="Excluded rows" sheetId="8" r:id="rId10"/>
    <sheet name="Variance analysis" sheetId="9" r:id="rId11"/>
    <sheet name="CFO report" sheetId="10" r:id="rId12"/>
    <sheet name="Report notes" sheetId="11" r:id="rId13"/>
    <sheet name="Reconciliation" sheetId="12"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10" l="1"/>
  <c r="D96" i="9"/>
  <c r="F89" i="9"/>
  <c r="H89" i="9" s="1"/>
  <c r="F73" i="9"/>
  <c r="E73" i="9"/>
  <c r="D73" i="9"/>
  <c r="E72" i="9"/>
  <c r="D72" i="9"/>
  <c r="E71" i="9"/>
  <c r="F71" i="9" s="1"/>
  <c r="H71" i="9" s="1"/>
  <c r="D71" i="9"/>
  <c r="H70" i="9"/>
  <c r="E70" i="9"/>
  <c r="F70" i="9" s="1"/>
  <c r="D70" i="9"/>
  <c r="F69" i="9"/>
  <c r="E69" i="9"/>
  <c r="D69" i="9"/>
  <c r="E68" i="9"/>
  <c r="F68" i="9" s="1"/>
  <c r="H68" i="9" s="1"/>
  <c r="D68" i="9"/>
  <c r="E67" i="9"/>
  <c r="F67" i="9" s="1"/>
  <c r="D67" i="9"/>
  <c r="E66" i="9"/>
  <c r="F66" i="9" s="1"/>
  <c r="G66" i="9" s="1"/>
  <c r="D66" i="9"/>
  <c r="F65" i="9"/>
  <c r="E65" i="9"/>
  <c r="D65" i="9"/>
  <c r="E64" i="9"/>
  <c r="E10" i="10" s="1"/>
  <c r="D64" i="9"/>
  <c r="E63" i="9"/>
  <c r="F63" i="9" s="1"/>
  <c r="D63" i="9"/>
  <c r="H62" i="9"/>
  <c r="E62" i="9"/>
  <c r="F62" i="9" s="1"/>
  <c r="D62" i="9"/>
  <c r="E61" i="9"/>
  <c r="F61" i="9" s="1"/>
  <c r="D61" i="9"/>
  <c r="E60" i="9"/>
  <c r="F60" i="9" s="1"/>
  <c r="D60" i="9"/>
  <c r="E59" i="9"/>
  <c r="E8" i="10" s="1"/>
  <c r="D59" i="9"/>
  <c r="E58" i="9"/>
  <c r="F58" i="9" s="1"/>
  <c r="H58" i="9" s="1"/>
  <c r="D58" i="9"/>
  <c r="F57" i="9"/>
  <c r="E57" i="9"/>
  <c r="D57" i="9"/>
  <c r="E56" i="9"/>
  <c r="D56" i="9"/>
  <c r="E55" i="9"/>
  <c r="F55" i="9" s="1"/>
  <c r="D55" i="9"/>
  <c r="H54" i="9"/>
  <c r="E54" i="9"/>
  <c r="F54" i="9" s="1"/>
  <c r="D54" i="9"/>
  <c r="E53" i="9"/>
  <c r="F53" i="9" s="1"/>
  <c r="D53" i="9"/>
  <c r="E52" i="9"/>
  <c r="D52" i="9"/>
  <c r="E51" i="9"/>
  <c r="F51" i="9" s="1"/>
  <c r="D51" i="9"/>
  <c r="G50" i="9"/>
  <c r="E50" i="9"/>
  <c r="F50" i="9" s="1"/>
  <c r="H50" i="9" s="1"/>
  <c r="D50" i="9"/>
  <c r="F49" i="9"/>
  <c r="E49" i="9"/>
  <c r="D49" i="9"/>
  <c r="G48" i="9"/>
  <c r="I48" i="9" s="1"/>
  <c r="E48" i="9"/>
  <c r="F48" i="9" s="1"/>
  <c r="H48" i="9" s="1"/>
  <c r="D48" i="9"/>
  <c r="E47" i="9"/>
  <c r="F47" i="9" s="1"/>
  <c r="D47" i="9"/>
  <c r="E46" i="9"/>
  <c r="F46" i="9" s="1"/>
  <c r="D46" i="9"/>
  <c r="E45" i="9"/>
  <c r="F45" i="9" s="1"/>
  <c r="D45" i="9"/>
  <c r="E44" i="9"/>
  <c r="D44" i="9"/>
  <c r="G43" i="9"/>
  <c r="E43" i="9"/>
  <c r="F43" i="9" s="1"/>
  <c r="D43" i="9"/>
  <c r="E42" i="9"/>
  <c r="F42" i="9" s="1"/>
  <c r="H42" i="9" s="1"/>
  <c r="D42" i="9"/>
  <c r="F41" i="9"/>
  <c r="E41" i="9"/>
  <c r="D41" i="9"/>
  <c r="E40" i="9"/>
  <c r="D40" i="9"/>
  <c r="D100" i="9" s="1"/>
  <c r="E39" i="9"/>
  <c r="F39" i="9" s="1"/>
  <c r="D39" i="9"/>
  <c r="E38" i="9"/>
  <c r="F38" i="9" s="1"/>
  <c r="D38" i="9"/>
  <c r="E37" i="9"/>
  <c r="F37" i="9" s="1"/>
  <c r="D37" i="9"/>
  <c r="E36" i="9"/>
  <c r="D36" i="9"/>
  <c r="E35" i="9"/>
  <c r="F35" i="9" s="1"/>
  <c r="D35" i="9"/>
  <c r="H34" i="9"/>
  <c r="G34" i="9"/>
  <c r="E34" i="9"/>
  <c r="F34" i="9" s="1"/>
  <c r="D34" i="9"/>
  <c r="F33" i="9"/>
  <c r="E33" i="9"/>
  <c r="D33" i="9"/>
  <c r="G32" i="9"/>
  <c r="I32" i="9" s="1"/>
  <c r="E32" i="9"/>
  <c r="F32" i="9" s="1"/>
  <c r="H32" i="9" s="1"/>
  <c r="D32" i="9"/>
  <c r="E31" i="9"/>
  <c r="F31" i="9" s="1"/>
  <c r="D31" i="9"/>
  <c r="E30" i="9"/>
  <c r="F30" i="9" s="1"/>
  <c r="H30" i="9" s="1"/>
  <c r="D30" i="9"/>
  <c r="E29" i="9"/>
  <c r="F29" i="9" s="1"/>
  <c r="D29" i="9"/>
  <c r="E28" i="9"/>
  <c r="D28" i="9"/>
  <c r="E27" i="9"/>
  <c r="D27" i="9"/>
  <c r="D7" i="10" s="1"/>
  <c r="E26" i="9"/>
  <c r="F26" i="9" s="1"/>
  <c r="H26" i="9" s="1"/>
  <c r="D26" i="9"/>
  <c r="F25" i="9"/>
  <c r="E25" i="9"/>
  <c r="E97" i="9" s="1"/>
  <c r="F97" i="9" s="1"/>
  <c r="D25" i="9"/>
  <c r="D97" i="9" s="1"/>
  <c r="E24" i="9"/>
  <c r="F24" i="9" s="1"/>
  <c r="H24" i="9" s="1"/>
  <c r="D24" i="9"/>
  <c r="E23" i="9"/>
  <c r="F23" i="9" s="1"/>
  <c r="D23" i="9"/>
  <c r="D95" i="9" s="1"/>
  <c r="E22" i="9"/>
  <c r="D22" i="9"/>
  <c r="D94" i="9" s="1"/>
  <c r="E21" i="9"/>
  <c r="E93" i="9" s="1"/>
  <c r="F93" i="9" s="1"/>
  <c r="H93" i="9" s="1"/>
  <c r="D21" i="9"/>
  <c r="D93" i="9" s="1"/>
  <c r="E20" i="9"/>
  <c r="D20" i="9"/>
  <c r="D92" i="9" s="1"/>
  <c r="E19" i="9"/>
  <c r="D19" i="9"/>
  <c r="D91" i="9" s="1"/>
  <c r="E18" i="9"/>
  <c r="F18" i="9" s="1"/>
  <c r="H18" i="9" s="1"/>
  <c r="D18" i="9"/>
  <c r="F17" i="9"/>
  <c r="E17" i="9"/>
  <c r="E89" i="9" s="1"/>
  <c r="D17" i="9"/>
  <c r="D89" i="9" s="1"/>
  <c r="G16" i="9"/>
  <c r="I16" i="9" s="1"/>
  <c r="E16" i="9"/>
  <c r="F16" i="9" s="1"/>
  <c r="H16" i="9" s="1"/>
  <c r="D16" i="9"/>
  <c r="D88" i="9" s="1"/>
  <c r="E15" i="9"/>
  <c r="F15" i="9" s="1"/>
  <c r="D15" i="9"/>
  <c r="D87" i="9" s="1"/>
  <c r="E14" i="9"/>
  <c r="D14" i="9"/>
  <c r="D86" i="9" s="1"/>
  <c r="E13" i="9"/>
  <c r="E85" i="9" s="1"/>
  <c r="F85" i="9" s="1"/>
  <c r="H85" i="9" s="1"/>
  <c r="D13" i="9"/>
  <c r="D85" i="9" s="1"/>
  <c r="E12" i="9"/>
  <c r="D12" i="9"/>
  <c r="E11" i="9"/>
  <c r="D11" i="9"/>
  <c r="D83" i="9" s="1"/>
  <c r="E10" i="9"/>
  <c r="F10" i="9" s="1"/>
  <c r="H10" i="9" s="1"/>
  <c r="D10" i="9"/>
  <c r="F9" i="9"/>
  <c r="E9" i="9"/>
  <c r="E81" i="9" s="1"/>
  <c r="F81" i="9" s="1"/>
  <c r="D9" i="9"/>
  <c r="D81" i="9" s="1"/>
  <c r="E8" i="9"/>
  <c r="D8" i="9"/>
  <c r="E7" i="9"/>
  <c r="F7" i="9" s="1"/>
  <c r="D7" i="9"/>
  <c r="D79" i="9" s="1"/>
  <c r="E6" i="9"/>
  <c r="D6" i="9"/>
  <c r="D78" i="9" s="1"/>
  <c r="E5" i="9"/>
  <c r="D5" i="9"/>
  <c r="D77" i="9" s="1"/>
  <c r="E4" i="9"/>
  <c r="D4" i="9"/>
  <c r="E3" i="9"/>
  <c r="D3" i="9"/>
  <c r="D75" i="9" s="1"/>
  <c r="E2" i="9"/>
  <c r="D2" i="9"/>
  <c r="H29" i="9" l="1"/>
  <c r="G29" i="9"/>
  <c r="I29" i="9"/>
  <c r="D14" i="10"/>
  <c r="H81" i="9"/>
  <c r="I81" i="9"/>
  <c r="H37" i="9"/>
  <c r="G37" i="9"/>
  <c r="I37" i="9"/>
  <c r="H45" i="9"/>
  <c r="G45" i="9"/>
  <c r="I45" i="9"/>
  <c r="H97" i="9"/>
  <c r="D4" i="10"/>
  <c r="H53" i="9"/>
  <c r="G53" i="9"/>
  <c r="I53" i="9"/>
  <c r="H61" i="9"/>
  <c r="G61" i="9"/>
  <c r="I61" i="9" s="1"/>
  <c r="G28" i="9"/>
  <c r="G12" i="9"/>
  <c r="I12" i="9" s="1"/>
  <c r="H63" i="9"/>
  <c r="G63" i="9"/>
  <c r="G68" i="9"/>
  <c r="D76" i="9"/>
  <c r="D99" i="9"/>
  <c r="F12" i="9"/>
  <c r="H12" i="9" s="1"/>
  <c r="G89" i="9"/>
  <c r="I89" i="9" s="1"/>
  <c r="F21" i="9"/>
  <c r="I26" i="9"/>
  <c r="F44" i="9"/>
  <c r="H44" i="9" s="1"/>
  <c r="I63" i="9"/>
  <c r="E99" i="9"/>
  <c r="I35" i="9"/>
  <c r="H35" i="9"/>
  <c r="F40" i="9"/>
  <c r="H40" i="9" s="1"/>
  <c r="G58" i="9"/>
  <c r="D10" i="10"/>
  <c r="H7" i="9"/>
  <c r="G7" i="9"/>
  <c r="I7" i="9" s="1"/>
  <c r="G93" i="9"/>
  <c r="I93" i="9" s="1"/>
  <c r="H25" i="9"/>
  <c r="G25" i="9"/>
  <c r="I25" i="9" s="1"/>
  <c r="F4" i="9"/>
  <c r="E76" i="9"/>
  <c r="F76" i="9" s="1"/>
  <c r="H76" i="9" s="1"/>
  <c r="G8" i="9"/>
  <c r="G85" i="9"/>
  <c r="I85" i="9" s="1"/>
  <c r="H17" i="9"/>
  <c r="G17" i="9"/>
  <c r="I17" i="9" s="1"/>
  <c r="G26" i="9"/>
  <c r="H31" i="9"/>
  <c r="G31" i="9"/>
  <c r="G35" i="9"/>
  <c r="G40" i="9"/>
  <c r="I40" i="9" s="1"/>
  <c r="H49" i="9"/>
  <c r="G49" i="9"/>
  <c r="H69" i="9"/>
  <c r="G69" i="9"/>
  <c r="I69" i="9" s="1"/>
  <c r="I49" i="9"/>
  <c r="G54" i="9"/>
  <c r="I54" i="9" s="1"/>
  <c r="E79" i="9"/>
  <c r="F79" i="9" s="1"/>
  <c r="H79" i="9" s="1"/>
  <c r="I58" i="9"/>
  <c r="F22" i="9"/>
  <c r="E94" i="9"/>
  <c r="F94" i="9" s="1"/>
  <c r="H94" i="9" s="1"/>
  <c r="I31" i="9"/>
  <c r="G81" i="9"/>
  <c r="F13" i="9"/>
  <c r="I18" i="9"/>
  <c r="F36" i="9"/>
  <c r="I50" i="9"/>
  <c r="G70" i="9"/>
  <c r="I70" i="9" s="1"/>
  <c r="D80" i="9"/>
  <c r="H39" i="9"/>
  <c r="G39" i="9"/>
  <c r="E7" i="10"/>
  <c r="F27" i="9"/>
  <c r="I60" i="9"/>
  <c r="H9" i="10" s="1"/>
  <c r="D9" i="10"/>
  <c r="H65" i="9"/>
  <c r="G65" i="9"/>
  <c r="I65" i="9" s="1"/>
  <c r="E95" i="9"/>
  <c r="F95" i="9" s="1"/>
  <c r="H95" i="9" s="1"/>
  <c r="G30" i="9"/>
  <c r="I30" i="9" s="1"/>
  <c r="H55" i="9"/>
  <c r="G55" i="9"/>
  <c r="I55" i="9" s="1"/>
  <c r="F9" i="10"/>
  <c r="H60" i="9"/>
  <c r="I39" i="9"/>
  <c r="G46" i="9"/>
  <c r="I46" i="9" s="1"/>
  <c r="G60" i="9"/>
  <c r="G9" i="10" s="1"/>
  <c r="I66" i="9"/>
  <c r="G78" i="9"/>
  <c r="I78" i="9" s="1"/>
  <c r="I10" i="9"/>
  <c r="F28" i="9"/>
  <c r="H28" i="9" s="1"/>
  <c r="H46" i="9"/>
  <c r="D84" i="9"/>
  <c r="E77" i="9"/>
  <c r="F77" i="9" s="1"/>
  <c r="H77" i="9" s="1"/>
  <c r="G95" i="9"/>
  <c r="F5" i="9"/>
  <c r="H9" i="9"/>
  <c r="G9" i="9"/>
  <c r="I9" i="9" s="1"/>
  <c r="G18" i="9"/>
  <c r="H51" i="9"/>
  <c r="F56" i="9"/>
  <c r="H56" i="9" s="1"/>
  <c r="F6" i="9"/>
  <c r="E78" i="9"/>
  <c r="F78" i="9" s="1"/>
  <c r="H78" i="9" s="1"/>
  <c r="H15" i="9"/>
  <c r="G15" i="9"/>
  <c r="I15" i="9" s="1"/>
  <c r="G24" i="9"/>
  <c r="I24" i="9" s="1"/>
  <c r="H33" i="9"/>
  <c r="G33" i="9"/>
  <c r="I33" i="9" s="1"/>
  <c r="G42" i="9"/>
  <c r="I42" i="9" s="1"/>
  <c r="H47" i="9"/>
  <c r="G47" i="9"/>
  <c r="G51" i="9"/>
  <c r="I51" i="9" s="1"/>
  <c r="H66" i="9"/>
  <c r="F3" i="9"/>
  <c r="E75" i="9"/>
  <c r="F19" i="9"/>
  <c r="E91" i="9"/>
  <c r="F91" i="9" s="1"/>
  <c r="H91" i="9" s="1"/>
  <c r="H23" i="9"/>
  <c r="G23" i="9"/>
  <c r="H41" i="9"/>
  <c r="G41" i="9"/>
  <c r="I41" i="9" s="1"/>
  <c r="F72" i="9"/>
  <c r="H72" i="9" s="1"/>
  <c r="E102" i="9"/>
  <c r="G10" i="9"/>
  <c r="D101" i="9"/>
  <c r="G38" i="9"/>
  <c r="I38" i="9" s="1"/>
  <c r="I47" i="9"/>
  <c r="D12" i="10"/>
  <c r="F20" i="9"/>
  <c r="H20" i="9" s="1"/>
  <c r="G97" i="9"/>
  <c r="I97" i="9" s="1"/>
  <c r="I34" i="9"/>
  <c r="H38" i="9"/>
  <c r="F52" i="9"/>
  <c r="G62" i="9"/>
  <c r="I62" i="9" s="1"/>
  <c r="H67" i="9"/>
  <c r="G67" i="9"/>
  <c r="I67" i="9" s="1"/>
  <c r="H73" i="9"/>
  <c r="G73" i="9"/>
  <c r="I73" i="9" s="1"/>
  <c r="E87" i="9"/>
  <c r="F87" i="9" s="1"/>
  <c r="H87" i="9" s="1"/>
  <c r="E100" i="9"/>
  <c r="F14" i="9"/>
  <c r="E86" i="9"/>
  <c r="F86" i="9" s="1"/>
  <c r="H86" i="9" s="1"/>
  <c r="I23" i="9"/>
  <c r="I28" i="9"/>
  <c r="D102" i="9"/>
  <c r="D11" i="10"/>
  <c r="I79" i="9"/>
  <c r="G79" i="9"/>
  <c r="F11" i="9"/>
  <c r="E83" i="9"/>
  <c r="I43" i="9"/>
  <c r="H43" i="9"/>
  <c r="H57" i="9"/>
  <c r="G57" i="9"/>
  <c r="I57" i="9" s="1"/>
  <c r="I68" i="9"/>
  <c r="G71" i="9"/>
  <c r="I71" i="9" s="1"/>
  <c r="E74" i="9"/>
  <c r="F74" i="9" s="1"/>
  <c r="H74" i="9" s="1"/>
  <c r="E82" i="9"/>
  <c r="F82" i="9" s="1"/>
  <c r="H82" i="9" s="1"/>
  <c r="E90" i="9"/>
  <c r="F90" i="9" s="1"/>
  <c r="H90" i="9" s="1"/>
  <c r="E98" i="9"/>
  <c r="D74" i="9"/>
  <c r="D82" i="9"/>
  <c r="D90" i="9"/>
  <c r="D98" i="9"/>
  <c r="F2" i="9"/>
  <c r="E9" i="10"/>
  <c r="E101" i="9"/>
  <c r="E80" i="9"/>
  <c r="F80" i="9" s="1"/>
  <c r="H80" i="9" s="1"/>
  <c r="E88" i="9"/>
  <c r="E96" i="9"/>
  <c r="F96" i="9" s="1"/>
  <c r="H96" i="9" s="1"/>
  <c r="F8" i="9"/>
  <c r="F64" i="9"/>
  <c r="F59" i="9"/>
  <c r="E84" i="9"/>
  <c r="E92" i="9"/>
  <c r="F92" i="9" s="1"/>
  <c r="H92" i="9" s="1"/>
  <c r="F84" i="9" l="1"/>
  <c r="E13" i="10"/>
  <c r="F10" i="10"/>
  <c r="H64" i="9"/>
  <c r="H5" i="9"/>
  <c r="G5" i="9"/>
  <c r="I5" i="9" s="1"/>
  <c r="G87" i="9"/>
  <c r="G44" i="9"/>
  <c r="I44" i="9" s="1"/>
  <c r="F99" i="9"/>
  <c r="E3" i="10"/>
  <c r="D13" i="10"/>
  <c r="G84" i="9"/>
  <c r="G13" i="10" s="1"/>
  <c r="E5" i="10"/>
  <c r="F101" i="9"/>
  <c r="H19" i="9"/>
  <c r="G19" i="9"/>
  <c r="I19" i="9" s="1"/>
  <c r="F75" i="9"/>
  <c r="E11" i="10"/>
  <c r="H6" i="9"/>
  <c r="G6" i="9"/>
  <c r="I6" i="9" s="1"/>
  <c r="H27" i="9"/>
  <c r="F7" i="10"/>
  <c r="G27" i="9"/>
  <c r="G7" i="10" s="1"/>
  <c r="G77" i="9"/>
  <c r="I77" i="9" s="1"/>
  <c r="G102" i="9"/>
  <c r="G6" i="10" s="1"/>
  <c r="D6" i="10"/>
  <c r="D3" i="10"/>
  <c r="H36" i="9"/>
  <c r="G36" i="9"/>
  <c r="H4" i="9"/>
  <c r="G4" i="9"/>
  <c r="I4" i="9" s="1"/>
  <c r="H21" i="9"/>
  <c r="G21" i="9"/>
  <c r="I21" i="9"/>
  <c r="G20" i="9"/>
  <c r="H2" i="9"/>
  <c r="G2" i="9"/>
  <c r="I2" i="9" s="1"/>
  <c r="I20" i="9"/>
  <c r="G90" i="9"/>
  <c r="I90" i="9" s="1"/>
  <c r="D5" i="10"/>
  <c r="G56" i="9"/>
  <c r="G94" i="9"/>
  <c r="I94" i="9" s="1"/>
  <c r="G64" i="9"/>
  <c r="G10" i="10" s="1"/>
  <c r="I87" i="9"/>
  <c r="I72" i="9"/>
  <c r="H3" i="9"/>
  <c r="G3" i="9"/>
  <c r="I3" i="9"/>
  <c r="I64" i="9"/>
  <c r="H10" i="10" s="1"/>
  <c r="F8" i="10"/>
  <c r="H59" i="9"/>
  <c r="G59" i="9"/>
  <c r="G8" i="10" s="1"/>
  <c r="E14" i="10"/>
  <c r="F88" i="9"/>
  <c r="I14" i="9"/>
  <c r="G14" i="9"/>
  <c r="H14" i="9"/>
  <c r="H13" i="9"/>
  <c r="G13" i="9"/>
  <c r="I13" i="9"/>
  <c r="F100" i="9"/>
  <c r="E4" i="10"/>
  <c r="F83" i="9"/>
  <c r="E12" i="10"/>
  <c r="I56" i="9"/>
  <c r="D2" i="10"/>
  <c r="H11" i="9"/>
  <c r="G11" i="9"/>
  <c r="I11" i="9" s="1"/>
  <c r="G96" i="9"/>
  <c r="I96" i="9" s="1"/>
  <c r="G82" i="9"/>
  <c r="I82" i="9" s="1"/>
  <c r="G76" i="9"/>
  <c r="I76" i="9" s="1"/>
  <c r="G74" i="9"/>
  <c r="I74" i="9" s="1"/>
  <c r="G86" i="9"/>
  <c r="G91" i="9"/>
  <c r="G92" i="9"/>
  <c r="I92" i="9" s="1"/>
  <c r="H8" i="9"/>
  <c r="I8" i="9"/>
  <c r="I95" i="9"/>
  <c r="G72" i="9"/>
  <c r="I36" i="9"/>
  <c r="I22" i="9"/>
  <c r="G22" i="9"/>
  <c r="H22" i="9"/>
  <c r="F98" i="9"/>
  <c r="E2" i="10"/>
  <c r="H52" i="9"/>
  <c r="G52" i="9"/>
  <c r="I52" i="9" s="1"/>
  <c r="F102" i="9"/>
  <c r="E6" i="10"/>
  <c r="I86" i="9"/>
  <c r="I91" i="9"/>
  <c r="G80" i="9"/>
  <c r="I80" i="9" s="1"/>
  <c r="I102" i="9" l="1"/>
  <c r="H6" i="10" s="1"/>
  <c r="F6" i="10"/>
  <c r="H102" i="9"/>
  <c r="I27" i="9"/>
  <c r="H7" i="10" s="1"/>
  <c r="I84" i="9"/>
  <c r="H13" i="10" s="1"/>
  <c r="F4" i="10"/>
  <c r="H100" i="9"/>
  <c r="G100" i="9"/>
  <c r="G4" i="10" s="1"/>
  <c r="I100" i="9"/>
  <c r="H4" i="10" s="1"/>
  <c r="H83" i="9"/>
  <c r="F12" i="10"/>
  <c r="G83" i="9"/>
  <c r="G12" i="10" s="1"/>
  <c r="H99" i="9"/>
  <c r="F3" i="10"/>
  <c r="H98" i="9"/>
  <c r="F2" i="10"/>
  <c r="F14" i="10"/>
  <c r="H88" i="9"/>
  <c r="G88" i="9"/>
  <c r="G14" i="10" s="1"/>
  <c r="I88" i="9"/>
  <c r="H14" i="10" s="1"/>
  <c r="H101" i="9"/>
  <c r="F5" i="10"/>
  <c r="G101" i="9"/>
  <c r="G5" i="10" s="1"/>
  <c r="F11" i="10"/>
  <c r="H75" i="9"/>
  <c r="G75" i="9"/>
  <c r="G11" i="10" s="1"/>
  <c r="G99" i="9"/>
  <c r="G3" i="10" s="1"/>
  <c r="G98" i="9"/>
  <c r="G2" i="10" s="1"/>
  <c r="I59" i="9"/>
  <c r="H8" i="10" s="1"/>
  <c r="F13" i="10"/>
  <c r="H84" i="9"/>
  <c r="I75" i="9" l="1"/>
  <c r="H11" i="10" s="1"/>
  <c r="I83" i="9"/>
  <c r="H12" i="10" s="1"/>
  <c r="I99" i="9"/>
  <c r="H3" i="10" s="1"/>
  <c r="I98" i="9"/>
  <c r="H2" i="10" s="1"/>
  <c r="I101" i="9"/>
  <c r="H5" i="10" s="1"/>
</calcChain>
</file>

<file path=xl/sharedStrings.xml><?xml version="1.0" encoding="utf-8"?>
<sst xmlns="http://schemas.openxmlformats.org/spreadsheetml/2006/main" count="1681" uniqueCount="405">
  <si>
    <t>Finance agent workshop</t>
  </si>
  <si>
    <t>Field</t>
  </si>
  <si>
    <t>Case rules</t>
  </si>
  <si>
    <t>Company</t>
  </si>
  <si>
    <t>Meridian Business Services Pvt Ltd (entirely fictional)</t>
  </si>
  <si>
    <t>Scope</t>
  </si>
  <si>
    <t>July to September 2026. Operating expenses only.</t>
  </si>
  <si>
    <t>Currency and basis</t>
  </si>
  <si>
    <t>INR in whole rupees. Accrual expenses, excluding GST. Not cash flow.</t>
  </si>
  <si>
    <t>Budget grain</t>
  </si>
  <si>
    <t>One row per month, department and expense category.</t>
  </si>
  <si>
    <t>Actuals grain</t>
  </si>
  <si>
    <t>One journal line per Transaction ID. Different IDs can share a document reference.</t>
  </si>
  <si>
    <t>Completeness</t>
  </si>
  <si>
    <t>Expected population: 4 departments x 6 categories x 3 months = 72 budget keys.</t>
  </si>
  <si>
    <t>Actual coverage</t>
  </si>
  <si>
    <t>Extract covers all budget keys. An absent valid journal line means zero spend only after completeness checks. Blank amounts are unknown.</t>
  </si>
  <si>
    <t>Authorized cleaning</t>
  </si>
  <si>
    <t>Remove only exact duplicate rows with the same Transaction ID. Keep one and log removal.</t>
  </si>
  <si>
    <t>Department mapping</t>
  </si>
  <si>
    <t>Map Financ to Finance. No other aliases are authorized.</t>
  </si>
  <si>
    <t>Conflicting IDs</t>
  </si>
  <si>
    <t>If the same Transaction ID has conflicting values, ask before resolving.</t>
  </si>
  <si>
    <t>Period cutoff</t>
  </si>
  <si>
    <t>Include posting months 1-Jul-2026 to 30-Sep-2026 inclusive. Keep out-of-period rows in the reconciliation only.</t>
  </si>
  <si>
    <t>Credits</t>
  </si>
  <si>
    <t>Keep negative amounts as credits reducing expense. Do not take absolute values of actuals.</t>
  </si>
  <si>
    <t>Missing values</t>
  </si>
  <si>
    <t>Never impute a missing amount. Ask the facilitator for the confirmed value and record the response.</t>
  </si>
  <si>
    <t>Variance</t>
  </si>
  <si>
    <t>Actual less budget. Positive = unfavorable expense variance. Negative = favorable expense variance.</t>
  </si>
  <si>
    <t>Percentage</t>
  </si>
  <si>
    <t>Variance divided by budget. Aggregate amounts first. Budget = 0 gives n.a., not 0%.</t>
  </si>
  <si>
    <t>Materiality</t>
  </si>
  <si>
    <t>For nonzero budgets, flag only if ABS(variance) &gt; INR 100,000 AND ABS(variance/budget) &gt; 10%. Test unrounded values.</t>
  </si>
  <si>
    <t>Zero budgets</t>
  </si>
  <si>
    <t>Separately flag nonzero actuals against zero budgets as Unbudgeted, regardless of materiality rule.</t>
  </si>
  <si>
    <t>Review levels</t>
  </si>
  <si>
    <t>Apply materiality independently at month + department + category, quarter + department + category, and quarter + department.</t>
  </si>
  <si>
    <t>Evidence</t>
  </si>
  <si>
    <t>Source notes are assertions for this fictional case. Distinguish those notes from verified amounts and unsupported hypotheses.</t>
  </si>
  <si>
    <t>Approval boundary</t>
  </si>
  <si>
    <t>Analyze and draft only. Do not send messages, book journals or initiate payments.</t>
  </si>
  <si>
    <t>Source</t>
  </si>
  <si>
    <t>Synthetic training data created for this workshop. No real company or personal records.</t>
  </si>
  <si>
    <t>Budget ID</t>
  </si>
  <si>
    <t>Month</t>
  </si>
  <si>
    <t>Department</t>
  </si>
  <si>
    <t>Category</t>
  </si>
  <si>
    <t>Budget INR</t>
  </si>
  <si>
    <t>B-7-0-0</t>
  </si>
  <si>
    <t>Sales</t>
  </si>
  <si>
    <t>Payroll</t>
  </si>
  <si>
    <t>B-7-0-1</t>
  </si>
  <si>
    <t>Travel</t>
  </si>
  <si>
    <t>B-7-0-2</t>
  </si>
  <si>
    <t>Software</t>
  </si>
  <si>
    <t>B-7-0-3</t>
  </si>
  <si>
    <t>Professional fees</t>
  </si>
  <si>
    <t>B-7-0-4</t>
  </si>
  <si>
    <t>Training</t>
  </si>
  <si>
    <t>B-7-0-5</t>
  </si>
  <si>
    <t>Facilities</t>
  </si>
  <si>
    <t>B-7-1-0</t>
  </si>
  <si>
    <t>Marketing</t>
  </si>
  <si>
    <t>B-7-1-1</t>
  </si>
  <si>
    <t>B-7-1-2</t>
  </si>
  <si>
    <t>B-7-1-3</t>
  </si>
  <si>
    <t>B-7-1-4</t>
  </si>
  <si>
    <t>B-7-1-5</t>
  </si>
  <si>
    <t>B-7-2-0</t>
  </si>
  <si>
    <t>Technology</t>
  </si>
  <si>
    <t>B-7-2-1</t>
  </si>
  <si>
    <t>B-7-2-2</t>
  </si>
  <si>
    <t>B-7-2-3</t>
  </si>
  <si>
    <t>B-7-2-4</t>
  </si>
  <si>
    <t>B-7-2-5</t>
  </si>
  <si>
    <t>B-7-3-0</t>
  </si>
  <si>
    <t>Finance</t>
  </si>
  <si>
    <t>B-7-3-1</t>
  </si>
  <si>
    <t>B-7-3-2</t>
  </si>
  <si>
    <t>B-7-3-3</t>
  </si>
  <si>
    <t>B-7-3-4</t>
  </si>
  <si>
    <t>B-7-3-5</t>
  </si>
  <si>
    <t>B-8-0-0</t>
  </si>
  <si>
    <t>B-8-0-1</t>
  </si>
  <si>
    <t>B-8-0-2</t>
  </si>
  <si>
    <t>B-8-0-3</t>
  </si>
  <si>
    <t>B-8-0-4</t>
  </si>
  <si>
    <t>B-8-0-5</t>
  </si>
  <si>
    <t>B-8-1-0</t>
  </si>
  <si>
    <t>B-8-1-1</t>
  </si>
  <si>
    <t>B-8-1-2</t>
  </si>
  <si>
    <t>B-8-1-3</t>
  </si>
  <si>
    <t>B-8-1-4</t>
  </si>
  <si>
    <t>B-8-1-5</t>
  </si>
  <si>
    <t>B-8-2-0</t>
  </si>
  <si>
    <t>B-8-2-1</t>
  </si>
  <si>
    <t>B-8-2-2</t>
  </si>
  <si>
    <t>B-8-2-3</t>
  </si>
  <si>
    <t>B-8-2-4</t>
  </si>
  <si>
    <t>B-8-2-5</t>
  </si>
  <si>
    <t>B-8-3-0</t>
  </si>
  <si>
    <t>B-8-3-1</t>
  </si>
  <si>
    <t>B-8-3-2</t>
  </si>
  <si>
    <t>B-8-3-3</t>
  </si>
  <si>
    <t>B-8-3-4</t>
  </si>
  <si>
    <t>B-8-3-5</t>
  </si>
  <si>
    <t>B-9-0-0</t>
  </si>
  <si>
    <t>B-9-0-1</t>
  </si>
  <si>
    <t>B-9-0-2</t>
  </si>
  <si>
    <t>B-9-0-3</t>
  </si>
  <si>
    <t>B-9-0-4</t>
  </si>
  <si>
    <t>B-9-0-5</t>
  </si>
  <si>
    <t>B-9-1-0</t>
  </si>
  <si>
    <t>B-9-1-1</t>
  </si>
  <si>
    <t>B-9-1-2</t>
  </si>
  <si>
    <t>B-9-1-3</t>
  </si>
  <si>
    <t>B-9-1-4</t>
  </si>
  <si>
    <t>B-9-1-5</t>
  </si>
  <si>
    <t>B-9-2-0</t>
  </si>
  <si>
    <t>B-9-2-1</t>
  </si>
  <si>
    <t>B-9-2-2</t>
  </si>
  <si>
    <t>B-9-2-3</t>
  </si>
  <si>
    <t>B-9-2-4</t>
  </si>
  <si>
    <t>B-9-2-5</t>
  </si>
  <si>
    <t>B-9-3-0</t>
  </si>
  <si>
    <t>B-9-3-1</t>
  </si>
  <si>
    <t>B-9-3-2</t>
  </si>
  <si>
    <t>B-9-3-3</t>
  </si>
  <si>
    <t>B-9-3-4</t>
  </si>
  <si>
    <t>B-9-3-5</t>
  </si>
  <si>
    <t>Transaction ID</t>
  </si>
  <si>
    <t>Posting month</t>
  </si>
  <si>
    <t>Document ref</t>
  </si>
  <si>
    <t>Description</t>
  </si>
  <si>
    <t>Actual INR</t>
  </si>
  <si>
    <t>J-1001</t>
  </si>
  <si>
    <t>INV-7-0-0</t>
  </si>
  <si>
    <t>Monthly expense</t>
  </si>
  <si>
    <t>J-1002</t>
  </si>
  <si>
    <t>INV-7-0-1</t>
  </si>
  <si>
    <t>J-1003</t>
  </si>
  <si>
    <t>INV-7-0-2</t>
  </si>
  <si>
    <t>J-1004</t>
  </si>
  <si>
    <t>INV-7-0-3</t>
  </si>
  <si>
    <t>J-1005</t>
  </si>
  <si>
    <t>INV-7-0-4</t>
  </si>
  <si>
    <t>J-1006</t>
  </si>
  <si>
    <t>INV-7-0-5</t>
  </si>
  <si>
    <t>J-1007</t>
  </si>
  <si>
    <t>INV-7-1-0</t>
  </si>
  <si>
    <t>J-1008</t>
  </si>
  <si>
    <t>INV-7-1-1</t>
  </si>
  <si>
    <t>J-1009</t>
  </si>
  <si>
    <t>INV-7-1-2</t>
  </si>
  <si>
    <t>J-1010</t>
  </si>
  <si>
    <t>INV-7-1-3</t>
  </si>
  <si>
    <t>J-1011</t>
  </si>
  <si>
    <t>INV-7-1-4</t>
  </si>
  <si>
    <t>J-1012</t>
  </si>
  <si>
    <t>INV-7-1-5</t>
  </si>
  <si>
    <t>J-1013</t>
  </si>
  <si>
    <t>INV-7-2-0</t>
  </si>
  <si>
    <t>J-1014</t>
  </si>
  <si>
    <t>INV-7-2-1</t>
  </si>
  <si>
    <t>J-1015</t>
  </si>
  <si>
    <t>INV-7-2-2</t>
  </si>
  <si>
    <t>J-1016</t>
  </si>
  <si>
    <t>INV-7-2-3</t>
  </si>
  <si>
    <t>J-1017</t>
  </si>
  <si>
    <t>INV-7-2-4</t>
  </si>
  <si>
    <t>J-1018</t>
  </si>
  <si>
    <t>INV-7-2-5</t>
  </si>
  <si>
    <t>J-1019</t>
  </si>
  <si>
    <t>INV-7-3-0</t>
  </si>
  <si>
    <t>J-1020</t>
  </si>
  <si>
    <t>INV-7-3-1</t>
  </si>
  <si>
    <t>J-1021</t>
  </si>
  <si>
    <t>INV-7-3-2</t>
  </si>
  <si>
    <t>J-1022</t>
  </si>
  <si>
    <t>INV-7-3-3</t>
  </si>
  <si>
    <t>J-1023</t>
  </si>
  <si>
    <t>INV-7-3-4</t>
  </si>
  <si>
    <t>J-1024</t>
  </si>
  <si>
    <t>INV-7-3-5</t>
  </si>
  <si>
    <t>J-1025</t>
  </si>
  <si>
    <t>INV-8-0-0</t>
  </si>
  <si>
    <t>J-1026</t>
  </si>
  <si>
    <t>INV-8-0-1</t>
  </si>
  <si>
    <t>J-1027</t>
  </si>
  <si>
    <t>INV-8-0-2</t>
  </si>
  <si>
    <t>J-1028</t>
  </si>
  <si>
    <t>INV-8-0-3</t>
  </si>
  <si>
    <t>J-1029</t>
  </si>
  <si>
    <t>INV-8-0-4</t>
  </si>
  <si>
    <t>J-1030</t>
  </si>
  <si>
    <t>INV-8-0-5</t>
  </si>
  <si>
    <t>J-1031</t>
  </si>
  <si>
    <t>INV-8-1-0</t>
  </si>
  <si>
    <t>J-1032</t>
  </si>
  <si>
    <t>INV-8-1-1</t>
  </si>
  <si>
    <t>J-1033</t>
  </si>
  <si>
    <t>INV-8-1-2</t>
  </si>
  <si>
    <t>J-1034</t>
  </si>
  <si>
    <t>INV-8-1-3</t>
  </si>
  <si>
    <t>J-1035</t>
  </si>
  <si>
    <t>INV-8-1-4</t>
  </si>
  <si>
    <t>J-1036</t>
  </si>
  <si>
    <t>INV-8-1-5</t>
  </si>
  <si>
    <t>J-1037</t>
  </si>
  <si>
    <t>INV-8-2-0</t>
  </si>
  <si>
    <t>J-1038</t>
  </si>
  <si>
    <t>INV-8-2-1</t>
  </si>
  <si>
    <t>J-1039</t>
  </si>
  <si>
    <t>INV-8-2-2</t>
  </si>
  <si>
    <t>J-1040</t>
  </si>
  <si>
    <t>INV-8-2-3</t>
  </si>
  <si>
    <t>J-1041</t>
  </si>
  <si>
    <t>INV-8-2-4</t>
  </si>
  <si>
    <t>J-1042</t>
  </si>
  <si>
    <t>INV-8-2-5</t>
  </si>
  <si>
    <t>J-1043</t>
  </si>
  <si>
    <t>INV-8-3-0</t>
  </si>
  <si>
    <t>J-1044</t>
  </si>
  <si>
    <t>INV-8-3-1</t>
  </si>
  <si>
    <t>J-1045</t>
  </si>
  <si>
    <t>INV-8-3-2</t>
  </si>
  <si>
    <t>J-1046</t>
  </si>
  <si>
    <t>INV-8-3-3</t>
  </si>
  <si>
    <t>J-1047</t>
  </si>
  <si>
    <t>INV-8-3-4</t>
  </si>
  <si>
    <t>J-1048</t>
  </si>
  <si>
    <t>INV-8-3-5</t>
  </si>
  <si>
    <t>J-1049</t>
  </si>
  <si>
    <t>INV-9-0-0</t>
  </si>
  <si>
    <t>J-1050</t>
  </si>
  <si>
    <t>INV-9-0-1</t>
  </si>
  <si>
    <t>J-1051</t>
  </si>
  <si>
    <t>INV-9-0-2</t>
  </si>
  <si>
    <t>J-1052</t>
  </si>
  <si>
    <t>INV-9-0-3</t>
  </si>
  <si>
    <t>J-1053</t>
  </si>
  <si>
    <t>INV-9-0-4</t>
  </si>
  <si>
    <t>J-1054</t>
  </si>
  <si>
    <t>INV-9-0-5</t>
  </si>
  <si>
    <t>J-1055</t>
  </si>
  <si>
    <t>INV-9-1-0</t>
  </si>
  <si>
    <t>J-1056</t>
  </si>
  <si>
    <t>INV-9-1-1</t>
  </si>
  <si>
    <t>J-1057</t>
  </si>
  <si>
    <t>INV-9-1-2</t>
  </si>
  <si>
    <t>J-1058</t>
  </si>
  <si>
    <t>INV-9-1-3</t>
  </si>
  <si>
    <t>J-1059</t>
  </si>
  <si>
    <t>INV-9-1-4</t>
  </si>
  <si>
    <t>J-1060</t>
  </si>
  <si>
    <t>INV-9-1-5</t>
  </si>
  <si>
    <t>J-1061</t>
  </si>
  <si>
    <t>INV-9-2-0</t>
  </si>
  <si>
    <t>J-1062</t>
  </si>
  <si>
    <t>INV-9-2-1</t>
  </si>
  <si>
    <t>J-1063</t>
  </si>
  <si>
    <t>INV-9-2-2</t>
  </si>
  <si>
    <t>J-1064</t>
  </si>
  <si>
    <t>INV-9-2-3</t>
  </si>
  <si>
    <t>J-1065</t>
  </si>
  <si>
    <t>INV-9-2-4</t>
  </si>
  <si>
    <t>J-1066</t>
  </si>
  <si>
    <t>INV-9-2-5</t>
  </si>
  <si>
    <t>J-1067</t>
  </si>
  <si>
    <t>INV-9-3-0</t>
  </si>
  <si>
    <t>J-1068</t>
  </si>
  <si>
    <t>INV-9-3-1</t>
  </si>
  <si>
    <t>J-1069</t>
  </si>
  <si>
    <t>INV-9-3-2</t>
  </si>
  <si>
    <t>J-1070</t>
  </si>
  <si>
    <t>INV-9-3-3</t>
  </si>
  <si>
    <t>J-1071</t>
  </si>
  <si>
    <t>INV-9-3-4</t>
  </si>
  <si>
    <t>J-1072</t>
  </si>
  <si>
    <t>Financ</t>
  </si>
  <si>
    <t>INV-9-3-5</t>
  </si>
  <si>
    <t>J-2001</t>
  </si>
  <si>
    <t>Second service line on same invoice</t>
  </si>
  <si>
    <t>J-2002</t>
  </si>
  <si>
    <t>CN-TECH-09</t>
  </si>
  <si>
    <t>Supplier service credit</t>
  </si>
  <si>
    <t>J-2003</t>
  </si>
  <si>
    <t>INV-OCT-01</t>
  </si>
  <si>
    <t>October customer visit</t>
  </si>
  <si>
    <t>Evidence ID</t>
  </si>
  <si>
    <t>Period</t>
  </si>
  <si>
    <t>Reference</t>
  </si>
  <si>
    <t>Source note</t>
  </si>
  <si>
    <t>Owner</t>
  </si>
  <si>
    <t>E-01</t>
  </si>
  <si>
    <t>Aug-2026</t>
  </si>
  <si>
    <t>Travel log</t>
  </si>
  <si>
    <t>Three additional customer visits approved for August.</t>
  </si>
  <si>
    <t>Sales operations</t>
  </si>
  <si>
    <t>E-02</t>
  </si>
  <si>
    <t>Sep-2026</t>
  </si>
  <si>
    <t>PO-MKT-091</t>
  </si>
  <si>
    <t>One-off product launch agency fee. Budget did not include launch scope.</t>
  </si>
  <si>
    <t>Marketing director</t>
  </si>
  <si>
    <t>E-03</t>
  </si>
  <si>
    <t>Supplier credit of INR 50,000 relates to September service levels.</t>
  </si>
  <si>
    <t>IT procurement</t>
  </si>
  <si>
    <t>E-04</t>
  </si>
  <si>
    <t>Jul-2026</t>
  </si>
  <si>
    <t>Two legitimate service lines. Different transaction IDs share the same invoice.</t>
  </si>
  <si>
    <t>E-05</t>
  </si>
  <si>
    <t>Engagement update</t>
  </si>
  <si>
    <t>Part of the planned advisory work moved to October. Underspend is timing-related.</t>
  </si>
  <si>
    <t>Financial controller</t>
  </si>
  <si>
    <t>E-06</t>
  </si>
  <si>
    <t>Training register</t>
  </si>
  <si>
    <t>Unplanned launch training delivered in September.</t>
  </si>
  <si>
    <t>E-07</t>
  </si>
  <si>
    <t>License register</t>
  </si>
  <si>
    <t>Additional developer licenses were activated in August. No unit-price detail supplied.</t>
  </si>
  <si>
    <t>Log ID</t>
  </si>
  <si>
    <t>Raw cell</t>
  </si>
  <si>
    <t>Original</t>
  </si>
  <si>
    <t>Confirmed INR</t>
  </si>
  <si>
    <t>Authority</t>
  </si>
  <si>
    <t>User response</t>
  </si>
  <si>
    <t>C-01</t>
  </si>
  <si>
    <t>Actuals!G48</t>
  </si>
  <si>
    <t>Blank</t>
  </si>
  <si>
    <t>User confirmation, 26-Oct-2026</t>
  </si>
  <si>
    <t>For this fictional exercise, I confirm that transaction J-1047, Finance / Training / August 2026, has an expense amount of INR 30,000. This is the confirmed ledger value for the missing field. Add it only in your cleaned working data and clarification log. Preserve the original blank in the raw source. Continue with the agreed analysis.</t>
  </si>
  <si>
    <t>Raw row</t>
  </si>
  <si>
    <t>Amount source</t>
  </si>
  <si>
    <t>2026-07-01</t>
  </si>
  <si>
    <t>Raw source</t>
  </si>
  <si>
    <t>2026-08-01</t>
  </si>
  <si>
    <t>2026-09-01</t>
  </si>
  <si>
    <t>Action</t>
  </si>
  <si>
    <t>Working treatment</t>
  </si>
  <si>
    <t>Confirmed amount</t>
  </si>
  <si>
    <t>Clarification log C-01</t>
  </si>
  <si>
    <t>Brief row 13</t>
  </si>
  <si>
    <t>Duplicate removal</t>
  </si>
  <si>
    <t>Repeated exact row</t>
  </si>
  <si>
    <t>Retain Actuals row 40</t>
  </si>
  <si>
    <t>Brief row 12</t>
  </si>
  <si>
    <t>Period exclusion</t>
  </si>
  <si>
    <t>2026-10-01</t>
  </si>
  <si>
    <t>Reconciliation only</t>
  </si>
  <si>
    <t>Brief row 15</t>
  </si>
  <si>
    <t>Reason</t>
  </si>
  <si>
    <t>INR</t>
  </si>
  <si>
    <t>Exact duplicate</t>
  </si>
  <si>
    <t>Out of period</t>
  </si>
  <si>
    <t>Variance INR</t>
  </si>
  <si>
    <t>Variance %</t>
  </si>
  <si>
    <t>Direction</t>
  </si>
  <si>
    <t>Exception</t>
  </si>
  <si>
    <t>Jul–Sep 2026</t>
  </si>
  <si>
    <t>All categories</t>
  </si>
  <si>
    <t>All departments</t>
  </si>
  <si>
    <t>Period / level</t>
  </si>
  <si>
    <t>Assessment</t>
  </si>
  <si>
    <t>Total operating expenses</t>
  </si>
  <si>
    <t>Topic</t>
  </si>
  <si>
    <t>Commentary / limitation</t>
  </si>
  <si>
    <t>Basis</t>
  </si>
  <si>
    <t>July–September 2026; INR whole rupees; accrual operating expenses excluding GST. Positive variance is unfavorable.</t>
  </si>
  <si>
    <t>Confirmed input</t>
  </si>
  <si>
    <t>J-1047 = INR 30,000 per user confirmation on 26-Oct-2026. Original Actuals!G48 remains blank.</t>
  </si>
  <si>
    <t>Strict AND test: ABS(variance) &gt; INR 100,000 and ABS(variance / budget) &gt; 10%; aggregate first. Zero budget with nonzero actual is Unbudgeted.</t>
  </si>
  <si>
    <t>Sales Travel / August</t>
  </si>
  <si>
    <t>E-01: Sales operations reports three additional approved customer visits. This is a source assertion; trip-level cost evidence is not supplied.</t>
  </si>
  <si>
    <t>Marketing Professional fees / September</t>
  </si>
  <si>
    <t>E-02: Marketing director attributes the expense to a one-off launch agency fee outside budget scope. Validate scope and approval before future commitments.</t>
  </si>
  <si>
    <t>Technology Software</t>
  </si>
  <si>
    <t>E-04 supports both July invoice lines. E-03 supports the September INR 50,000 credit. E-07 attributes August costs to licenses, but no unit-price detail is supplied; do not infer a price/volume split or September cause.</t>
  </si>
  <si>
    <t>Finance Professional fees / July</t>
  </si>
  <si>
    <t>E-05 says planned advisory work moved to October; treat the underspend as timing-related per the note, not proven permanent savings.</t>
  </si>
  <si>
    <t>Marketing Training / September</t>
  </si>
  <si>
    <t>E-06 says unplanned launch training was delivered. Review launch budgeting and approval with the Marketing director.</t>
  </si>
  <si>
    <t>Next actions</t>
  </si>
  <si>
    <t>Sales operations: reconcile visit costs. Marketing director: validate launch fees/training and future scope. IT procurement: reconcile license counts, rates, and credit. Financial controller: check October advisory accrual. Proposed follow-ups only; no messages, journals, or payments initiated.</t>
  </si>
  <si>
    <t>Traceability</t>
  </si>
  <si>
    <t>CFO report links to Variance analysis; monthly actuals sum Clean actuals, which retains source row and clarification ID. Raw sheets remain unchanged.</t>
  </si>
  <si>
    <t>Check</t>
  </si>
  <si>
    <t>Result</t>
  </si>
  <si>
    <t>Raw Actuals rows</t>
  </si>
  <si>
    <t>Exact duplicate rows removed</t>
  </si>
  <si>
    <t>Out-of-period rows excluded</t>
  </si>
  <si>
    <t>Clean in-period rows</t>
  </si>
  <si>
    <t>Expected budget keys</t>
  </si>
  <si>
    <t>Unique budget keys</t>
  </si>
  <si>
    <t>Covered budget keys</t>
  </si>
  <si>
    <t>Unmatched actual keys</t>
  </si>
  <si>
    <t>Missing clean amounts</t>
  </si>
  <si>
    <t>Raw known amounts (blank excluded)</t>
  </si>
  <si>
    <t>Confirmed missing amount added</t>
  </si>
  <si>
    <t>Duplicate amount removed</t>
  </si>
  <si>
    <t>October amount excluded</t>
  </si>
  <si>
    <t>Expected clean amount</t>
  </si>
  <si>
    <t>Clean amount</t>
  </si>
  <si>
    <t>Reconciliation 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</si>
</sst>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yy"/>
    <numFmt numFmtId="165" formatCode="#,##0;\(#,##0\);&quot;-&quot;"/>
    <numFmt numFmtId="166" formatCode="#,##0;\(#,##0\);&quot;–&quot;"/>
    <numFmt numFmtId="167" formatCode="0.0%;\(0.0%\);&quot;–&quot;"/>
  </numFmts>
  <fonts count="7">
    <font>
      <sz val="11"/>
      <name val="Carlito"/>
    </font>
    <font>
      <sz val="10"/>
      <color rgb="FF172B4D"/>
      <name val="Arial"/>
    </font>
    <font>
      <b/>
      <sz val="10"/>
      <color rgb="FFFFFFFF"/>
      <name val="Arial"/>
    </font>
    <font>
      <sz val="10"/>
      <color rgb="FF0000FF"/>
      <name val="Arial"/>
    </font>
    <font>
      <b/>
      <sz val="15"/>
      <color rgb="FF183153"/>
      <name val="Arial"/>
    </font>
    <font>
      <b/>
      <sz val="10"/>
      <color rgb="FF172B4D"/>
      <name val="Arial"/>
    </font>
    <font>
      <sz val="10"/>
      <name val="Arial"/>
    </font>
  </fonts>
  <fills count="4">
    <fill>
      <patternFill patternType="none"/>
    </fill>
    <fill>
      <patternFill patternType="gray125"/>
    </fill>
    <fill>
      <patternFill patternType="solid">
        <fgColor rgb="FF183153"/>
      </patternFill>
    </fill>
    <fill>
      <patternFill patternType="solid">
        <fgColor rgb="FF243B53"/>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applyAlignment="1">
      <alignment horizontal="center" vertical="center"/>
    </xf>
    <xf numFmtId="0" fontId="1" fillId="0" borderId="0" xfId="0" applyFont="1" applyAlignment="1">
      <alignment vertical="center"/>
    </xf>
    <xf numFmtId="164" fontId="1" fillId="0" borderId="0" xfId="0" applyNumberFormat="1" applyFont="1" applyAlignment="1">
      <alignment vertical="center"/>
    </xf>
    <xf numFmtId="165" fontId="3" fillId="0" borderId="0" xfId="0" applyNumberFormat="1" applyFont="1" applyAlignment="1">
      <alignment vertical="center"/>
    </xf>
    <xf numFmtId="0" fontId="1" fillId="0" borderId="0" xfId="0" applyFont="1" applyAlignment="1">
      <alignment vertical="center" wrapText="1"/>
    </xf>
    <xf numFmtId="0" fontId="4" fillId="0" borderId="0" xfId="0" applyFont="1"/>
    <xf numFmtId="0" fontId="2" fillId="2" borderId="0" xfId="0" applyFont="1" applyFill="1" applyAlignment="1">
      <alignment vertical="center"/>
    </xf>
    <xf numFmtId="0" fontId="5" fillId="0" borderId="0" xfId="0" applyFont="1" applyAlignment="1">
      <alignment vertical="center"/>
    </xf>
    <xf numFmtId="0" fontId="6" fillId="0" borderId="0" xfId="0" applyFont="1"/>
    <xf numFmtId="0" fontId="2" fillId="3" borderId="0" xfId="0" applyFont="1" applyFill="1"/>
    <xf numFmtId="0" fontId="6" fillId="0" borderId="0" xfId="0" applyFont="1" applyAlignment="1">
      <alignment wrapText="1"/>
    </xf>
    <xf numFmtId="166" fontId="6" fillId="0" borderId="0" xfId="0" applyNumberFormat="1" applyFont="1"/>
    <xf numFmtId="167" fontId="6" fillId="0" borderId="0" xfId="0" applyNumberFormat="1" applyFont="1"/>
  </cellXfs>
  <cellStyles count="1">
    <cellStyle name="Normal" xfId="0" builtinId="0"/>
  </cellStyles>
  <dxfs count="1">
    <dxf>
      <font>
        <b/>
      </font>
      <fill>
        <patternFill>
          <bgColor rgb="FFFF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dgetData" displayName="BudgetData" ref="A1:E73" totalsRowShown="0">
  <tableColumns count="5">
    <tableColumn id="1" xr3:uid="{00000000-0010-0000-0000-000001000000}" name="Budget ID"/>
    <tableColumn id="2" xr3:uid="{00000000-0010-0000-0000-000002000000}" name="Month"/>
    <tableColumn id="3" xr3:uid="{00000000-0010-0000-0000-000003000000}" name="Department"/>
    <tableColumn id="4" xr3:uid="{00000000-0010-0000-0000-000004000000}" name="Category"/>
    <tableColumn id="5" xr3:uid="{00000000-0010-0000-0000-000005000000}" name="Budget IN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tualData" displayName="ActualData" ref="A1:G77" totalsRowShown="0">
  <tableColumns count="7">
    <tableColumn id="1" xr3:uid="{00000000-0010-0000-0100-000001000000}" name="Transaction ID"/>
    <tableColumn id="2" xr3:uid="{00000000-0010-0000-0100-000002000000}" name="Posting month"/>
    <tableColumn id="3" xr3:uid="{00000000-0010-0000-0100-000003000000}" name="Department"/>
    <tableColumn id="4" xr3:uid="{00000000-0010-0000-0100-000004000000}" name="Category"/>
    <tableColumn id="5" xr3:uid="{00000000-0010-0000-0100-000005000000}" name="Document ref"/>
    <tableColumn id="6" xr3:uid="{00000000-0010-0000-0100-000006000000}" name="Description"/>
    <tableColumn id="7" xr3:uid="{00000000-0010-0000-0100-000007000000}" name="Actual IN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idenceData" displayName="EvidenceData" ref="A1:G8" totalsRowShown="0">
  <tableColumns count="7">
    <tableColumn id="1" xr3:uid="{00000000-0010-0000-0200-000001000000}" name="Evidence ID"/>
    <tableColumn id="2" xr3:uid="{00000000-0010-0000-0200-000002000000}" name="Department"/>
    <tableColumn id="3" xr3:uid="{00000000-0010-0000-0200-000003000000}" name="Category"/>
    <tableColumn id="4" xr3:uid="{00000000-0010-0000-0200-000004000000}" name="Period"/>
    <tableColumn id="5" xr3:uid="{00000000-0010-0000-0200-000005000000}" name="Reference"/>
    <tableColumn id="6" xr3:uid="{00000000-0010-0000-0200-000006000000}" name="Source note"/>
    <tableColumn id="7" xr3:uid="{00000000-0010-0000-0200-000007000000}" name="Own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83153"/>
  </sheetPr>
  <dimension ref="A2:B25"/>
  <sheetViews>
    <sheetView showGridLines="0" workbookViewId="0"/>
  </sheetViews>
  <sheetFormatPr defaultRowHeight="14.25"/>
  <cols>
    <col min="1" max="1" width="25" customWidth="1"/>
    <col min="2" max="2" width="112" customWidth="1"/>
  </cols>
  <sheetData>
    <row r="2" spans="1:2" ht="19.5">
      <c r="A2" s="6" t="s">
        <v>0</v>
      </c>
    </row>
    <row r="4" spans="1:2" ht="27.95" customHeight="1">
      <c r="A4" s="7" t="s">
        <v>1</v>
      </c>
      <c r="B4" s="7" t="s">
        <v>2</v>
      </c>
    </row>
    <row r="5" spans="1:2" ht="36" customHeight="1">
      <c r="A5" s="8" t="s">
        <v>3</v>
      </c>
      <c r="B5" s="5" t="s">
        <v>4</v>
      </c>
    </row>
    <row r="6" spans="1:2" ht="36" customHeight="1">
      <c r="A6" s="8" t="s">
        <v>5</v>
      </c>
      <c r="B6" s="5" t="s">
        <v>6</v>
      </c>
    </row>
    <row r="7" spans="1:2" ht="36" customHeight="1">
      <c r="A7" s="8" t="s">
        <v>7</v>
      </c>
      <c r="B7" s="5" t="s">
        <v>8</v>
      </c>
    </row>
    <row r="8" spans="1:2" ht="36" customHeight="1">
      <c r="A8" s="8" t="s">
        <v>9</v>
      </c>
      <c r="B8" s="5" t="s">
        <v>10</v>
      </c>
    </row>
    <row r="9" spans="1:2" ht="36" customHeight="1">
      <c r="A9" s="8" t="s">
        <v>11</v>
      </c>
      <c r="B9" s="5" t="s">
        <v>12</v>
      </c>
    </row>
    <row r="10" spans="1:2" ht="36" customHeight="1">
      <c r="A10" s="8" t="s">
        <v>13</v>
      </c>
      <c r="B10" s="5" t="s">
        <v>14</v>
      </c>
    </row>
    <row r="11" spans="1:2" ht="36" customHeight="1">
      <c r="A11" s="8" t="s">
        <v>15</v>
      </c>
      <c r="B11" s="5" t="s">
        <v>16</v>
      </c>
    </row>
    <row r="12" spans="1:2" ht="36" customHeight="1">
      <c r="A12" s="8" t="s">
        <v>17</v>
      </c>
      <c r="B12" s="5" t="s">
        <v>18</v>
      </c>
    </row>
    <row r="13" spans="1:2" ht="36" customHeight="1">
      <c r="A13" s="8" t="s">
        <v>19</v>
      </c>
      <c r="B13" s="5" t="s">
        <v>20</v>
      </c>
    </row>
    <row r="14" spans="1:2" ht="36" customHeight="1">
      <c r="A14" s="8" t="s">
        <v>21</v>
      </c>
      <c r="B14" s="5" t="s">
        <v>22</v>
      </c>
    </row>
    <row r="15" spans="1:2" ht="36" customHeight="1">
      <c r="A15" s="8" t="s">
        <v>23</v>
      </c>
      <c r="B15" s="5" t="s">
        <v>24</v>
      </c>
    </row>
    <row r="16" spans="1:2" ht="36" customHeight="1">
      <c r="A16" s="8" t="s">
        <v>25</v>
      </c>
      <c r="B16" s="5" t="s">
        <v>26</v>
      </c>
    </row>
    <row r="17" spans="1:2" ht="36" customHeight="1">
      <c r="A17" s="8" t="s">
        <v>27</v>
      </c>
      <c r="B17" s="5" t="s">
        <v>28</v>
      </c>
    </row>
    <row r="18" spans="1:2" ht="36" customHeight="1">
      <c r="A18" s="8" t="s">
        <v>29</v>
      </c>
      <c r="B18" s="5" t="s">
        <v>30</v>
      </c>
    </row>
    <row r="19" spans="1:2" ht="36" customHeight="1">
      <c r="A19" s="8" t="s">
        <v>31</v>
      </c>
      <c r="B19" s="5" t="s">
        <v>32</v>
      </c>
    </row>
    <row r="20" spans="1:2" ht="36" customHeight="1">
      <c r="A20" s="8" t="s">
        <v>33</v>
      </c>
      <c r="B20" s="5" t="s">
        <v>34</v>
      </c>
    </row>
    <row r="21" spans="1:2" ht="36" customHeight="1">
      <c r="A21" s="8" t="s">
        <v>35</v>
      </c>
      <c r="B21" s="5" t="s">
        <v>36</v>
      </c>
    </row>
    <row r="22" spans="1:2" ht="36" customHeight="1">
      <c r="A22" s="8" t="s">
        <v>37</v>
      </c>
      <c r="B22" s="5" t="s">
        <v>38</v>
      </c>
    </row>
    <row r="23" spans="1:2" ht="36" customHeight="1">
      <c r="A23" s="8" t="s">
        <v>39</v>
      </c>
      <c r="B23" s="5" t="s">
        <v>40</v>
      </c>
    </row>
    <row r="24" spans="1:2" ht="36" customHeight="1">
      <c r="A24" s="8" t="s">
        <v>41</v>
      </c>
      <c r="B24" s="5" t="s">
        <v>42</v>
      </c>
    </row>
    <row r="25" spans="1:2" ht="36" customHeight="1">
      <c r="A25" s="8" t="s">
        <v>43</v>
      </c>
      <c r="B25" s="5"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D5996-A054-4031-8501-DADC9EC0D362}">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727C-9363-4AC9-8592-E755935889E9}">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3"/>
  <sheetViews>
    <sheetView showGridLines="0" workbookViewId="0">
      <pane ySplit="1" topLeftCell="A2" activePane="bottomLeft" state="frozen"/>
      <selection pane="bottomLeft"/>
    </sheetView>
  </sheetViews>
  <sheetFormatPr defaultRowHeight="14.25"/>
  <cols>
    <col min="1" max="1" width="18" customWidth="1"/>
    <col min="2" max="2" width="15" customWidth="1"/>
    <col min="3" max="3" width="20" customWidth="1"/>
    <col min="4" max="4" width="24" customWidth="1"/>
    <col min="5" max="5" width="19" customWidth="1"/>
  </cols>
  <sheetData>
    <row r="1" spans="1:5" ht="30" customHeight="1">
      <c r="A1" s="1" t="s">
        <v>45</v>
      </c>
      <c r="B1" s="1" t="s">
        <v>46</v>
      </c>
      <c r="C1" s="1" t="s">
        <v>47</v>
      </c>
      <c r="D1" s="1" t="s">
        <v>48</v>
      </c>
      <c r="E1" s="1" t="s">
        <v>49</v>
      </c>
    </row>
    <row r="2" spans="1:5" ht="23.1" customHeight="1">
      <c r="A2" s="2" t="s">
        <v>50</v>
      </c>
      <c r="B2" s="3">
        <v>46204</v>
      </c>
      <c r="C2" s="2" t="s">
        <v>51</v>
      </c>
      <c r="D2" s="2" t="s">
        <v>52</v>
      </c>
      <c r="E2" s="4">
        <v>1500000</v>
      </c>
    </row>
    <row r="3" spans="1:5" ht="23.1" customHeight="1">
      <c r="A3" s="2" t="s">
        <v>53</v>
      </c>
      <c r="B3" s="3">
        <v>46204</v>
      </c>
      <c r="C3" s="2" t="s">
        <v>51</v>
      </c>
      <c r="D3" s="2" t="s">
        <v>54</v>
      </c>
      <c r="E3" s="4">
        <v>200000</v>
      </c>
    </row>
    <row r="4" spans="1:5" ht="23.1" customHeight="1">
      <c r="A4" s="2" t="s">
        <v>55</v>
      </c>
      <c r="B4" s="3">
        <v>46204</v>
      </c>
      <c r="C4" s="2" t="s">
        <v>51</v>
      </c>
      <c r="D4" s="2" t="s">
        <v>56</v>
      </c>
      <c r="E4" s="4">
        <v>80000</v>
      </c>
    </row>
    <row r="5" spans="1:5" ht="23.1" customHeight="1">
      <c r="A5" s="2" t="s">
        <v>57</v>
      </c>
      <c r="B5" s="3">
        <v>46204</v>
      </c>
      <c r="C5" s="2" t="s">
        <v>51</v>
      </c>
      <c r="D5" s="2" t="s">
        <v>58</v>
      </c>
      <c r="E5" s="4">
        <v>100000</v>
      </c>
    </row>
    <row r="6" spans="1:5" ht="23.1" customHeight="1">
      <c r="A6" s="2" t="s">
        <v>59</v>
      </c>
      <c r="B6" s="3">
        <v>46204</v>
      </c>
      <c r="C6" s="2" t="s">
        <v>51</v>
      </c>
      <c r="D6" s="2" t="s">
        <v>60</v>
      </c>
      <c r="E6" s="4">
        <v>50000</v>
      </c>
    </row>
    <row r="7" spans="1:5" ht="23.1" customHeight="1">
      <c r="A7" s="2" t="s">
        <v>61</v>
      </c>
      <c r="B7" s="3">
        <v>46204</v>
      </c>
      <c r="C7" s="2" t="s">
        <v>51</v>
      </c>
      <c r="D7" s="2" t="s">
        <v>62</v>
      </c>
      <c r="E7" s="4">
        <v>180000</v>
      </c>
    </row>
    <row r="8" spans="1:5" ht="23.1" customHeight="1">
      <c r="A8" s="2" t="s">
        <v>63</v>
      </c>
      <c r="B8" s="3">
        <v>46204</v>
      </c>
      <c r="C8" s="2" t="s">
        <v>64</v>
      </c>
      <c r="D8" s="2" t="s">
        <v>52</v>
      </c>
      <c r="E8" s="4">
        <v>900000</v>
      </c>
    </row>
    <row r="9" spans="1:5" ht="23.1" customHeight="1">
      <c r="A9" s="2" t="s">
        <v>65</v>
      </c>
      <c r="B9" s="3">
        <v>46204</v>
      </c>
      <c r="C9" s="2" t="s">
        <v>64</v>
      </c>
      <c r="D9" s="2" t="s">
        <v>54</v>
      </c>
      <c r="E9" s="4">
        <v>100000</v>
      </c>
    </row>
    <row r="10" spans="1:5" ht="23.1" customHeight="1">
      <c r="A10" s="2" t="s">
        <v>66</v>
      </c>
      <c r="B10" s="3">
        <v>46204</v>
      </c>
      <c r="C10" s="2" t="s">
        <v>64</v>
      </c>
      <c r="D10" s="2" t="s">
        <v>56</v>
      </c>
      <c r="E10" s="4">
        <v>120000</v>
      </c>
    </row>
    <row r="11" spans="1:5" ht="23.1" customHeight="1">
      <c r="A11" s="2" t="s">
        <v>67</v>
      </c>
      <c r="B11" s="3">
        <v>46204</v>
      </c>
      <c r="C11" s="2" t="s">
        <v>64</v>
      </c>
      <c r="D11" s="2" t="s">
        <v>58</v>
      </c>
      <c r="E11" s="4">
        <v>180000</v>
      </c>
    </row>
    <row r="12" spans="1:5" ht="23.1" customHeight="1">
      <c r="A12" s="2" t="s">
        <v>68</v>
      </c>
      <c r="B12" s="3">
        <v>46204</v>
      </c>
      <c r="C12" s="2" t="s">
        <v>64</v>
      </c>
      <c r="D12" s="2" t="s">
        <v>60</v>
      </c>
      <c r="E12" s="4">
        <v>40000</v>
      </c>
    </row>
    <row r="13" spans="1:5" ht="23.1" customHeight="1">
      <c r="A13" s="2" t="s">
        <v>69</v>
      </c>
      <c r="B13" s="3">
        <v>46204</v>
      </c>
      <c r="C13" s="2" t="s">
        <v>64</v>
      </c>
      <c r="D13" s="2" t="s">
        <v>62</v>
      </c>
      <c r="E13" s="4">
        <v>120000</v>
      </c>
    </row>
    <row r="14" spans="1:5" ht="23.1" customHeight="1">
      <c r="A14" s="2" t="s">
        <v>70</v>
      </c>
      <c r="B14" s="3">
        <v>46204</v>
      </c>
      <c r="C14" s="2" t="s">
        <v>71</v>
      </c>
      <c r="D14" s="2" t="s">
        <v>52</v>
      </c>
      <c r="E14" s="4">
        <v>2200000</v>
      </c>
    </row>
    <row r="15" spans="1:5" ht="23.1" customHeight="1">
      <c r="A15" s="2" t="s">
        <v>72</v>
      </c>
      <c r="B15" s="3">
        <v>46204</v>
      </c>
      <c r="C15" s="2" t="s">
        <v>71</v>
      </c>
      <c r="D15" s="2" t="s">
        <v>54</v>
      </c>
      <c r="E15" s="4">
        <v>80000</v>
      </c>
    </row>
    <row r="16" spans="1:5" ht="23.1" customHeight="1">
      <c r="A16" s="2" t="s">
        <v>73</v>
      </c>
      <c r="B16" s="3">
        <v>46204</v>
      </c>
      <c r="C16" s="2" t="s">
        <v>71</v>
      </c>
      <c r="D16" s="2" t="s">
        <v>56</v>
      </c>
      <c r="E16" s="4">
        <v>300000</v>
      </c>
    </row>
    <row r="17" spans="1:5" ht="23.1" customHeight="1">
      <c r="A17" s="2" t="s">
        <v>74</v>
      </c>
      <c r="B17" s="3">
        <v>46204</v>
      </c>
      <c r="C17" s="2" t="s">
        <v>71</v>
      </c>
      <c r="D17" s="2" t="s">
        <v>58</v>
      </c>
      <c r="E17" s="4">
        <v>200000</v>
      </c>
    </row>
    <row r="18" spans="1:5" ht="23.1" customHeight="1">
      <c r="A18" s="2" t="s">
        <v>75</v>
      </c>
      <c r="B18" s="3">
        <v>46204</v>
      </c>
      <c r="C18" s="2" t="s">
        <v>71</v>
      </c>
      <c r="D18" s="2" t="s">
        <v>60</v>
      </c>
      <c r="E18" s="4">
        <v>70000</v>
      </c>
    </row>
    <row r="19" spans="1:5" ht="23.1" customHeight="1">
      <c r="A19" s="2" t="s">
        <v>76</v>
      </c>
      <c r="B19" s="3">
        <v>46204</v>
      </c>
      <c r="C19" s="2" t="s">
        <v>71</v>
      </c>
      <c r="D19" s="2" t="s">
        <v>62</v>
      </c>
      <c r="E19" s="4">
        <v>200000</v>
      </c>
    </row>
    <row r="20" spans="1:5" ht="23.1" customHeight="1">
      <c r="A20" s="2" t="s">
        <v>77</v>
      </c>
      <c r="B20" s="3">
        <v>46204</v>
      </c>
      <c r="C20" s="2" t="s">
        <v>78</v>
      </c>
      <c r="D20" s="2" t="s">
        <v>52</v>
      </c>
      <c r="E20" s="4">
        <v>1100000</v>
      </c>
    </row>
    <row r="21" spans="1:5" ht="23.1" customHeight="1">
      <c r="A21" s="2" t="s">
        <v>79</v>
      </c>
      <c r="B21" s="3">
        <v>46204</v>
      </c>
      <c r="C21" s="2" t="s">
        <v>78</v>
      </c>
      <c r="D21" s="2" t="s">
        <v>54</v>
      </c>
      <c r="E21" s="4">
        <v>50000</v>
      </c>
    </row>
    <row r="22" spans="1:5" ht="23.1" customHeight="1">
      <c r="A22" s="2" t="s">
        <v>80</v>
      </c>
      <c r="B22" s="3">
        <v>46204</v>
      </c>
      <c r="C22" s="2" t="s">
        <v>78</v>
      </c>
      <c r="D22" s="2" t="s">
        <v>56</v>
      </c>
      <c r="E22" s="4">
        <v>100000</v>
      </c>
    </row>
    <row r="23" spans="1:5" ht="23.1" customHeight="1">
      <c r="A23" s="2" t="s">
        <v>81</v>
      </c>
      <c r="B23" s="3">
        <v>46204</v>
      </c>
      <c r="C23" s="2" t="s">
        <v>78</v>
      </c>
      <c r="D23" s="2" t="s">
        <v>58</v>
      </c>
      <c r="E23" s="4">
        <v>150000</v>
      </c>
    </row>
    <row r="24" spans="1:5" ht="23.1" customHeight="1">
      <c r="A24" s="2" t="s">
        <v>82</v>
      </c>
      <c r="B24" s="3">
        <v>46204</v>
      </c>
      <c r="C24" s="2" t="s">
        <v>78</v>
      </c>
      <c r="D24" s="2" t="s">
        <v>60</v>
      </c>
      <c r="E24" s="4">
        <v>30000</v>
      </c>
    </row>
    <row r="25" spans="1:5" ht="23.1" customHeight="1">
      <c r="A25" s="2" t="s">
        <v>83</v>
      </c>
      <c r="B25" s="3">
        <v>46204</v>
      </c>
      <c r="C25" s="2" t="s">
        <v>78</v>
      </c>
      <c r="D25" s="2" t="s">
        <v>62</v>
      </c>
      <c r="E25" s="4">
        <v>100000</v>
      </c>
    </row>
    <row r="26" spans="1:5" ht="23.1" customHeight="1">
      <c r="A26" s="2" t="s">
        <v>84</v>
      </c>
      <c r="B26" s="3">
        <v>46235</v>
      </c>
      <c r="C26" s="2" t="s">
        <v>51</v>
      </c>
      <c r="D26" s="2" t="s">
        <v>52</v>
      </c>
      <c r="E26" s="4">
        <v>1500000</v>
      </c>
    </row>
    <row r="27" spans="1:5" ht="23.1" customHeight="1">
      <c r="A27" s="2" t="s">
        <v>85</v>
      </c>
      <c r="B27" s="3">
        <v>46235</v>
      </c>
      <c r="C27" s="2" t="s">
        <v>51</v>
      </c>
      <c r="D27" s="2" t="s">
        <v>54</v>
      </c>
      <c r="E27" s="4">
        <v>200000</v>
      </c>
    </row>
    <row r="28" spans="1:5" ht="23.1" customHeight="1">
      <c r="A28" s="2" t="s">
        <v>86</v>
      </c>
      <c r="B28" s="3">
        <v>46235</v>
      </c>
      <c r="C28" s="2" t="s">
        <v>51</v>
      </c>
      <c r="D28" s="2" t="s">
        <v>56</v>
      </c>
      <c r="E28" s="4">
        <v>80000</v>
      </c>
    </row>
    <row r="29" spans="1:5" ht="23.1" customHeight="1">
      <c r="A29" s="2" t="s">
        <v>87</v>
      </c>
      <c r="B29" s="3">
        <v>46235</v>
      </c>
      <c r="C29" s="2" t="s">
        <v>51</v>
      </c>
      <c r="D29" s="2" t="s">
        <v>58</v>
      </c>
      <c r="E29" s="4">
        <v>100000</v>
      </c>
    </row>
    <row r="30" spans="1:5" ht="23.1" customHeight="1">
      <c r="A30" s="2" t="s">
        <v>88</v>
      </c>
      <c r="B30" s="3">
        <v>46235</v>
      </c>
      <c r="C30" s="2" t="s">
        <v>51</v>
      </c>
      <c r="D30" s="2" t="s">
        <v>60</v>
      </c>
      <c r="E30" s="4">
        <v>50000</v>
      </c>
    </row>
    <row r="31" spans="1:5" ht="23.1" customHeight="1">
      <c r="A31" s="2" t="s">
        <v>89</v>
      </c>
      <c r="B31" s="3">
        <v>46235</v>
      </c>
      <c r="C31" s="2" t="s">
        <v>51</v>
      </c>
      <c r="D31" s="2" t="s">
        <v>62</v>
      </c>
      <c r="E31" s="4">
        <v>180000</v>
      </c>
    </row>
    <row r="32" spans="1:5" ht="23.1" customHeight="1">
      <c r="A32" s="2" t="s">
        <v>90</v>
      </c>
      <c r="B32" s="3">
        <v>46235</v>
      </c>
      <c r="C32" s="2" t="s">
        <v>64</v>
      </c>
      <c r="D32" s="2" t="s">
        <v>52</v>
      </c>
      <c r="E32" s="4">
        <v>900000</v>
      </c>
    </row>
    <row r="33" spans="1:5" ht="23.1" customHeight="1">
      <c r="A33" s="2" t="s">
        <v>91</v>
      </c>
      <c r="B33" s="3">
        <v>46235</v>
      </c>
      <c r="C33" s="2" t="s">
        <v>64</v>
      </c>
      <c r="D33" s="2" t="s">
        <v>54</v>
      </c>
      <c r="E33" s="4">
        <v>100000</v>
      </c>
    </row>
    <row r="34" spans="1:5" ht="23.1" customHeight="1">
      <c r="A34" s="2" t="s">
        <v>92</v>
      </c>
      <c r="B34" s="3">
        <v>46235</v>
      </c>
      <c r="C34" s="2" t="s">
        <v>64</v>
      </c>
      <c r="D34" s="2" t="s">
        <v>56</v>
      </c>
      <c r="E34" s="4">
        <v>120000</v>
      </c>
    </row>
    <row r="35" spans="1:5" ht="23.1" customHeight="1">
      <c r="A35" s="2" t="s">
        <v>93</v>
      </c>
      <c r="B35" s="3">
        <v>46235</v>
      </c>
      <c r="C35" s="2" t="s">
        <v>64</v>
      </c>
      <c r="D35" s="2" t="s">
        <v>58</v>
      </c>
      <c r="E35" s="4">
        <v>180000</v>
      </c>
    </row>
    <row r="36" spans="1:5" ht="23.1" customHeight="1">
      <c r="A36" s="2" t="s">
        <v>94</v>
      </c>
      <c r="B36" s="3">
        <v>46235</v>
      </c>
      <c r="C36" s="2" t="s">
        <v>64</v>
      </c>
      <c r="D36" s="2" t="s">
        <v>60</v>
      </c>
      <c r="E36" s="4">
        <v>40000</v>
      </c>
    </row>
    <row r="37" spans="1:5" ht="23.1" customHeight="1">
      <c r="A37" s="2" t="s">
        <v>95</v>
      </c>
      <c r="B37" s="3">
        <v>46235</v>
      </c>
      <c r="C37" s="2" t="s">
        <v>64</v>
      </c>
      <c r="D37" s="2" t="s">
        <v>62</v>
      </c>
      <c r="E37" s="4">
        <v>120000</v>
      </c>
    </row>
    <row r="38" spans="1:5" ht="23.1" customHeight="1">
      <c r="A38" s="2" t="s">
        <v>96</v>
      </c>
      <c r="B38" s="3">
        <v>46235</v>
      </c>
      <c r="C38" s="2" t="s">
        <v>71</v>
      </c>
      <c r="D38" s="2" t="s">
        <v>52</v>
      </c>
      <c r="E38" s="4">
        <v>2200000</v>
      </c>
    </row>
    <row r="39" spans="1:5" ht="23.1" customHeight="1">
      <c r="A39" s="2" t="s">
        <v>97</v>
      </c>
      <c r="B39" s="3">
        <v>46235</v>
      </c>
      <c r="C39" s="2" t="s">
        <v>71</v>
      </c>
      <c r="D39" s="2" t="s">
        <v>54</v>
      </c>
      <c r="E39" s="4">
        <v>80000</v>
      </c>
    </row>
    <row r="40" spans="1:5" ht="23.1" customHeight="1">
      <c r="A40" s="2" t="s">
        <v>98</v>
      </c>
      <c r="B40" s="3">
        <v>46235</v>
      </c>
      <c r="C40" s="2" t="s">
        <v>71</v>
      </c>
      <c r="D40" s="2" t="s">
        <v>56</v>
      </c>
      <c r="E40" s="4">
        <v>300000</v>
      </c>
    </row>
    <row r="41" spans="1:5" ht="23.1" customHeight="1">
      <c r="A41" s="2" t="s">
        <v>99</v>
      </c>
      <c r="B41" s="3">
        <v>46235</v>
      </c>
      <c r="C41" s="2" t="s">
        <v>71</v>
      </c>
      <c r="D41" s="2" t="s">
        <v>58</v>
      </c>
      <c r="E41" s="4">
        <v>200000</v>
      </c>
    </row>
    <row r="42" spans="1:5" ht="23.1" customHeight="1">
      <c r="A42" s="2" t="s">
        <v>100</v>
      </c>
      <c r="B42" s="3">
        <v>46235</v>
      </c>
      <c r="C42" s="2" t="s">
        <v>71</v>
      </c>
      <c r="D42" s="2" t="s">
        <v>60</v>
      </c>
      <c r="E42" s="4">
        <v>70000</v>
      </c>
    </row>
    <row r="43" spans="1:5" ht="23.1" customHeight="1">
      <c r="A43" s="2" t="s">
        <v>101</v>
      </c>
      <c r="B43" s="3">
        <v>46235</v>
      </c>
      <c r="C43" s="2" t="s">
        <v>71</v>
      </c>
      <c r="D43" s="2" t="s">
        <v>62</v>
      </c>
      <c r="E43" s="4">
        <v>200000</v>
      </c>
    </row>
    <row r="44" spans="1:5" ht="23.1" customHeight="1">
      <c r="A44" s="2" t="s">
        <v>102</v>
      </c>
      <c r="B44" s="3">
        <v>46235</v>
      </c>
      <c r="C44" s="2" t="s">
        <v>78</v>
      </c>
      <c r="D44" s="2" t="s">
        <v>52</v>
      </c>
      <c r="E44" s="4">
        <v>1100000</v>
      </c>
    </row>
    <row r="45" spans="1:5" ht="23.1" customHeight="1">
      <c r="A45" s="2" t="s">
        <v>103</v>
      </c>
      <c r="B45" s="3">
        <v>46235</v>
      </c>
      <c r="C45" s="2" t="s">
        <v>78</v>
      </c>
      <c r="D45" s="2" t="s">
        <v>54</v>
      </c>
      <c r="E45" s="4">
        <v>50000</v>
      </c>
    </row>
    <row r="46" spans="1:5" ht="23.1" customHeight="1">
      <c r="A46" s="2" t="s">
        <v>104</v>
      </c>
      <c r="B46" s="3">
        <v>46235</v>
      </c>
      <c r="C46" s="2" t="s">
        <v>78</v>
      </c>
      <c r="D46" s="2" t="s">
        <v>56</v>
      </c>
      <c r="E46" s="4">
        <v>100000</v>
      </c>
    </row>
    <row r="47" spans="1:5" ht="23.1" customHeight="1">
      <c r="A47" s="2" t="s">
        <v>105</v>
      </c>
      <c r="B47" s="3">
        <v>46235</v>
      </c>
      <c r="C47" s="2" t="s">
        <v>78</v>
      </c>
      <c r="D47" s="2" t="s">
        <v>58</v>
      </c>
      <c r="E47" s="4">
        <v>150000</v>
      </c>
    </row>
    <row r="48" spans="1:5" ht="23.1" customHeight="1">
      <c r="A48" s="2" t="s">
        <v>106</v>
      </c>
      <c r="B48" s="3">
        <v>46235</v>
      </c>
      <c r="C48" s="2" t="s">
        <v>78</v>
      </c>
      <c r="D48" s="2" t="s">
        <v>60</v>
      </c>
      <c r="E48" s="4">
        <v>30000</v>
      </c>
    </row>
    <row r="49" spans="1:5" ht="23.1" customHeight="1">
      <c r="A49" s="2" t="s">
        <v>107</v>
      </c>
      <c r="B49" s="3">
        <v>46235</v>
      </c>
      <c r="C49" s="2" t="s">
        <v>78</v>
      </c>
      <c r="D49" s="2" t="s">
        <v>62</v>
      </c>
      <c r="E49" s="4">
        <v>100000</v>
      </c>
    </row>
    <row r="50" spans="1:5" ht="23.1" customHeight="1">
      <c r="A50" s="2" t="s">
        <v>108</v>
      </c>
      <c r="B50" s="3">
        <v>46266</v>
      </c>
      <c r="C50" s="2" t="s">
        <v>51</v>
      </c>
      <c r="D50" s="2" t="s">
        <v>52</v>
      </c>
      <c r="E50" s="4">
        <v>1500000</v>
      </c>
    </row>
    <row r="51" spans="1:5" ht="23.1" customHeight="1">
      <c r="A51" s="2" t="s">
        <v>109</v>
      </c>
      <c r="B51" s="3">
        <v>46266</v>
      </c>
      <c r="C51" s="2" t="s">
        <v>51</v>
      </c>
      <c r="D51" s="2" t="s">
        <v>54</v>
      </c>
      <c r="E51" s="4">
        <v>200000</v>
      </c>
    </row>
    <row r="52" spans="1:5" ht="23.1" customHeight="1">
      <c r="A52" s="2" t="s">
        <v>110</v>
      </c>
      <c r="B52" s="3">
        <v>46266</v>
      </c>
      <c r="C52" s="2" t="s">
        <v>51</v>
      </c>
      <c r="D52" s="2" t="s">
        <v>56</v>
      </c>
      <c r="E52" s="4">
        <v>80000</v>
      </c>
    </row>
    <row r="53" spans="1:5" ht="23.1" customHeight="1">
      <c r="A53" s="2" t="s">
        <v>111</v>
      </c>
      <c r="B53" s="3">
        <v>46266</v>
      </c>
      <c r="C53" s="2" t="s">
        <v>51</v>
      </c>
      <c r="D53" s="2" t="s">
        <v>58</v>
      </c>
      <c r="E53" s="4">
        <v>100000</v>
      </c>
    </row>
    <row r="54" spans="1:5" ht="23.1" customHeight="1">
      <c r="A54" s="2" t="s">
        <v>112</v>
      </c>
      <c r="B54" s="3">
        <v>46266</v>
      </c>
      <c r="C54" s="2" t="s">
        <v>51</v>
      </c>
      <c r="D54" s="2" t="s">
        <v>60</v>
      </c>
      <c r="E54" s="4">
        <v>50000</v>
      </c>
    </row>
    <row r="55" spans="1:5" ht="23.1" customHeight="1">
      <c r="A55" s="2" t="s">
        <v>113</v>
      </c>
      <c r="B55" s="3">
        <v>46266</v>
      </c>
      <c r="C55" s="2" t="s">
        <v>51</v>
      </c>
      <c r="D55" s="2" t="s">
        <v>62</v>
      </c>
      <c r="E55" s="4">
        <v>180000</v>
      </c>
    </row>
    <row r="56" spans="1:5" ht="23.1" customHeight="1">
      <c r="A56" s="2" t="s">
        <v>114</v>
      </c>
      <c r="B56" s="3">
        <v>46266</v>
      </c>
      <c r="C56" s="2" t="s">
        <v>64</v>
      </c>
      <c r="D56" s="2" t="s">
        <v>52</v>
      </c>
      <c r="E56" s="4">
        <v>900000</v>
      </c>
    </row>
    <row r="57" spans="1:5" ht="23.1" customHeight="1">
      <c r="A57" s="2" t="s">
        <v>115</v>
      </c>
      <c r="B57" s="3">
        <v>46266</v>
      </c>
      <c r="C57" s="2" t="s">
        <v>64</v>
      </c>
      <c r="D57" s="2" t="s">
        <v>54</v>
      </c>
      <c r="E57" s="4">
        <v>100000</v>
      </c>
    </row>
    <row r="58" spans="1:5" ht="23.1" customHeight="1">
      <c r="A58" s="2" t="s">
        <v>116</v>
      </c>
      <c r="B58" s="3">
        <v>46266</v>
      </c>
      <c r="C58" s="2" t="s">
        <v>64</v>
      </c>
      <c r="D58" s="2" t="s">
        <v>56</v>
      </c>
      <c r="E58" s="4">
        <v>120000</v>
      </c>
    </row>
    <row r="59" spans="1:5" ht="23.1" customHeight="1">
      <c r="A59" s="2" t="s">
        <v>117</v>
      </c>
      <c r="B59" s="3">
        <v>46266</v>
      </c>
      <c r="C59" s="2" t="s">
        <v>64</v>
      </c>
      <c r="D59" s="2" t="s">
        <v>58</v>
      </c>
      <c r="E59" s="4">
        <v>180000</v>
      </c>
    </row>
    <row r="60" spans="1:5" ht="23.1" customHeight="1">
      <c r="A60" s="2" t="s">
        <v>118</v>
      </c>
      <c r="B60" s="3">
        <v>46266</v>
      </c>
      <c r="C60" s="2" t="s">
        <v>64</v>
      </c>
      <c r="D60" s="2" t="s">
        <v>60</v>
      </c>
      <c r="E60" s="4">
        <v>0</v>
      </c>
    </row>
    <row r="61" spans="1:5" ht="23.1" customHeight="1">
      <c r="A61" s="2" t="s">
        <v>119</v>
      </c>
      <c r="B61" s="3">
        <v>46266</v>
      </c>
      <c r="C61" s="2" t="s">
        <v>64</v>
      </c>
      <c r="D61" s="2" t="s">
        <v>62</v>
      </c>
      <c r="E61" s="4">
        <v>120000</v>
      </c>
    </row>
    <row r="62" spans="1:5" ht="23.1" customHeight="1">
      <c r="A62" s="2" t="s">
        <v>120</v>
      </c>
      <c r="B62" s="3">
        <v>46266</v>
      </c>
      <c r="C62" s="2" t="s">
        <v>71</v>
      </c>
      <c r="D62" s="2" t="s">
        <v>52</v>
      </c>
      <c r="E62" s="4">
        <v>2200000</v>
      </c>
    </row>
    <row r="63" spans="1:5" ht="23.1" customHeight="1">
      <c r="A63" s="2" t="s">
        <v>121</v>
      </c>
      <c r="B63" s="3">
        <v>46266</v>
      </c>
      <c r="C63" s="2" t="s">
        <v>71</v>
      </c>
      <c r="D63" s="2" t="s">
        <v>54</v>
      </c>
      <c r="E63" s="4">
        <v>80000</v>
      </c>
    </row>
    <row r="64" spans="1:5" ht="23.1" customHeight="1">
      <c r="A64" s="2" t="s">
        <v>122</v>
      </c>
      <c r="B64" s="3">
        <v>46266</v>
      </c>
      <c r="C64" s="2" t="s">
        <v>71</v>
      </c>
      <c r="D64" s="2" t="s">
        <v>56</v>
      </c>
      <c r="E64" s="4">
        <v>300000</v>
      </c>
    </row>
    <row r="65" spans="1:5" ht="23.1" customHeight="1">
      <c r="A65" s="2" t="s">
        <v>123</v>
      </c>
      <c r="B65" s="3">
        <v>46266</v>
      </c>
      <c r="C65" s="2" t="s">
        <v>71</v>
      </c>
      <c r="D65" s="2" t="s">
        <v>58</v>
      </c>
      <c r="E65" s="4">
        <v>200000</v>
      </c>
    </row>
    <row r="66" spans="1:5" ht="23.1" customHeight="1">
      <c r="A66" s="2" t="s">
        <v>124</v>
      </c>
      <c r="B66" s="3">
        <v>46266</v>
      </c>
      <c r="C66" s="2" t="s">
        <v>71</v>
      </c>
      <c r="D66" s="2" t="s">
        <v>60</v>
      </c>
      <c r="E66" s="4">
        <v>70000</v>
      </c>
    </row>
    <row r="67" spans="1:5" ht="23.1" customHeight="1">
      <c r="A67" s="2" t="s">
        <v>125</v>
      </c>
      <c r="B67" s="3">
        <v>46266</v>
      </c>
      <c r="C67" s="2" t="s">
        <v>71</v>
      </c>
      <c r="D67" s="2" t="s">
        <v>62</v>
      </c>
      <c r="E67" s="4">
        <v>200000</v>
      </c>
    </row>
    <row r="68" spans="1:5" ht="23.1" customHeight="1">
      <c r="A68" s="2" t="s">
        <v>126</v>
      </c>
      <c r="B68" s="3">
        <v>46266</v>
      </c>
      <c r="C68" s="2" t="s">
        <v>78</v>
      </c>
      <c r="D68" s="2" t="s">
        <v>52</v>
      </c>
      <c r="E68" s="4">
        <v>1100000</v>
      </c>
    </row>
    <row r="69" spans="1:5" ht="23.1" customHeight="1">
      <c r="A69" s="2" t="s">
        <v>127</v>
      </c>
      <c r="B69" s="3">
        <v>46266</v>
      </c>
      <c r="C69" s="2" t="s">
        <v>78</v>
      </c>
      <c r="D69" s="2" t="s">
        <v>54</v>
      </c>
      <c r="E69" s="4">
        <v>50000</v>
      </c>
    </row>
    <row r="70" spans="1:5" ht="23.1" customHeight="1">
      <c r="A70" s="2" t="s">
        <v>128</v>
      </c>
      <c r="B70" s="3">
        <v>46266</v>
      </c>
      <c r="C70" s="2" t="s">
        <v>78</v>
      </c>
      <c r="D70" s="2" t="s">
        <v>56</v>
      </c>
      <c r="E70" s="4">
        <v>100000</v>
      </c>
    </row>
    <row r="71" spans="1:5" ht="23.1" customHeight="1">
      <c r="A71" s="2" t="s">
        <v>129</v>
      </c>
      <c r="B71" s="3">
        <v>46266</v>
      </c>
      <c r="C71" s="2" t="s">
        <v>78</v>
      </c>
      <c r="D71" s="2" t="s">
        <v>58</v>
      </c>
      <c r="E71" s="4">
        <v>150000</v>
      </c>
    </row>
    <row r="72" spans="1:5" ht="23.1" customHeight="1">
      <c r="A72" s="2" t="s">
        <v>130</v>
      </c>
      <c r="B72" s="3">
        <v>46266</v>
      </c>
      <c r="C72" s="2" t="s">
        <v>78</v>
      </c>
      <c r="D72" s="2" t="s">
        <v>60</v>
      </c>
      <c r="E72" s="4">
        <v>30000</v>
      </c>
    </row>
    <row r="73" spans="1:5" ht="23.1" customHeight="1">
      <c r="A73" s="2" t="s">
        <v>131</v>
      </c>
      <c r="B73" s="3">
        <v>46266</v>
      </c>
      <c r="C73" s="2" t="s">
        <v>78</v>
      </c>
      <c r="D73" s="2" t="s">
        <v>62</v>
      </c>
      <c r="E73" s="4">
        <v>100000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CC9AC"/>
  </sheetPr>
  <dimension ref="A1:G77"/>
  <sheetViews>
    <sheetView showGridLines="0" workbookViewId="0">
      <pane ySplit="1" topLeftCell="A2" activePane="bottomLeft" state="frozen"/>
      <selection pane="bottomLeft"/>
    </sheetView>
  </sheetViews>
  <sheetFormatPr defaultRowHeight="14.25"/>
  <cols>
    <col min="1" max="1" width="19" customWidth="1"/>
    <col min="2" max="2" width="17" customWidth="1"/>
    <col min="3" max="3" width="20" customWidth="1"/>
    <col min="4" max="4" width="24" customWidth="1"/>
    <col min="5" max="5" width="22" customWidth="1"/>
    <col min="6" max="6" width="43" customWidth="1"/>
    <col min="7" max="7" width="19" customWidth="1"/>
  </cols>
  <sheetData>
    <row r="1" spans="1:7" ht="30" customHeight="1">
      <c r="A1" s="1" t="s">
        <v>132</v>
      </c>
      <c r="B1" s="1" t="s">
        <v>133</v>
      </c>
      <c r="C1" s="1" t="s">
        <v>47</v>
      </c>
      <c r="D1" s="1" t="s">
        <v>48</v>
      </c>
      <c r="E1" s="1" t="s">
        <v>134</v>
      </c>
      <c r="F1" s="1" t="s">
        <v>135</v>
      </c>
      <c r="G1" s="1" t="s">
        <v>136</v>
      </c>
    </row>
    <row r="2" spans="1:7" ht="23.1" customHeight="1">
      <c r="A2" s="2" t="s">
        <v>137</v>
      </c>
      <c r="B2" s="3">
        <v>46204</v>
      </c>
      <c r="C2" s="2" t="s">
        <v>51</v>
      </c>
      <c r="D2" s="2" t="s">
        <v>52</v>
      </c>
      <c r="E2" s="2" t="s">
        <v>138</v>
      </c>
      <c r="F2" s="2" t="s">
        <v>139</v>
      </c>
      <c r="G2" s="4">
        <v>1455000</v>
      </c>
    </row>
    <row r="3" spans="1:7" ht="23.1" customHeight="1">
      <c r="A3" s="2" t="s">
        <v>140</v>
      </c>
      <c r="B3" s="3">
        <v>46204</v>
      </c>
      <c r="C3" s="2" t="s">
        <v>51</v>
      </c>
      <c r="D3" s="2" t="s">
        <v>54</v>
      </c>
      <c r="E3" s="2" t="s">
        <v>141</v>
      </c>
      <c r="F3" s="2" t="s">
        <v>139</v>
      </c>
      <c r="G3" s="4">
        <v>208000</v>
      </c>
    </row>
    <row r="4" spans="1:7" ht="23.1" customHeight="1">
      <c r="A4" s="2" t="s">
        <v>142</v>
      </c>
      <c r="B4" s="3">
        <v>46204</v>
      </c>
      <c r="C4" s="2" t="s">
        <v>51</v>
      </c>
      <c r="D4" s="2" t="s">
        <v>56</v>
      </c>
      <c r="E4" s="2" t="s">
        <v>143</v>
      </c>
      <c r="F4" s="2" t="s">
        <v>139</v>
      </c>
      <c r="G4" s="4">
        <v>82000</v>
      </c>
    </row>
    <row r="5" spans="1:7" ht="23.1" customHeight="1">
      <c r="A5" s="2" t="s">
        <v>144</v>
      </c>
      <c r="B5" s="3">
        <v>46204</v>
      </c>
      <c r="C5" s="2" t="s">
        <v>51</v>
      </c>
      <c r="D5" s="2" t="s">
        <v>58</v>
      </c>
      <c r="E5" s="2" t="s">
        <v>145</v>
      </c>
      <c r="F5" s="2" t="s">
        <v>139</v>
      </c>
      <c r="G5" s="4">
        <v>97000</v>
      </c>
    </row>
    <row r="6" spans="1:7" ht="23.1" customHeight="1">
      <c r="A6" s="2" t="s">
        <v>146</v>
      </c>
      <c r="B6" s="3">
        <v>46204</v>
      </c>
      <c r="C6" s="2" t="s">
        <v>51</v>
      </c>
      <c r="D6" s="2" t="s">
        <v>60</v>
      </c>
      <c r="E6" s="2" t="s">
        <v>147</v>
      </c>
      <c r="F6" s="2" t="s">
        <v>139</v>
      </c>
      <c r="G6" s="4">
        <v>52000</v>
      </c>
    </row>
    <row r="7" spans="1:7" ht="23.1" customHeight="1">
      <c r="A7" s="2" t="s">
        <v>148</v>
      </c>
      <c r="B7" s="3">
        <v>46204</v>
      </c>
      <c r="C7" s="2" t="s">
        <v>51</v>
      </c>
      <c r="D7" s="2" t="s">
        <v>62</v>
      </c>
      <c r="E7" s="2" t="s">
        <v>149</v>
      </c>
      <c r="F7" s="2" t="s">
        <v>139</v>
      </c>
      <c r="G7" s="4">
        <v>184000</v>
      </c>
    </row>
    <row r="8" spans="1:7" ht="23.1" customHeight="1">
      <c r="A8" s="2" t="s">
        <v>150</v>
      </c>
      <c r="B8" s="3">
        <v>46204</v>
      </c>
      <c r="C8" s="2" t="s">
        <v>64</v>
      </c>
      <c r="D8" s="2" t="s">
        <v>52</v>
      </c>
      <c r="E8" s="2" t="s">
        <v>151</v>
      </c>
      <c r="F8" s="2" t="s">
        <v>139</v>
      </c>
      <c r="G8" s="4">
        <v>936000</v>
      </c>
    </row>
    <row r="9" spans="1:7" ht="23.1" customHeight="1">
      <c r="A9" s="2" t="s">
        <v>152</v>
      </c>
      <c r="B9" s="3">
        <v>46204</v>
      </c>
      <c r="C9" s="2" t="s">
        <v>64</v>
      </c>
      <c r="D9" s="2" t="s">
        <v>54</v>
      </c>
      <c r="E9" s="2" t="s">
        <v>153</v>
      </c>
      <c r="F9" s="2" t="s">
        <v>139</v>
      </c>
      <c r="G9" s="4">
        <v>102000</v>
      </c>
    </row>
    <row r="10" spans="1:7" ht="23.1" customHeight="1">
      <c r="A10" s="2" t="s">
        <v>154</v>
      </c>
      <c r="B10" s="3">
        <v>46204</v>
      </c>
      <c r="C10" s="2" t="s">
        <v>64</v>
      </c>
      <c r="D10" s="2" t="s">
        <v>56</v>
      </c>
      <c r="E10" s="2" t="s">
        <v>155</v>
      </c>
      <c r="F10" s="2" t="s">
        <v>139</v>
      </c>
      <c r="G10" s="4">
        <v>116000</v>
      </c>
    </row>
    <row r="11" spans="1:7" ht="23.1" customHeight="1">
      <c r="A11" s="2" t="s">
        <v>156</v>
      </c>
      <c r="B11" s="3">
        <v>46204</v>
      </c>
      <c r="C11" s="2" t="s">
        <v>64</v>
      </c>
      <c r="D11" s="2" t="s">
        <v>58</v>
      </c>
      <c r="E11" s="2" t="s">
        <v>157</v>
      </c>
      <c r="F11" s="2" t="s">
        <v>139</v>
      </c>
      <c r="G11" s="4">
        <v>187000</v>
      </c>
    </row>
    <row r="12" spans="1:7" ht="23.1" customHeight="1">
      <c r="A12" s="2" t="s">
        <v>158</v>
      </c>
      <c r="B12" s="3">
        <v>46204</v>
      </c>
      <c r="C12" s="2" t="s">
        <v>64</v>
      </c>
      <c r="D12" s="2" t="s">
        <v>60</v>
      </c>
      <c r="E12" s="2" t="s">
        <v>159</v>
      </c>
      <c r="F12" s="2" t="s">
        <v>139</v>
      </c>
      <c r="G12" s="4">
        <v>41000</v>
      </c>
    </row>
    <row r="13" spans="1:7" ht="23.1" customHeight="1">
      <c r="A13" s="2" t="s">
        <v>160</v>
      </c>
      <c r="B13" s="3">
        <v>46204</v>
      </c>
      <c r="C13" s="2" t="s">
        <v>64</v>
      </c>
      <c r="D13" s="2" t="s">
        <v>62</v>
      </c>
      <c r="E13" s="2" t="s">
        <v>161</v>
      </c>
      <c r="F13" s="2" t="s">
        <v>139</v>
      </c>
      <c r="G13" s="4">
        <v>116000</v>
      </c>
    </row>
    <row r="14" spans="1:7" ht="23.1" customHeight="1">
      <c r="A14" s="2" t="s">
        <v>162</v>
      </c>
      <c r="B14" s="3">
        <v>46204</v>
      </c>
      <c r="C14" s="2" t="s">
        <v>71</v>
      </c>
      <c r="D14" s="2" t="s">
        <v>52</v>
      </c>
      <c r="E14" s="2" t="s">
        <v>163</v>
      </c>
      <c r="F14" s="2" t="s">
        <v>139</v>
      </c>
      <c r="G14" s="4">
        <v>2244000</v>
      </c>
    </row>
    <row r="15" spans="1:7" ht="23.1" customHeight="1">
      <c r="A15" s="2" t="s">
        <v>164</v>
      </c>
      <c r="B15" s="3">
        <v>46204</v>
      </c>
      <c r="C15" s="2" t="s">
        <v>71</v>
      </c>
      <c r="D15" s="2" t="s">
        <v>54</v>
      </c>
      <c r="E15" s="2" t="s">
        <v>165</v>
      </c>
      <c r="F15" s="2" t="s">
        <v>139</v>
      </c>
      <c r="G15" s="4">
        <v>78000</v>
      </c>
    </row>
    <row r="16" spans="1:7" ht="23.1" customHeight="1">
      <c r="A16" s="2" t="s">
        <v>166</v>
      </c>
      <c r="B16" s="3">
        <v>46204</v>
      </c>
      <c r="C16" s="2" t="s">
        <v>71</v>
      </c>
      <c r="D16" s="2" t="s">
        <v>56</v>
      </c>
      <c r="E16" s="2" t="s">
        <v>167</v>
      </c>
      <c r="F16" s="2" t="s">
        <v>139</v>
      </c>
      <c r="G16" s="4">
        <v>250000</v>
      </c>
    </row>
    <row r="17" spans="1:7" ht="23.1" customHeight="1">
      <c r="A17" s="2" t="s">
        <v>168</v>
      </c>
      <c r="B17" s="3">
        <v>46204</v>
      </c>
      <c r="C17" s="2" t="s">
        <v>71</v>
      </c>
      <c r="D17" s="2" t="s">
        <v>58</v>
      </c>
      <c r="E17" s="2" t="s">
        <v>169</v>
      </c>
      <c r="F17" s="2" t="s">
        <v>139</v>
      </c>
      <c r="G17" s="4">
        <v>204000</v>
      </c>
    </row>
    <row r="18" spans="1:7" ht="23.1" customHeight="1">
      <c r="A18" s="2" t="s">
        <v>170</v>
      </c>
      <c r="B18" s="3">
        <v>46204</v>
      </c>
      <c r="C18" s="2" t="s">
        <v>71</v>
      </c>
      <c r="D18" s="2" t="s">
        <v>60</v>
      </c>
      <c r="E18" s="2" t="s">
        <v>171</v>
      </c>
      <c r="F18" s="2" t="s">
        <v>139</v>
      </c>
      <c r="G18" s="4">
        <v>68000</v>
      </c>
    </row>
    <row r="19" spans="1:7" ht="23.1" customHeight="1">
      <c r="A19" s="2" t="s">
        <v>172</v>
      </c>
      <c r="B19" s="3">
        <v>46204</v>
      </c>
      <c r="C19" s="2" t="s">
        <v>71</v>
      </c>
      <c r="D19" s="2" t="s">
        <v>62</v>
      </c>
      <c r="E19" s="2" t="s">
        <v>173</v>
      </c>
      <c r="F19" s="2" t="s">
        <v>139</v>
      </c>
      <c r="G19" s="4">
        <v>208000</v>
      </c>
    </row>
    <row r="20" spans="1:7" ht="23.1" customHeight="1">
      <c r="A20" s="2" t="s">
        <v>174</v>
      </c>
      <c r="B20" s="3">
        <v>46204</v>
      </c>
      <c r="C20" s="2" t="s">
        <v>78</v>
      </c>
      <c r="D20" s="2" t="s">
        <v>52</v>
      </c>
      <c r="E20" s="2" t="s">
        <v>175</v>
      </c>
      <c r="F20" s="2" t="s">
        <v>139</v>
      </c>
      <c r="G20" s="4">
        <v>1067000</v>
      </c>
    </row>
    <row r="21" spans="1:7" ht="23.1" customHeight="1">
      <c r="A21" s="2" t="s">
        <v>176</v>
      </c>
      <c r="B21" s="3">
        <v>46204</v>
      </c>
      <c r="C21" s="2" t="s">
        <v>78</v>
      </c>
      <c r="D21" s="2" t="s">
        <v>54</v>
      </c>
      <c r="E21" s="2" t="s">
        <v>177</v>
      </c>
      <c r="F21" s="2" t="s">
        <v>139</v>
      </c>
      <c r="G21" s="4">
        <v>52000</v>
      </c>
    </row>
    <row r="22" spans="1:7" ht="23.1" customHeight="1">
      <c r="A22" s="2" t="s">
        <v>178</v>
      </c>
      <c r="B22" s="3">
        <v>46204</v>
      </c>
      <c r="C22" s="2" t="s">
        <v>78</v>
      </c>
      <c r="D22" s="2" t="s">
        <v>56</v>
      </c>
      <c r="E22" s="2" t="s">
        <v>179</v>
      </c>
      <c r="F22" s="2" t="s">
        <v>139</v>
      </c>
      <c r="G22" s="4">
        <v>102000</v>
      </c>
    </row>
    <row r="23" spans="1:7" ht="23.1" customHeight="1">
      <c r="A23" s="2" t="s">
        <v>180</v>
      </c>
      <c r="B23" s="3">
        <v>46204</v>
      </c>
      <c r="C23" s="2" t="s">
        <v>78</v>
      </c>
      <c r="D23" s="2" t="s">
        <v>58</v>
      </c>
      <c r="E23" s="2" t="s">
        <v>181</v>
      </c>
      <c r="F23" s="2" t="s">
        <v>139</v>
      </c>
      <c r="G23" s="4">
        <v>50000</v>
      </c>
    </row>
    <row r="24" spans="1:7" ht="23.1" customHeight="1">
      <c r="A24" s="2" t="s">
        <v>182</v>
      </c>
      <c r="B24" s="3">
        <v>46204</v>
      </c>
      <c r="C24" s="2" t="s">
        <v>78</v>
      </c>
      <c r="D24" s="2" t="s">
        <v>60</v>
      </c>
      <c r="E24" s="2" t="s">
        <v>183</v>
      </c>
      <c r="F24" s="2" t="s">
        <v>139</v>
      </c>
      <c r="G24" s="4">
        <v>31000</v>
      </c>
    </row>
    <row r="25" spans="1:7" ht="23.1" customHeight="1">
      <c r="A25" s="2" t="s">
        <v>184</v>
      </c>
      <c r="B25" s="3">
        <v>46204</v>
      </c>
      <c r="C25" s="2" t="s">
        <v>78</v>
      </c>
      <c r="D25" s="2" t="s">
        <v>62</v>
      </c>
      <c r="E25" s="2" t="s">
        <v>185</v>
      </c>
      <c r="F25" s="2" t="s">
        <v>139</v>
      </c>
      <c r="G25" s="4">
        <v>102000</v>
      </c>
    </row>
    <row r="26" spans="1:7" ht="23.1" customHeight="1">
      <c r="A26" s="2" t="s">
        <v>186</v>
      </c>
      <c r="B26" s="3">
        <v>46235</v>
      </c>
      <c r="C26" s="2" t="s">
        <v>51</v>
      </c>
      <c r="D26" s="2" t="s">
        <v>52</v>
      </c>
      <c r="E26" s="2" t="s">
        <v>187</v>
      </c>
      <c r="F26" s="2" t="s">
        <v>139</v>
      </c>
      <c r="G26" s="4">
        <v>1560000</v>
      </c>
    </row>
    <row r="27" spans="1:7" ht="23.1" customHeight="1">
      <c r="A27" s="2" t="s">
        <v>188</v>
      </c>
      <c r="B27" s="3">
        <v>46235</v>
      </c>
      <c r="C27" s="2" t="s">
        <v>51</v>
      </c>
      <c r="D27" s="2" t="s">
        <v>54</v>
      </c>
      <c r="E27" s="2" t="s">
        <v>189</v>
      </c>
      <c r="F27" s="2" t="s">
        <v>139</v>
      </c>
      <c r="G27" s="4">
        <v>340000</v>
      </c>
    </row>
    <row r="28" spans="1:7" ht="23.1" customHeight="1">
      <c r="A28" s="2" t="s">
        <v>190</v>
      </c>
      <c r="B28" s="3">
        <v>46235</v>
      </c>
      <c r="C28" s="2" t="s">
        <v>51</v>
      </c>
      <c r="D28" s="2" t="s">
        <v>56</v>
      </c>
      <c r="E28" s="2" t="s">
        <v>191</v>
      </c>
      <c r="F28" s="2" t="s">
        <v>139</v>
      </c>
      <c r="G28" s="4">
        <v>78000</v>
      </c>
    </row>
    <row r="29" spans="1:7" ht="23.1" customHeight="1">
      <c r="A29" s="2" t="s">
        <v>192</v>
      </c>
      <c r="B29" s="3">
        <v>46235</v>
      </c>
      <c r="C29" s="2" t="s">
        <v>51</v>
      </c>
      <c r="D29" s="2" t="s">
        <v>58</v>
      </c>
      <c r="E29" s="2" t="s">
        <v>193</v>
      </c>
      <c r="F29" s="2" t="s">
        <v>139</v>
      </c>
      <c r="G29" s="4">
        <v>104000</v>
      </c>
    </row>
    <row r="30" spans="1:7" ht="23.1" customHeight="1">
      <c r="A30" s="2" t="s">
        <v>194</v>
      </c>
      <c r="B30" s="3">
        <v>46235</v>
      </c>
      <c r="C30" s="2" t="s">
        <v>51</v>
      </c>
      <c r="D30" s="2" t="s">
        <v>60</v>
      </c>
      <c r="E30" s="2" t="s">
        <v>195</v>
      </c>
      <c r="F30" s="2" t="s">
        <v>139</v>
      </c>
      <c r="G30" s="4">
        <v>51000</v>
      </c>
    </row>
    <row r="31" spans="1:7" ht="23.1" customHeight="1">
      <c r="A31" s="2" t="s">
        <v>196</v>
      </c>
      <c r="B31" s="3">
        <v>46235</v>
      </c>
      <c r="C31" s="2" t="s">
        <v>51</v>
      </c>
      <c r="D31" s="2" t="s">
        <v>62</v>
      </c>
      <c r="E31" s="2" t="s">
        <v>197</v>
      </c>
      <c r="F31" s="2" t="s">
        <v>139</v>
      </c>
      <c r="G31" s="4">
        <v>175000</v>
      </c>
    </row>
    <row r="32" spans="1:7" ht="23.1" customHeight="1">
      <c r="A32" s="2" t="s">
        <v>198</v>
      </c>
      <c r="B32" s="3">
        <v>46235</v>
      </c>
      <c r="C32" s="2" t="s">
        <v>64</v>
      </c>
      <c r="D32" s="2" t="s">
        <v>52</v>
      </c>
      <c r="E32" s="2" t="s">
        <v>199</v>
      </c>
      <c r="F32" s="2" t="s">
        <v>139</v>
      </c>
      <c r="G32" s="4">
        <v>918000</v>
      </c>
    </row>
    <row r="33" spans="1:7" ht="23.1" customHeight="1">
      <c r="A33" s="2" t="s">
        <v>200</v>
      </c>
      <c r="B33" s="3">
        <v>46235</v>
      </c>
      <c r="C33" s="2" t="s">
        <v>64</v>
      </c>
      <c r="D33" s="2" t="s">
        <v>54</v>
      </c>
      <c r="E33" s="2" t="s">
        <v>201</v>
      </c>
      <c r="F33" s="2" t="s">
        <v>139</v>
      </c>
      <c r="G33" s="4">
        <v>97000</v>
      </c>
    </row>
    <row r="34" spans="1:7" ht="23.1" customHeight="1">
      <c r="A34" s="2" t="s">
        <v>202</v>
      </c>
      <c r="B34" s="3">
        <v>46235</v>
      </c>
      <c r="C34" s="2" t="s">
        <v>64</v>
      </c>
      <c r="D34" s="2" t="s">
        <v>56</v>
      </c>
      <c r="E34" s="2" t="s">
        <v>203</v>
      </c>
      <c r="F34" s="2" t="s">
        <v>139</v>
      </c>
      <c r="G34" s="4">
        <v>125000</v>
      </c>
    </row>
    <row r="35" spans="1:7" ht="23.1" customHeight="1">
      <c r="A35" s="2" t="s">
        <v>204</v>
      </c>
      <c r="B35" s="3">
        <v>46235</v>
      </c>
      <c r="C35" s="2" t="s">
        <v>64</v>
      </c>
      <c r="D35" s="2" t="s">
        <v>58</v>
      </c>
      <c r="E35" s="2" t="s">
        <v>205</v>
      </c>
      <c r="F35" s="2" t="s">
        <v>139</v>
      </c>
      <c r="G35" s="4">
        <v>184000</v>
      </c>
    </row>
    <row r="36" spans="1:7" ht="23.1" customHeight="1">
      <c r="A36" s="2" t="s">
        <v>206</v>
      </c>
      <c r="B36" s="3">
        <v>46235</v>
      </c>
      <c r="C36" s="2" t="s">
        <v>64</v>
      </c>
      <c r="D36" s="2" t="s">
        <v>60</v>
      </c>
      <c r="E36" s="2" t="s">
        <v>207</v>
      </c>
      <c r="F36" s="2" t="s">
        <v>139</v>
      </c>
      <c r="G36" s="4">
        <v>39000</v>
      </c>
    </row>
    <row r="37" spans="1:7" ht="23.1" customHeight="1">
      <c r="A37" s="2" t="s">
        <v>208</v>
      </c>
      <c r="B37" s="3">
        <v>46235</v>
      </c>
      <c r="C37" s="2" t="s">
        <v>64</v>
      </c>
      <c r="D37" s="2" t="s">
        <v>62</v>
      </c>
      <c r="E37" s="2" t="s">
        <v>209</v>
      </c>
      <c r="F37" s="2" t="s">
        <v>139</v>
      </c>
      <c r="G37" s="4">
        <v>125000</v>
      </c>
    </row>
    <row r="38" spans="1:7" ht="23.1" customHeight="1">
      <c r="A38" s="2" t="s">
        <v>210</v>
      </c>
      <c r="B38" s="3">
        <v>46235</v>
      </c>
      <c r="C38" s="2" t="s">
        <v>71</v>
      </c>
      <c r="D38" s="2" t="s">
        <v>52</v>
      </c>
      <c r="E38" s="2" t="s">
        <v>211</v>
      </c>
      <c r="F38" s="2" t="s">
        <v>139</v>
      </c>
      <c r="G38" s="4">
        <v>2134000</v>
      </c>
    </row>
    <row r="39" spans="1:7" ht="23.1" customHeight="1">
      <c r="A39" s="2" t="s">
        <v>212</v>
      </c>
      <c r="B39" s="3">
        <v>46235</v>
      </c>
      <c r="C39" s="2" t="s">
        <v>71</v>
      </c>
      <c r="D39" s="2" t="s">
        <v>54</v>
      </c>
      <c r="E39" s="2" t="s">
        <v>213</v>
      </c>
      <c r="F39" s="2" t="s">
        <v>139</v>
      </c>
      <c r="G39" s="4">
        <v>83000</v>
      </c>
    </row>
    <row r="40" spans="1:7" ht="23.1" customHeight="1">
      <c r="A40" s="2" t="s">
        <v>214</v>
      </c>
      <c r="B40" s="3">
        <v>46235</v>
      </c>
      <c r="C40" s="2" t="s">
        <v>71</v>
      </c>
      <c r="D40" s="2" t="s">
        <v>56</v>
      </c>
      <c r="E40" s="2" t="s">
        <v>215</v>
      </c>
      <c r="F40" s="2" t="s">
        <v>139</v>
      </c>
      <c r="G40" s="4">
        <v>400000</v>
      </c>
    </row>
    <row r="41" spans="1:7" ht="23.1" customHeight="1">
      <c r="A41" s="2" t="s">
        <v>216</v>
      </c>
      <c r="B41" s="3">
        <v>46235</v>
      </c>
      <c r="C41" s="2" t="s">
        <v>71</v>
      </c>
      <c r="D41" s="2" t="s">
        <v>58</v>
      </c>
      <c r="E41" s="2" t="s">
        <v>217</v>
      </c>
      <c r="F41" s="2" t="s">
        <v>139</v>
      </c>
      <c r="G41" s="4">
        <v>194000</v>
      </c>
    </row>
    <row r="42" spans="1:7" ht="23.1" customHeight="1">
      <c r="A42" s="2" t="s">
        <v>218</v>
      </c>
      <c r="B42" s="3">
        <v>46235</v>
      </c>
      <c r="C42" s="2" t="s">
        <v>71</v>
      </c>
      <c r="D42" s="2" t="s">
        <v>60</v>
      </c>
      <c r="E42" s="2" t="s">
        <v>219</v>
      </c>
      <c r="F42" s="2" t="s">
        <v>139</v>
      </c>
      <c r="G42" s="4">
        <v>73000</v>
      </c>
    </row>
    <row r="43" spans="1:7" ht="23.1" customHeight="1">
      <c r="A43" s="2" t="s">
        <v>220</v>
      </c>
      <c r="B43" s="3">
        <v>46235</v>
      </c>
      <c r="C43" s="2" t="s">
        <v>71</v>
      </c>
      <c r="D43" s="2" t="s">
        <v>62</v>
      </c>
      <c r="E43" s="2" t="s">
        <v>221</v>
      </c>
      <c r="F43" s="2" t="s">
        <v>139</v>
      </c>
      <c r="G43" s="4">
        <v>204000</v>
      </c>
    </row>
    <row r="44" spans="1:7" ht="23.1" customHeight="1">
      <c r="A44" s="2" t="s">
        <v>222</v>
      </c>
      <c r="B44" s="3">
        <v>46235</v>
      </c>
      <c r="C44" s="2" t="s">
        <v>78</v>
      </c>
      <c r="D44" s="2" t="s">
        <v>52</v>
      </c>
      <c r="E44" s="2" t="s">
        <v>223</v>
      </c>
      <c r="F44" s="2" t="s">
        <v>139</v>
      </c>
      <c r="G44" s="4">
        <v>1144000</v>
      </c>
    </row>
    <row r="45" spans="1:7" ht="23.1" customHeight="1">
      <c r="A45" s="2" t="s">
        <v>224</v>
      </c>
      <c r="B45" s="3">
        <v>46235</v>
      </c>
      <c r="C45" s="2" t="s">
        <v>78</v>
      </c>
      <c r="D45" s="2" t="s">
        <v>54</v>
      </c>
      <c r="E45" s="2" t="s">
        <v>225</v>
      </c>
      <c r="F45" s="2" t="s">
        <v>139</v>
      </c>
      <c r="G45" s="4">
        <v>51000</v>
      </c>
    </row>
    <row r="46" spans="1:7" ht="23.1" customHeight="1">
      <c r="A46" s="2" t="s">
        <v>226</v>
      </c>
      <c r="B46" s="3">
        <v>46235</v>
      </c>
      <c r="C46" s="2" t="s">
        <v>78</v>
      </c>
      <c r="D46" s="2" t="s">
        <v>56</v>
      </c>
      <c r="E46" s="2" t="s">
        <v>227</v>
      </c>
      <c r="F46" s="2" t="s">
        <v>139</v>
      </c>
      <c r="G46" s="4">
        <v>97000</v>
      </c>
    </row>
    <row r="47" spans="1:7" ht="23.1" customHeight="1">
      <c r="A47" s="2" t="s">
        <v>228</v>
      </c>
      <c r="B47" s="3">
        <v>46235</v>
      </c>
      <c r="C47" s="2" t="s">
        <v>78</v>
      </c>
      <c r="D47" s="2" t="s">
        <v>58</v>
      </c>
      <c r="E47" s="2" t="s">
        <v>229</v>
      </c>
      <c r="F47" s="2" t="s">
        <v>139</v>
      </c>
      <c r="G47" s="4">
        <v>156000</v>
      </c>
    </row>
    <row r="48" spans="1:7" ht="23.1" customHeight="1">
      <c r="A48" s="2" t="s">
        <v>230</v>
      </c>
      <c r="B48" s="3">
        <v>46235</v>
      </c>
      <c r="C48" s="2" t="s">
        <v>78</v>
      </c>
      <c r="D48" s="2" t="s">
        <v>60</v>
      </c>
      <c r="E48" s="2" t="s">
        <v>231</v>
      </c>
      <c r="F48" s="2" t="s">
        <v>139</v>
      </c>
      <c r="G48" s="4"/>
    </row>
    <row r="49" spans="1:7" ht="23.1" customHeight="1">
      <c r="A49" s="2" t="s">
        <v>232</v>
      </c>
      <c r="B49" s="3">
        <v>46235</v>
      </c>
      <c r="C49" s="2" t="s">
        <v>78</v>
      </c>
      <c r="D49" s="2" t="s">
        <v>62</v>
      </c>
      <c r="E49" s="2" t="s">
        <v>233</v>
      </c>
      <c r="F49" s="2" t="s">
        <v>139</v>
      </c>
      <c r="G49" s="4">
        <v>97000</v>
      </c>
    </row>
    <row r="50" spans="1:7" ht="23.1" customHeight="1">
      <c r="A50" s="2" t="s">
        <v>234</v>
      </c>
      <c r="B50" s="3">
        <v>46266</v>
      </c>
      <c r="C50" s="2" t="s">
        <v>51</v>
      </c>
      <c r="D50" s="2" t="s">
        <v>52</v>
      </c>
      <c r="E50" s="2" t="s">
        <v>235</v>
      </c>
      <c r="F50" s="2" t="s">
        <v>139</v>
      </c>
      <c r="G50" s="4">
        <v>1530000</v>
      </c>
    </row>
    <row r="51" spans="1:7" ht="23.1" customHeight="1">
      <c r="A51" s="2" t="s">
        <v>236</v>
      </c>
      <c r="B51" s="3">
        <v>46266</v>
      </c>
      <c r="C51" s="2" t="s">
        <v>51</v>
      </c>
      <c r="D51" s="2" t="s">
        <v>54</v>
      </c>
      <c r="E51" s="2" t="s">
        <v>237</v>
      </c>
      <c r="F51" s="2" t="s">
        <v>139</v>
      </c>
      <c r="G51" s="4">
        <v>194000</v>
      </c>
    </row>
    <row r="52" spans="1:7" ht="23.1" customHeight="1">
      <c r="A52" s="2" t="s">
        <v>238</v>
      </c>
      <c r="B52" s="3">
        <v>46266</v>
      </c>
      <c r="C52" s="2" t="s">
        <v>51</v>
      </c>
      <c r="D52" s="2" t="s">
        <v>56</v>
      </c>
      <c r="E52" s="2" t="s">
        <v>239</v>
      </c>
      <c r="F52" s="2" t="s">
        <v>139</v>
      </c>
      <c r="G52" s="4">
        <v>83000</v>
      </c>
    </row>
    <row r="53" spans="1:7" ht="23.1" customHeight="1">
      <c r="A53" s="2" t="s">
        <v>240</v>
      </c>
      <c r="B53" s="3">
        <v>46266</v>
      </c>
      <c r="C53" s="2" t="s">
        <v>51</v>
      </c>
      <c r="D53" s="2" t="s">
        <v>58</v>
      </c>
      <c r="E53" s="2" t="s">
        <v>241</v>
      </c>
      <c r="F53" s="2" t="s">
        <v>139</v>
      </c>
      <c r="G53" s="4">
        <v>102000</v>
      </c>
    </row>
    <row r="54" spans="1:7" ht="23.1" customHeight="1">
      <c r="A54" s="2" t="s">
        <v>242</v>
      </c>
      <c r="B54" s="3">
        <v>46266</v>
      </c>
      <c r="C54" s="2" t="s">
        <v>51</v>
      </c>
      <c r="D54" s="2" t="s">
        <v>60</v>
      </c>
      <c r="E54" s="2" t="s">
        <v>243</v>
      </c>
      <c r="F54" s="2" t="s">
        <v>139</v>
      </c>
      <c r="G54" s="4">
        <v>49000</v>
      </c>
    </row>
    <row r="55" spans="1:7" ht="23.1" customHeight="1">
      <c r="A55" s="2" t="s">
        <v>244</v>
      </c>
      <c r="B55" s="3">
        <v>46266</v>
      </c>
      <c r="C55" s="2" t="s">
        <v>51</v>
      </c>
      <c r="D55" s="2" t="s">
        <v>62</v>
      </c>
      <c r="E55" s="2" t="s">
        <v>245</v>
      </c>
      <c r="F55" s="2" t="s">
        <v>139</v>
      </c>
      <c r="G55" s="4">
        <v>187000</v>
      </c>
    </row>
    <row r="56" spans="1:7" ht="23.1" customHeight="1">
      <c r="A56" s="2" t="s">
        <v>246</v>
      </c>
      <c r="B56" s="3">
        <v>46266</v>
      </c>
      <c r="C56" s="2" t="s">
        <v>64</v>
      </c>
      <c r="D56" s="2" t="s">
        <v>52</v>
      </c>
      <c r="E56" s="2" t="s">
        <v>247</v>
      </c>
      <c r="F56" s="2" t="s">
        <v>139</v>
      </c>
      <c r="G56" s="4">
        <v>873000</v>
      </c>
    </row>
    <row r="57" spans="1:7" ht="23.1" customHeight="1">
      <c r="A57" s="2" t="s">
        <v>248</v>
      </c>
      <c r="B57" s="3">
        <v>46266</v>
      </c>
      <c r="C57" s="2" t="s">
        <v>64</v>
      </c>
      <c r="D57" s="2" t="s">
        <v>54</v>
      </c>
      <c r="E57" s="2" t="s">
        <v>249</v>
      </c>
      <c r="F57" s="2" t="s">
        <v>139</v>
      </c>
      <c r="G57" s="4">
        <v>104000</v>
      </c>
    </row>
    <row r="58" spans="1:7" ht="23.1" customHeight="1">
      <c r="A58" s="2" t="s">
        <v>250</v>
      </c>
      <c r="B58" s="3">
        <v>46266</v>
      </c>
      <c r="C58" s="2" t="s">
        <v>64</v>
      </c>
      <c r="D58" s="2" t="s">
        <v>56</v>
      </c>
      <c r="E58" s="2" t="s">
        <v>251</v>
      </c>
      <c r="F58" s="2" t="s">
        <v>139</v>
      </c>
      <c r="G58" s="4">
        <v>122000</v>
      </c>
    </row>
    <row r="59" spans="1:7" ht="23.1" customHeight="1">
      <c r="A59" s="2" t="s">
        <v>252</v>
      </c>
      <c r="B59" s="3">
        <v>46266</v>
      </c>
      <c r="C59" s="2" t="s">
        <v>64</v>
      </c>
      <c r="D59" s="2" t="s">
        <v>58</v>
      </c>
      <c r="E59" s="2" t="s">
        <v>253</v>
      </c>
      <c r="F59" s="2" t="s">
        <v>139</v>
      </c>
      <c r="G59" s="4">
        <v>600000</v>
      </c>
    </row>
    <row r="60" spans="1:7" ht="23.1" customHeight="1">
      <c r="A60" s="2" t="s">
        <v>254</v>
      </c>
      <c r="B60" s="3">
        <v>46266</v>
      </c>
      <c r="C60" s="2" t="s">
        <v>64</v>
      </c>
      <c r="D60" s="2" t="s">
        <v>60</v>
      </c>
      <c r="E60" s="2" t="s">
        <v>255</v>
      </c>
      <c r="F60" s="2" t="s">
        <v>139</v>
      </c>
      <c r="G60" s="4">
        <v>120000</v>
      </c>
    </row>
    <row r="61" spans="1:7" ht="23.1" customHeight="1">
      <c r="A61" s="2" t="s">
        <v>256</v>
      </c>
      <c r="B61" s="3">
        <v>46266</v>
      </c>
      <c r="C61" s="2" t="s">
        <v>64</v>
      </c>
      <c r="D61" s="2" t="s">
        <v>62</v>
      </c>
      <c r="E61" s="2" t="s">
        <v>257</v>
      </c>
      <c r="F61" s="2" t="s">
        <v>139</v>
      </c>
      <c r="G61" s="4">
        <v>122000</v>
      </c>
    </row>
    <row r="62" spans="1:7" ht="23.1" customHeight="1">
      <c r="A62" s="2" t="s">
        <v>258</v>
      </c>
      <c r="B62" s="3">
        <v>46266</v>
      </c>
      <c r="C62" s="2" t="s">
        <v>71</v>
      </c>
      <c r="D62" s="2" t="s">
        <v>52</v>
      </c>
      <c r="E62" s="2" t="s">
        <v>259</v>
      </c>
      <c r="F62" s="2" t="s">
        <v>139</v>
      </c>
      <c r="G62" s="4">
        <v>2288000</v>
      </c>
    </row>
    <row r="63" spans="1:7" ht="23.1" customHeight="1">
      <c r="A63" s="2" t="s">
        <v>260</v>
      </c>
      <c r="B63" s="3">
        <v>46266</v>
      </c>
      <c r="C63" s="2" t="s">
        <v>71</v>
      </c>
      <c r="D63" s="2" t="s">
        <v>54</v>
      </c>
      <c r="E63" s="2" t="s">
        <v>261</v>
      </c>
      <c r="F63" s="2" t="s">
        <v>139</v>
      </c>
      <c r="G63" s="4">
        <v>82000</v>
      </c>
    </row>
    <row r="64" spans="1:7" ht="23.1" customHeight="1">
      <c r="A64" s="2" t="s">
        <v>262</v>
      </c>
      <c r="B64" s="3">
        <v>46266</v>
      </c>
      <c r="C64" s="2" t="s">
        <v>71</v>
      </c>
      <c r="D64" s="2" t="s">
        <v>56</v>
      </c>
      <c r="E64" s="2" t="s">
        <v>263</v>
      </c>
      <c r="F64" s="2" t="s">
        <v>139</v>
      </c>
      <c r="G64" s="4">
        <v>480000</v>
      </c>
    </row>
    <row r="65" spans="1:7" ht="23.1" customHeight="1">
      <c r="A65" s="2" t="s">
        <v>264</v>
      </c>
      <c r="B65" s="3">
        <v>46266</v>
      </c>
      <c r="C65" s="2" t="s">
        <v>71</v>
      </c>
      <c r="D65" s="2" t="s">
        <v>58</v>
      </c>
      <c r="E65" s="2" t="s">
        <v>265</v>
      </c>
      <c r="F65" s="2" t="s">
        <v>139</v>
      </c>
      <c r="G65" s="4">
        <v>208000</v>
      </c>
    </row>
    <row r="66" spans="1:7" ht="23.1" customHeight="1">
      <c r="A66" s="2" t="s">
        <v>266</v>
      </c>
      <c r="B66" s="3">
        <v>46266</v>
      </c>
      <c r="C66" s="2" t="s">
        <v>71</v>
      </c>
      <c r="D66" s="2" t="s">
        <v>60</v>
      </c>
      <c r="E66" s="2" t="s">
        <v>267</v>
      </c>
      <c r="F66" s="2" t="s">
        <v>139</v>
      </c>
      <c r="G66" s="4">
        <v>71000</v>
      </c>
    </row>
    <row r="67" spans="1:7" ht="23.1" customHeight="1">
      <c r="A67" s="2" t="s">
        <v>268</v>
      </c>
      <c r="B67" s="3">
        <v>46266</v>
      </c>
      <c r="C67" s="2" t="s">
        <v>71</v>
      </c>
      <c r="D67" s="2" t="s">
        <v>62</v>
      </c>
      <c r="E67" s="2" t="s">
        <v>269</v>
      </c>
      <c r="F67" s="2" t="s">
        <v>139</v>
      </c>
      <c r="G67" s="4">
        <v>194000</v>
      </c>
    </row>
    <row r="68" spans="1:7" ht="23.1" customHeight="1">
      <c r="A68" s="2" t="s">
        <v>270</v>
      </c>
      <c r="B68" s="3">
        <v>46266</v>
      </c>
      <c r="C68" s="2" t="s">
        <v>78</v>
      </c>
      <c r="D68" s="2" t="s">
        <v>52</v>
      </c>
      <c r="E68" s="2" t="s">
        <v>271</v>
      </c>
      <c r="F68" s="2" t="s">
        <v>139</v>
      </c>
      <c r="G68" s="4">
        <v>1122000</v>
      </c>
    </row>
    <row r="69" spans="1:7" ht="23.1" customHeight="1">
      <c r="A69" s="2" t="s">
        <v>272</v>
      </c>
      <c r="B69" s="3">
        <v>46266</v>
      </c>
      <c r="C69" s="2" t="s">
        <v>78</v>
      </c>
      <c r="D69" s="2" t="s">
        <v>54</v>
      </c>
      <c r="E69" s="2" t="s">
        <v>273</v>
      </c>
      <c r="F69" s="2" t="s">
        <v>139</v>
      </c>
      <c r="G69" s="4">
        <v>49000</v>
      </c>
    </row>
    <row r="70" spans="1:7" ht="23.1" customHeight="1">
      <c r="A70" s="2" t="s">
        <v>274</v>
      </c>
      <c r="B70" s="3">
        <v>46266</v>
      </c>
      <c r="C70" s="2" t="s">
        <v>78</v>
      </c>
      <c r="D70" s="2" t="s">
        <v>56</v>
      </c>
      <c r="E70" s="2" t="s">
        <v>275</v>
      </c>
      <c r="F70" s="2" t="s">
        <v>139</v>
      </c>
      <c r="G70" s="4">
        <v>104000</v>
      </c>
    </row>
    <row r="71" spans="1:7" ht="23.1" customHeight="1">
      <c r="A71" s="2" t="s">
        <v>276</v>
      </c>
      <c r="B71" s="3">
        <v>46266</v>
      </c>
      <c r="C71" s="2" t="s">
        <v>78</v>
      </c>
      <c r="D71" s="2" t="s">
        <v>58</v>
      </c>
      <c r="E71" s="2" t="s">
        <v>277</v>
      </c>
      <c r="F71" s="2" t="s">
        <v>139</v>
      </c>
      <c r="G71" s="4">
        <v>153000</v>
      </c>
    </row>
    <row r="72" spans="1:7" ht="23.1" customHeight="1">
      <c r="A72" s="2" t="s">
        <v>278</v>
      </c>
      <c r="B72" s="3">
        <v>46266</v>
      </c>
      <c r="C72" s="2" t="s">
        <v>78</v>
      </c>
      <c r="D72" s="2" t="s">
        <v>60</v>
      </c>
      <c r="E72" s="2" t="s">
        <v>279</v>
      </c>
      <c r="F72" s="2" t="s">
        <v>139</v>
      </c>
      <c r="G72" s="4">
        <v>29000</v>
      </c>
    </row>
    <row r="73" spans="1:7" ht="23.1" customHeight="1">
      <c r="A73" s="2" t="s">
        <v>280</v>
      </c>
      <c r="B73" s="3">
        <v>46266</v>
      </c>
      <c r="C73" s="2" t="s">
        <v>281</v>
      </c>
      <c r="D73" s="2" t="s">
        <v>62</v>
      </c>
      <c r="E73" s="2" t="s">
        <v>282</v>
      </c>
      <c r="F73" s="2" t="s">
        <v>139</v>
      </c>
      <c r="G73" s="4">
        <v>104000</v>
      </c>
    </row>
    <row r="74" spans="1:7" ht="23.1" customHeight="1">
      <c r="A74" s="2" t="s">
        <v>283</v>
      </c>
      <c r="B74" s="3">
        <v>46204</v>
      </c>
      <c r="C74" s="2" t="s">
        <v>71</v>
      </c>
      <c r="D74" s="2" t="s">
        <v>56</v>
      </c>
      <c r="E74" s="2" t="s">
        <v>167</v>
      </c>
      <c r="F74" s="2" t="s">
        <v>284</v>
      </c>
      <c r="G74" s="4">
        <v>100000</v>
      </c>
    </row>
    <row r="75" spans="1:7" ht="23.1" customHeight="1">
      <c r="A75" s="2" t="s">
        <v>285</v>
      </c>
      <c r="B75" s="3">
        <v>46266</v>
      </c>
      <c r="C75" s="2" t="s">
        <v>71</v>
      </c>
      <c r="D75" s="2" t="s">
        <v>56</v>
      </c>
      <c r="E75" s="2" t="s">
        <v>286</v>
      </c>
      <c r="F75" s="2" t="s">
        <v>287</v>
      </c>
      <c r="G75" s="4">
        <v>-50000</v>
      </c>
    </row>
    <row r="76" spans="1:7" ht="23.1" customHeight="1">
      <c r="A76" s="2" t="s">
        <v>214</v>
      </c>
      <c r="B76" s="3">
        <v>46235</v>
      </c>
      <c r="C76" s="2" t="s">
        <v>71</v>
      </c>
      <c r="D76" s="2" t="s">
        <v>56</v>
      </c>
      <c r="E76" s="2" t="s">
        <v>215</v>
      </c>
      <c r="F76" s="2" t="s">
        <v>139</v>
      </c>
      <c r="G76" s="4">
        <v>400000</v>
      </c>
    </row>
    <row r="77" spans="1:7" ht="23.1" customHeight="1">
      <c r="A77" s="2" t="s">
        <v>288</v>
      </c>
      <c r="B77" s="3">
        <v>46296</v>
      </c>
      <c r="C77" s="2" t="s">
        <v>51</v>
      </c>
      <c r="D77" s="2" t="s">
        <v>54</v>
      </c>
      <c r="E77" s="2" t="s">
        <v>289</v>
      </c>
      <c r="F77" s="2" t="s">
        <v>290</v>
      </c>
      <c r="G77" s="4">
        <v>90000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showGridLines="0" workbookViewId="0">
      <pane ySplit="1" topLeftCell="A2" activePane="bottomLeft" state="frozen"/>
      <selection pane="bottomLeft"/>
    </sheetView>
  </sheetViews>
  <sheetFormatPr defaultRowHeight="14.25"/>
  <cols>
    <col min="1" max="1" width="16" customWidth="1"/>
    <col min="2" max="2" width="18" customWidth="1"/>
    <col min="3" max="3" width="24" customWidth="1"/>
    <col min="4" max="4" width="16" customWidth="1"/>
    <col min="5" max="5" width="24" customWidth="1"/>
    <col min="6" max="6" width="95" customWidth="1"/>
    <col min="7" max="7" width="24" customWidth="1"/>
  </cols>
  <sheetData>
    <row r="1" spans="1:7" ht="30" customHeight="1">
      <c r="A1" s="1" t="s">
        <v>291</v>
      </c>
      <c r="B1" s="1" t="s">
        <v>47</v>
      </c>
      <c r="C1" s="1" t="s">
        <v>48</v>
      </c>
      <c r="D1" s="1" t="s">
        <v>292</v>
      </c>
      <c r="E1" s="1" t="s">
        <v>293</v>
      </c>
      <c r="F1" s="1" t="s">
        <v>294</v>
      </c>
      <c r="G1" s="1" t="s">
        <v>295</v>
      </c>
    </row>
    <row r="2" spans="1:7" ht="42" customHeight="1">
      <c r="A2" s="2" t="s">
        <v>296</v>
      </c>
      <c r="B2" s="2" t="s">
        <v>51</v>
      </c>
      <c r="C2" s="2" t="s">
        <v>54</v>
      </c>
      <c r="D2" s="2" t="s">
        <v>297</v>
      </c>
      <c r="E2" s="2" t="s">
        <v>298</v>
      </c>
      <c r="F2" s="5" t="s">
        <v>299</v>
      </c>
      <c r="G2" s="2" t="s">
        <v>300</v>
      </c>
    </row>
    <row r="3" spans="1:7" ht="42" customHeight="1">
      <c r="A3" s="2" t="s">
        <v>301</v>
      </c>
      <c r="B3" s="2" t="s">
        <v>64</v>
      </c>
      <c r="C3" s="2" t="s">
        <v>58</v>
      </c>
      <c r="D3" s="2" t="s">
        <v>302</v>
      </c>
      <c r="E3" s="2" t="s">
        <v>303</v>
      </c>
      <c r="F3" s="5" t="s">
        <v>304</v>
      </c>
      <c r="G3" s="2" t="s">
        <v>305</v>
      </c>
    </row>
    <row r="4" spans="1:7" ht="42" customHeight="1">
      <c r="A4" s="2" t="s">
        <v>306</v>
      </c>
      <c r="B4" s="2" t="s">
        <v>71</v>
      </c>
      <c r="C4" s="2" t="s">
        <v>56</v>
      </c>
      <c r="D4" s="2" t="s">
        <v>302</v>
      </c>
      <c r="E4" s="2" t="s">
        <v>286</v>
      </c>
      <c r="F4" s="5" t="s">
        <v>307</v>
      </c>
      <c r="G4" s="2" t="s">
        <v>308</v>
      </c>
    </row>
    <row r="5" spans="1:7" ht="42" customHeight="1">
      <c r="A5" s="2" t="s">
        <v>309</v>
      </c>
      <c r="B5" s="2" t="s">
        <v>71</v>
      </c>
      <c r="C5" s="2" t="s">
        <v>56</v>
      </c>
      <c r="D5" s="2" t="s">
        <v>310</v>
      </c>
      <c r="E5" s="2" t="s">
        <v>167</v>
      </c>
      <c r="F5" s="5" t="s">
        <v>311</v>
      </c>
      <c r="G5" s="2" t="s">
        <v>308</v>
      </c>
    </row>
    <row r="6" spans="1:7" ht="42" customHeight="1">
      <c r="A6" s="2" t="s">
        <v>312</v>
      </c>
      <c r="B6" s="2" t="s">
        <v>78</v>
      </c>
      <c r="C6" s="2" t="s">
        <v>58</v>
      </c>
      <c r="D6" s="2" t="s">
        <v>310</v>
      </c>
      <c r="E6" s="2" t="s">
        <v>313</v>
      </c>
      <c r="F6" s="5" t="s">
        <v>314</v>
      </c>
      <c r="G6" s="2" t="s">
        <v>315</v>
      </c>
    </row>
    <row r="7" spans="1:7" ht="42" customHeight="1">
      <c r="A7" s="2" t="s">
        <v>316</v>
      </c>
      <c r="B7" s="2" t="s">
        <v>64</v>
      </c>
      <c r="C7" s="2" t="s">
        <v>60</v>
      </c>
      <c r="D7" s="2" t="s">
        <v>302</v>
      </c>
      <c r="E7" s="2" t="s">
        <v>317</v>
      </c>
      <c r="F7" s="5" t="s">
        <v>318</v>
      </c>
      <c r="G7" s="2" t="s">
        <v>305</v>
      </c>
    </row>
    <row r="8" spans="1:7" ht="42" customHeight="1">
      <c r="A8" s="2" t="s">
        <v>319</v>
      </c>
      <c r="B8" s="2" t="s">
        <v>71</v>
      </c>
      <c r="C8" s="2" t="s">
        <v>56</v>
      </c>
      <c r="D8" s="2" t="s">
        <v>297</v>
      </c>
      <c r="E8" s="2" t="s">
        <v>320</v>
      </c>
      <c r="F8" s="5" t="s">
        <v>321</v>
      </c>
      <c r="G8" s="2" t="s">
        <v>308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
  <sheetViews>
    <sheetView showGridLines="0" workbookViewId="0">
      <pane ySplit="1" topLeftCell="A2" activePane="bottomLeft" state="frozen"/>
      <selection pane="bottomLeft"/>
    </sheetView>
  </sheetViews>
  <sheetFormatPr defaultRowHeight="14.25"/>
  <cols>
    <col min="1" max="1" width="12" customWidth="1"/>
    <col min="2" max="2" width="20" customWidth="1"/>
    <col min="3" max="3" width="18" customWidth="1"/>
    <col min="4" max="4" width="14" customWidth="1"/>
    <col min="5" max="5" width="18" customWidth="1"/>
    <col min="6" max="6" width="39" customWidth="1"/>
    <col min="7" max="7" width="100" customWidth="1"/>
  </cols>
  <sheetData>
    <row r="1" spans="1:7" ht="32.1" customHeight="1">
      <c r="A1" s="10" t="s">
        <v>322</v>
      </c>
      <c r="B1" s="10" t="s">
        <v>323</v>
      </c>
      <c r="C1" s="10" t="s">
        <v>132</v>
      </c>
      <c r="D1" s="10" t="s">
        <v>324</v>
      </c>
      <c r="E1" s="10" t="s">
        <v>325</v>
      </c>
      <c r="F1" s="10" t="s">
        <v>326</v>
      </c>
      <c r="G1" s="10" t="s">
        <v>327</v>
      </c>
    </row>
    <row r="2" spans="1:7" ht="110.1" customHeight="1">
      <c r="A2" s="9" t="s">
        <v>328</v>
      </c>
      <c r="B2" s="9" t="s">
        <v>329</v>
      </c>
      <c r="C2" s="9" t="s">
        <v>230</v>
      </c>
      <c r="D2" s="9" t="s">
        <v>330</v>
      </c>
      <c r="E2" s="9">
        <v>30000</v>
      </c>
      <c r="F2" s="9" t="s">
        <v>331</v>
      </c>
      <c r="G2" s="11" t="s">
        <v>332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5"/>
  <sheetViews>
    <sheetView showGridLines="0" workbookViewId="0">
      <pane ySplit="1" topLeftCell="A2" activePane="bottomLeft" state="frozen"/>
      <selection pane="bottomLeft"/>
    </sheetView>
  </sheetViews>
  <sheetFormatPr defaultRowHeight="14.25"/>
  <cols>
    <col min="1" max="3" width="18" customWidth="1"/>
    <col min="4" max="4" width="24" customWidth="1"/>
    <col min="5" max="5" width="22" customWidth="1"/>
    <col min="6" max="6" width="43" customWidth="1"/>
    <col min="7" max="7" width="18" customWidth="1"/>
    <col min="8" max="8" width="12" customWidth="1"/>
    <col min="9" max="9" width="20" customWidth="1"/>
  </cols>
  <sheetData>
    <row r="1" spans="1:9" ht="32.1" customHeight="1">
      <c r="A1" s="10" t="s">
        <v>132</v>
      </c>
      <c r="B1" s="10" t="s">
        <v>133</v>
      </c>
      <c r="C1" s="10" t="s">
        <v>47</v>
      </c>
      <c r="D1" s="10" t="s">
        <v>48</v>
      </c>
      <c r="E1" s="10" t="s">
        <v>134</v>
      </c>
      <c r="F1" s="10" t="s">
        <v>135</v>
      </c>
      <c r="G1" s="10" t="s">
        <v>136</v>
      </c>
      <c r="H1" s="10" t="s">
        <v>333</v>
      </c>
      <c r="I1" s="10" t="s">
        <v>334</v>
      </c>
    </row>
    <row r="2" spans="1:9" ht="24" customHeight="1">
      <c r="A2" s="9" t="s">
        <v>137</v>
      </c>
      <c r="B2" s="9" t="s">
        <v>335</v>
      </c>
      <c r="C2" s="9" t="s">
        <v>51</v>
      </c>
      <c r="D2" s="9" t="s">
        <v>52</v>
      </c>
      <c r="E2" s="9" t="s">
        <v>138</v>
      </c>
      <c r="F2" s="9" t="s">
        <v>139</v>
      </c>
      <c r="G2" s="12">
        <v>1455000</v>
      </c>
      <c r="H2" s="9">
        <v>2</v>
      </c>
      <c r="I2" s="9" t="s">
        <v>336</v>
      </c>
    </row>
    <row r="3" spans="1:9" ht="24" customHeight="1">
      <c r="A3" s="9" t="s">
        <v>140</v>
      </c>
      <c r="B3" s="9" t="s">
        <v>335</v>
      </c>
      <c r="C3" s="9" t="s">
        <v>51</v>
      </c>
      <c r="D3" s="9" t="s">
        <v>54</v>
      </c>
      <c r="E3" s="9" t="s">
        <v>141</v>
      </c>
      <c r="F3" s="9" t="s">
        <v>139</v>
      </c>
      <c r="G3" s="12">
        <v>208000</v>
      </c>
      <c r="H3" s="9">
        <v>3</v>
      </c>
      <c r="I3" s="9" t="s">
        <v>336</v>
      </c>
    </row>
    <row r="4" spans="1:9" ht="24" customHeight="1">
      <c r="A4" s="9" t="s">
        <v>142</v>
      </c>
      <c r="B4" s="9" t="s">
        <v>335</v>
      </c>
      <c r="C4" s="9" t="s">
        <v>51</v>
      </c>
      <c r="D4" s="9" t="s">
        <v>56</v>
      </c>
      <c r="E4" s="9" t="s">
        <v>143</v>
      </c>
      <c r="F4" s="9" t="s">
        <v>139</v>
      </c>
      <c r="G4" s="12">
        <v>82000</v>
      </c>
      <c r="H4" s="9">
        <v>4</v>
      </c>
      <c r="I4" s="9" t="s">
        <v>336</v>
      </c>
    </row>
    <row r="5" spans="1:9" ht="24" customHeight="1">
      <c r="A5" s="9" t="s">
        <v>144</v>
      </c>
      <c r="B5" s="9" t="s">
        <v>335</v>
      </c>
      <c r="C5" s="9" t="s">
        <v>51</v>
      </c>
      <c r="D5" s="9" t="s">
        <v>58</v>
      </c>
      <c r="E5" s="9" t="s">
        <v>145</v>
      </c>
      <c r="F5" s="9" t="s">
        <v>139</v>
      </c>
      <c r="G5" s="12">
        <v>97000</v>
      </c>
      <c r="H5" s="9">
        <v>5</v>
      </c>
      <c r="I5" s="9" t="s">
        <v>336</v>
      </c>
    </row>
    <row r="6" spans="1:9" ht="24" customHeight="1">
      <c r="A6" s="9" t="s">
        <v>146</v>
      </c>
      <c r="B6" s="9" t="s">
        <v>335</v>
      </c>
      <c r="C6" s="9" t="s">
        <v>51</v>
      </c>
      <c r="D6" s="9" t="s">
        <v>60</v>
      </c>
      <c r="E6" s="9" t="s">
        <v>147</v>
      </c>
      <c r="F6" s="9" t="s">
        <v>139</v>
      </c>
      <c r="G6" s="12">
        <v>52000</v>
      </c>
      <c r="H6" s="9">
        <v>6</v>
      </c>
      <c r="I6" s="9" t="s">
        <v>336</v>
      </c>
    </row>
    <row r="7" spans="1:9" ht="24" customHeight="1">
      <c r="A7" s="9" t="s">
        <v>148</v>
      </c>
      <c r="B7" s="9" t="s">
        <v>335</v>
      </c>
      <c r="C7" s="9" t="s">
        <v>51</v>
      </c>
      <c r="D7" s="9" t="s">
        <v>62</v>
      </c>
      <c r="E7" s="9" t="s">
        <v>149</v>
      </c>
      <c r="F7" s="9" t="s">
        <v>139</v>
      </c>
      <c r="G7" s="12">
        <v>184000</v>
      </c>
      <c r="H7" s="9">
        <v>7</v>
      </c>
      <c r="I7" s="9" t="s">
        <v>336</v>
      </c>
    </row>
    <row r="8" spans="1:9" ht="24" customHeight="1">
      <c r="A8" s="9" t="s">
        <v>150</v>
      </c>
      <c r="B8" s="9" t="s">
        <v>335</v>
      </c>
      <c r="C8" s="9" t="s">
        <v>64</v>
      </c>
      <c r="D8" s="9" t="s">
        <v>52</v>
      </c>
      <c r="E8" s="9" t="s">
        <v>151</v>
      </c>
      <c r="F8" s="9" t="s">
        <v>139</v>
      </c>
      <c r="G8" s="12">
        <v>936000</v>
      </c>
      <c r="H8" s="9">
        <v>8</v>
      </c>
      <c r="I8" s="9" t="s">
        <v>336</v>
      </c>
    </row>
    <row r="9" spans="1:9" ht="24" customHeight="1">
      <c r="A9" s="9" t="s">
        <v>152</v>
      </c>
      <c r="B9" s="9" t="s">
        <v>335</v>
      </c>
      <c r="C9" s="9" t="s">
        <v>64</v>
      </c>
      <c r="D9" s="9" t="s">
        <v>54</v>
      </c>
      <c r="E9" s="9" t="s">
        <v>153</v>
      </c>
      <c r="F9" s="9" t="s">
        <v>139</v>
      </c>
      <c r="G9" s="12">
        <v>102000</v>
      </c>
      <c r="H9" s="9">
        <v>9</v>
      </c>
      <c r="I9" s="9" t="s">
        <v>336</v>
      </c>
    </row>
    <row r="10" spans="1:9" ht="24" customHeight="1">
      <c r="A10" s="9" t="s">
        <v>154</v>
      </c>
      <c r="B10" s="9" t="s">
        <v>335</v>
      </c>
      <c r="C10" s="9" t="s">
        <v>64</v>
      </c>
      <c r="D10" s="9" t="s">
        <v>56</v>
      </c>
      <c r="E10" s="9" t="s">
        <v>155</v>
      </c>
      <c r="F10" s="9" t="s">
        <v>139</v>
      </c>
      <c r="G10" s="12">
        <v>116000</v>
      </c>
      <c r="H10" s="9">
        <v>10</v>
      </c>
      <c r="I10" s="9" t="s">
        <v>336</v>
      </c>
    </row>
    <row r="11" spans="1:9" ht="24" customHeight="1">
      <c r="A11" s="9" t="s">
        <v>156</v>
      </c>
      <c r="B11" s="9" t="s">
        <v>335</v>
      </c>
      <c r="C11" s="9" t="s">
        <v>64</v>
      </c>
      <c r="D11" s="9" t="s">
        <v>58</v>
      </c>
      <c r="E11" s="9" t="s">
        <v>157</v>
      </c>
      <c r="F11" s="9" t="s">
        <v>139</v>
      </c>
      <c r="G11" s="12">
        <v>187000</v>
      </c>
      <c r="H11" s="9">
        <v>11</v>
      </c>
      <c r="I11" s="9" t="s">
        <v>336</v>
      </c>
    </row>
    <row r="12" spans="1:9" ht="24" customHeight="1">
      <c r="A12" s="9" t="s">
        <v>158</v>
      </c>
      <c r="B12" s="9" t="s">
        <v>335</v>
      </c>
      <c r="C12" s="9" t="s">
        <v>64</v>
      </c>
      <c r="D12" s="9" t="s">
        <v>60</v>
      </c>
      <c r="E12" s="9" t="s">
        <v>159</v>
      </c>
      <c r="F12" s="9" t="s">
        <v>139</v>
      </c>
      <c r="G12" s="12">
        <v>41000</v>
      </c>
      <c r="H12" s="9">
        <v>12</v>
      </c>
      <c r="I12" s="9" t="s">
        <v>336</v>
      </c>
    </row>
    <row r="13" spans="1:9" ht="24" customHeight="1">
      <c r="A13" s="9" t="s">
        <v>160</v>
      </c>
      <c r="B13" s="9" t="s">
        <v>335</v>
      </c>
      <c r="C13" s="9" t="s">
        <v>64</v>
      </c>
      <c r="D13" s="9" t="s">
        <v>62</v>
      </c>
      <c r="E13" s="9" t="s">
        <v>161</v>
      </c>
      <c r="F13" s="9" t="s">
        <v>139</v>
      </c>
      <c r="G13" s="12">
        <v>116000</v>
      </c>
      <c r="H13" s="9">
        <v>13</v>
      </c>
      <c r="I13" s="9" t="s">
        <v>336</v>
      </c>
    </row>
    <row r="14" spans="1:9" ht="24" customHeight="1">
      <c r="A14" s="9" t="s">
        <v>162</v>
      </c>
      <c r="B14" s="9" t="s">
        <v>335</v>
      </c>
      <c r="C14" s="9" t="s">
        <v>71</v>
      </c>
      <c r="D14" s="9" t="s">
        <v>52</v>
      </c>
      <c r="E14" s="9" t="s">
        <v>163</v>
      </c>
      <c r="F14" s="9" t="s">
        <v>139</v>
      </c>
      <c r="G14" s="12">
        <v>2244000</v>
      </c>
      <c r="H14" s="9">
        <v>14</v>
      </c>
      <c r="I14" s="9" t="s">
        <v>336</v>
      </c>
    </row>
    <row r="15" spans="1:9" ht="24" customHeight="1">
      <c r="A15" s="9" t="s">
        <v>164</v>
      </c>
      <c r="B15" s="9" t="s">
        <v>335</v>
      </c>
      <c r="C15" s="9" t="s">
        <v>71</v>
      </c>
      <c r="D15" s="9" t="s">
        <v>54</v>
      </c>
      <c r="E15" s="9" t="s">
        <v>165</v>
      </c>
      <c r="F15" s="9" t="s">
        <v>139</v>
      </c>
      <c r="G15" s="12">
        <v>78000</v>
      </c>
      <c r="H15" s="9">
        <v>15</v>
      </c>
      <c r="I15" s="9" t="s">
        <v>336</v>
      </c>
    </row>
    <row r="16" spans="1:9" ht="24" customHeight="1">
      <c r="A16" s="9" t="s">
        <v>166</v>
      </c>
      <c r="B16" s="9" t="s">
        <v>335</v>
      </c>
      <c r="C16" s="9" t="s">
        <v>71</v>
      </c>
      <c r="D16" s="9" t="s">
        <v>56</v>
      </c>
      <c r="E16" s="9" t="s">
        <v>167</v>
      </c>
      <c r="F16" s="9" t="s">
        <v>139</v>
      </c>
      <c r="G16" s="12">
        <v>250000</v>
      </c>
      <c r="H16" s="9">
        <v>16</v>
      </c>
      <c r="I16" s="9" t="s">
        <v>336</v>
      </c>
    </row>
    <row r="17" spans="1:9" ht="24" customHeight="1">
      <c r="A17" s="9" t="s">
        <v>168</v>
      </c>
      <c r="B17" s="9" t="s">
        <v>335</v>
      </c>
      <c r="C17" s="9" t="s">
        <v>71</v>
      </c>
      <c r="D17" s="9" t="s">
        <v>58</v>
      </c>
      <c r="E17" s="9" t="s">
        <v>169</v>
      </c>
      <c r="F17" s="9" t="s">
        <v>139</v>
      </c>
      <c r="G17" s="12">
        <v>204000</v>
      </c>
      <c r="H17" s="9">
        <v>17</v>
      </c>
      <c r="I17" s="9" t="s">
        <v>336</v>
      </c>
    </row>
    <row r="18" spans="1:9" ht="24" customHeight="1">
      <c r="A18" s="9" t="s">
        <v>170</v>
      </c>
      <c r="B18" s="9" t="s">
        <v>335</v>
      </c>
      <c r="C18" s="9" t="s">
        <v>71</v>
      </c>
      <c r="D18" s="9" t="s">
        <v>60</v>
      </c>
      <c r="E18" s="9" t="s">
        <v>171</v>
      </c>
      <c r="F18" s="9" t="s">
        <v>139</v>
      </c>
      <c r="G18" s="12">
        <v>68000</v>
      </c>
      <c r="H18" s="9">
        <v>18</v>
      </c>
      <c r="I18" s="9" t="s">
        <v>336</v>
      </c>
    </row>
    <row r="19" spans="1:9" ht="24" customHeight="1">
      <c r="A19" s="9" t="s">
        <v>172</v>
      </c>
      <c r="B19" s="9" t="s">
        <v>335</v>
      </c>
      <c r="C19" s="9" t="s">
        <v>71</v>
      </c>
      <c r="D19" s="9" t="s">
        <v>62</v>
      </c>
      <c r="E19" s="9" t="s">
        <v>173</v>
      </c>
      <c r="F19" s="9" t="s">
        <v>139</v>
      </c>
      <c r="G19" s="12">
        <v>208000</v>
      </c>
      <c r="H19" s="9">
        <v>19</v>
      </c>
      <c r="I19" s="9" t="s">
        <v>336</v>
      </c>
    </row>
    <row r="20" spans="1:9" ht="24" customHeight="1">
      <c r="A20" s="9" t="s">
        <v>174</v>
      </c>
      <c r="B20" s="9" t="s">
        <v>335</v>
      </c>
      <c r="C20" s="9" t="s">
        <v>78</v>
      </c>
      <c r="D20" s="9" t="s">
        <v>52</v>
      </c>
      <c r="E20" s="9" t="s">
        <v>175</v>
      </c>
      <c r="F20" s="9" t="s">
        <v>139</v>
      </c>
      <c r="G20" s="12">
        <v>1067000</v>
      </c>
      <c r="H20" s="9">
        <v>20</v>
      </c>
      <c r="I20" s="9" t="s">
        <v>336</v>
      </c>
    </row>
    <row r="21" spans="1:9" ht="24" customHeight="1">
      <c r="A21" s="9" t="s">
        <v>176</v>
      </c>
      <c r="B21" s="9" t="s">
        <v>335</v>
      </c>
      <c r="C21" s="9" t="s">
        <v>78</v>
      </c>
      <c r="D21" s="9" t="s">
        <v>54</v>
      </c>
      <c r="E21" s="9" t="s">
        <v>177</v>
      </c>
      <c r="F21" s="9" t="s">
        <v>139</v>
      </c>
      <c r="G21" s="12">
        <v>52000</v>
      </c>
      <c r="H21" s="9">
        <v>21</v>
      </c>
      <c r="I21" s="9" t="s">
        <v>336</v>
      </c>
    </row>
    <row r="22" spans="1:9" ht="24" customHeight="1">
      <c r="A22" s="9" t="s">
        <v>178</v>
      </c>
      <c r="B22" s="9" t="s">
        <v>335</v>
      </c>
      <c r="C22" s="9" t="s">
        <v>78</v>
      </c>
      <c r="D22" s="9" t="s">
        <v>56</v>
      </c>
      <c r="E22" s="9" t="s">
        <v>179</v>
      </c>
      <c r="F22" s="9" t="s">
        <v>139</v>
      </c>
      <c r="G22" s="12">
        <v>102000</v>
      </c>
      <c r="H22" s="9">
        <v>22</v>
      </c>
      <c r="I22" s="9" t="s">
        <v>336</v>
      </c>
    </row>
    <row r="23" spans="1:9" ht="24" customHeight="1">
      <c r="A23" s="9" t="s">
        <v>180</v>
      </c>
      <c r="B23" s="9" t="s">
        <v>335</v>
      </c>
      <c r="C23" s="9" t="s">
        <v>78</v>
      </c>
      <c r="D23" s="9" t="s">
        <v>58</v>
      </c>
      <c r="E23" s="9" t="s">
        <v>181</v>
      </c>
      <c r="F23" s="9" t="s">
        <v>139</v>
      </c>
      <c r="G23" s="12">
        <v>50000</v>
      </c>
      <c r="H23" s="9">
        <v>23</v>
      </c>
      <c r="I23" s="9" t="s">
        <v>336</v>
      </c>
    </row>
    <row r="24" spans="1:9" ht="24" customHeight="1">
      <c r="A24" s="9" t="s">
        <v>182</v>
      </c>
      <c r="B24" s="9" t="s">
        <v>335</v>
      </c>
      <c r="C24" s="9" t="s">
        <v>78</v>
      </c>
      <c r="D24" s="9" t="s">
        <v>60</v>
      </c>
      <c r="E24" s="9" t="s">
        <v>183</v>
      </c>
      <c r="F24" s="9" t="s">
        <v>139</v>
      </c>
      <c r="G24" s="12">
        <v>31000</v>
      </c>
      <c r="H24" s="9">
        <v>24</v>
      </c>
      <c r="I24" s="9" t="s">
        <v>336</v>
      </c>
    </row>
    <row r="25" spans="1:9" ht="24" customHeight="1">
      <c r="A25" s="9" t="s">
        <v>184</v>
      </c>
      <c r="B25" s="9" t="s">
        <v>335</v>
      </c>
      <c r="C25" s="9" t="s">
        <v>78</v>
      </c>
      <c r="D25" s="9" t="s">
        <v>62</v>
      </c>
      <c r="E25" s="9" t="s">
        <v>185</v>
      </c>
      <c r="F25" s="9" t="s">
        <v>139</v>
      </c>
      <c r="G25" s="12">
        <v>102000</v>
      </c>
      <c r="H25" s="9">
        <v>25</v>
      </c>
      <c r="I25" s="9" t="s">
        <v>336</v>
      </c>
    </row>
    <row r="26" spans="1:9" ht="24" customHeight="1">
      <c r="A26" s="9" t="s">
        <v>186</v>
      </c>
      <c r="B26" s="9" t="s">
        <v>337</v>
      </c>
      <c r="C26" s="9" t="s">
        <v>51</v>
      </c>
      <c r="D26" s="9" t="s">
        <v>52</v>
      </c>
      <c r="E26" s="9" t="s">
        <v>187</v>
      </c>
      <c r="F26" s="9" t="s">
        <v>139</v>
      </c>
      <c r="G26" s="12">
        <v>1560000</v>
      </c>
      <c r="H26" s="9">
        <v>26</v>
      </c>
      <c r="I26" s="9" t="s">
        <v>336</v>
      </c>
    </row>
    <row r="27" spans="1:9" ht="24" customHeight="1">
      <c r="A27" s="9" t="s">
        <v>188</v>
      </c>
      <c r="B27" s="9" t="s">
        <v>337</v>
      </c>
      <c r="C27" s="9" t="s">
        <v>51</v>
      </c>
      <c r="D27" s="9" t="s">
        <v>54</v>
      </c>
      <c r="E27" s="9" t="s">
        <v>189</v>
      </c>
      <c r="F27" s="9" t="s">
        <v>139</v>
      </c>
      <c r="G27" s="12">
        <v>340000</v>
      </c>
      <c r="H27" s="9">
        <v>27</v>
      </c>
      <c r="I27" s="9" t="s">
        <v>336</v>
      </c>
    </row>
    <row r="28" spans="1:9" ht="24" customHeight="1">
      <c r="A28" s="9" t="s">
        <v>190</v>
      </c>
      <c r="B28" s="9" t="s">
        <v>337</v>
      </c>
      <c r="C28" s="9" t="s">
        <v>51</v>
      </c>
      <c r="D28" s="9" t="s">
        <v>56</v>
      </c>
      <c r="E28" s="9" t="s">
        <v>191</v>
      </c>
      <c r="F28" s="9" t="s">
        <v>139</v>
      </c>
      <c r="G28" s="12">
        <v>78000</v>
      </c>
      <c r="H28" s="9">
        <v>28</v>
      </c>
      <c r="I28" s="9" t="s">
        <v>336</v>
      </c>
    </row>
    <row r="29" spans="1:9" ht="24" customHeight="1">
      <c r="A29" s="9" t="s">
        <v>192</v>
      </c>
      <c r="B29" s="9" t="s">
        <v>337</v>
      </c>
      <c r="C29" s="9" t="s">
        <v>51</v>
      </c>
      <c r="D29" s="9" t="s">
        <v>58</v>
      </c>
      <c r="E29" s="9" t="s">
        <v>193</v>
      </c>
      <c r="F29" s="9" t="s">
        <v>139</v>
      </c>
      <c r="G29" s="12">
        <v>104000</v>
      </c>
      <c r="H29" s="9">
        <v>29</v>
      </c>
      <c r="I29" s="9" t="s">
        <v>336</v>
      </c>
    </row>
    <row r="30" spans="1:9" ht="24" customHeight="1">
      <c r="A30" s="9" t="s">
        <v>194</v>
      </c>
      <c r="B30" s="9" t="s">
        <v>337</v>
      </c>
      <c r="C30" s="9" t="s">
        <v>51</v>
      </c>
      <c r="D30" s="9" t="s">
        <v>60</v>
      </c>
      <c r="E30" s="9" t="s">
        <v>195</v>
      </c>
      <c r="F30" s="9" t="s">
        <v>139</v>
      </c>
      <c r="G30" s="12">
        <v>51000</v>
      </c>
      <c r="H30" s="9">
        <v>30</v>
      </c>
      <c r="I30" s="9" t="s">
        <v>336</v>
      </c>
    </row>
    <row r="31" spans="1:9" ht="24" customHeight="1">
      <c r="A31" s="9" t="s">
        <v>196</v>
      </c>
      <c r="B31" s="9" t="s">
        <v>337</v>
      </c>
      <c r="C31" s="9" t="s">
        <v>51</v>
      </c>
      <c r="D31" s="9" t="s">
        <v>62</v>
      </c>
      <c r="E31" s="9" t="s">
        <v>197</v>
      </c>
      <c r="F31" s="9" t="s">
        <v>139</v>
      </c>
      <c r="G31" s="12">
        <v>175000</v>
      </c>
      <c r="H31" s="9">
        <v>31</v>
      </c>
      <c r="I31" s="9" t="s">
        <v>336</v>
      </c>
    </row>
    <row r="32" spans="1:9" ht="24" customHeight="1">
      <c r="A32" s="9" t="s">
        <v>198</v>
      </c>
      <c r="B32" s="9" t="s">
        <v>337</v>
      </c>
      <c r="C32" s="9" t="s">
        <v>64</v>
      </c>
      <c r="D32" s="9" t="s">
        <v>52</v>
      </c>
      <c r="E32" s="9" t="s">
        <v>199</v>
      </c>
      <c r="F32" s="9" t="s">
        <v>139</v>
      </c>
      <c r="G32" s="12">
        <v>918000</v>
      </c>
      <c r="H32" s="9">
        <v>32</v>
      </c>
      <c r="I32" s="9" t="s">
        <v>336</v>
      </c>
    </row>
    <row r="33" spans="1:9" ht="24" customHeight="1">
      <c r="A33" s="9" t="s">
        <v>200</v>
      </c>
      <c r="B33" s="9" t="s">
        <v>337</v>
      </c>
      <c r="C33" s="9" t="s">
        <v>64</v>
      </c>
      <c r="D33" s="9" t="s">
        <v>54</v>
      </c>
      <c r="E33" s="9" t="s">
        <v>201</v>
      </c>
      <c r="F33" s="9" t="s">
        <v>139</v>
      </c>
      <c r="G33" s="12">
        <v>97000</v>
      </c>
      <c r="H33" s="9">
        <v>33</v>
      </c>
      <c r="I33" s="9" t="s">
        <v>336</v>
      </c>
    </row>
    <row r="34" spans="1:9" ht="24" customHeight="1">
      <c r="A34" s="9" t="s">
        <v>202</v>
      </c>
      <c r="B34" s="9" t="s">
        <v>337</v>
      </c>
      <c r="C34" s="9" t="s">
        <v>64</v>
      </c>
      <c r="D34" s="9" t="s">
        <v>56</v>
      </c>
      <c r="E34" s="9" t="s">
        <v>203</v>
      </c>
      <c r="F34" s="9" t="s">
        <v>139</v>
      </c>
      <c r="G34" s="12">
        <v>125000</v>
      </c>
      <c r="H34" s="9">
        <v>34</v>
      </c>
      <c r="I34" s="9" t="s">
        <v>336</v>
      </c>
    </row>
    <row r="35" spans="1:9" ht="24" customHeight="1">
      <c r="A35" s="9" t="s">
        <v>204</v>
      </c>
      <c r="B35" s="9" t="s">
        <v>337</v>
      </c>
      <c r="C35" s="9" t="s">
        <v>64</v>
      </c>
      <c r="D35" s="9" t="s">
        <v>58</v>
      </c>
      <c r="E35" s="9" t="s">
        <v>205</v>
      </c>
      <c r="F35" s="9" t="s">
        <v>139</v>
      </c>
      <c r="G35" s="12">
        <v>184000</v>
      </c>
      <c r="H35" s="9">
        <v>35</v>
      </c>
      <c r="I35" s="9" t="s">
        <v>336</v>
      </c>
    </row>
    <row r="36" spans="1:9" ht="24" customHeight="1">
      <c r="A36" s="9" t="s">
        <v>206</v>
      </c>
      <c r="B36" s="9" t="s">
        <v>337</v>
      </c>
      <c r="C36" s="9" t="s">
        <v>64</v>
      </c>
      <c r="D36" s="9" t="s">
        <v>60</v>
      </c>
      <c r="E36" s="9" t="s">
        <v>207</v>
      </c>
      <c r="F36" s="9" t="s">
        <v>139</v>
      </c>
      <c r="G36" s="12">
        <v>39000</v>
      </c>
      <c r="H36" s="9">
        <v>36</v>
      </c>
      <c r="I36" s="9" t="s">
        <v>336</v>
      </c>
    </row>
    <row r="37" spans="1:9" ht="24" customHeight="1">
      <c r="A37" s="9" t="s">
        <v>208</v>
      </c>
      <c r="B37" s="9" t="s">
        <v>337</v>
      </c>
      <c r="C37" s="9" t="s">
        <v>64</v>
      </c>
      <c r="D37" s="9" t="s">
        <v>62</v>
      </c>
      <c r="E37" s="9" t="s">
        <v>209</v>
      </c>
      <c r="F37" s="9" t="s">
        <v>139</v>
      </c>
      <c r="G37" s="12">
        <v>125000</v>
      </c>
      <c r="H37" s="9">
        <v>37</v>
      </c>
      <c r="I37" s="9" t="s">
        <v>336</v>
      </c>
    </row>
    <row r="38" spans="1:9" ht="24" customHeight="1">
      <c r="A38" s="9" t="s">
        <v>210</v>
      </c>
      <c r="B38" s="9" t="s">
        <v>337</v>
      </c>
      <c r="C38" s="9" t="s">
        <v>71</v>
      </c>
      <c r="D38" s="9" t="s">
        <v>52</v>
      </c>
      <c r="E38" s="9" t="s">
        <v>211</v>
      </c>
      <c r="F38" s="9" t="s">
        <v>139</v>
      </c>
      <c r="G38" s="12">
        <v>2134000</v>
      </c>
      <c r="H38" s="9">
        <v>38</v>
      </c>
      <c r="I38" s="9" t="s">
        <v>336</v>
      </c>
    </row>
    <row r="39" spans="1:9" ht="24" customHeight="1">
      <c r="A39" s="9" t="s">
        <v>212</v>
      </c>
      <c r="B39" s="9" t="s">
        <v>337</v>
      </c>
      <c r="C39" s="9" t="s">
        <v>71</v>
      </c>
      <c r="D39" s="9" t="s">
        <v>54</v>
      </c>
      <c r="E39" s="9" t="s">
        <v>213</v>
      </c>
      <c r="F39" s="9" t="s">
        <v>139</v>
      </c>
      <c r="G39" s="12">
        <v>83000</v>
      </c>
      <c r="H39" s="9">
        <v>39</v>
      </c>
      <c r="I39" s="9" t="s">
        <v>336</v>
      </c>
    </row>
    <row r="40" spans="1:9" ht="24" customHeight="1">
      <c r="A40" s="9" t="s">
        <v>214</v>
      </c>
      <c r="B40" s="9" t="s">
        <v>337</v>
      </c>
      <c r="C40" s="9" t="s">
        <v>71</v>
      </c>
      <c r="D40" s="9" t="s">
        <v>56</v>
      </c>
      <c r="E40" s="9" t="s">
        <v>215</v>
      </c>
      <c r="F40" s="9" t="s">
        <v>139</v>
      </c>
      <c r="G40" s="12">
        <v>400000</v>
      </c>
      <c r="H40" s="9">
        <v>40</v>
      </c>
      <c r="I40" s="9" t="s">
        <v>336</v>
      </c>
    </row>
    <row r="41" spans="1:9" ht="24" customHeight="1">
      <c r="A41" s="9" t="s">
        <v>216</v>
      </c>
      <c r="B41" s="9" t="s">
        <v>337</v>
      </c>
      <c r="C41" s="9" t="s">
        <v>71</v>
      </c>
      <c r="D41" s="9" t="s">
        <v>58</v>
      </c>
      <c r="E41" s="9" t="s">
        <v>217</v>
      </c>
      <c r="F41" s="9" t="s">
        <v>139</v>
      </c>
      <c r="G41" s="12">
        <v>194000</v>
      </c>
      <c r="H41" s="9">
        <v>41</v>
      </c>
      <c r="I41" s="9" t="s">
        <v>336</v>
      </c>
    </row>
    <row r="42" spans="1:9" ht="24" customHeight="1">
      <c r="A42" s="9" t="s">
        <v>218</v>
      </c>
      <c r="B42" s="9" t="s">
        <v>337</v>
      </c>
      <c r="C42" s="9" t="s">
        <v>71</v>
      </c>
      <c r="D42" s="9" t="s">
        <v>60</v>
      </c>
      <c r="E42" s="9" t="s">
        <v>219</v>
      </c>
      <c r="F42" s="9" t="s">
        <v>139</v>
      </c>
      <c r="G42" s="12">
        <v>73000</v>
      </c>
      <c r="H42" s="9">
        <v>42</v>
      </c>
      <c r="I42" s="9" t="s">
        <v>336</v>
      </c>
    </row>
    <row r="43" spans="1:9" ht="24" customHeight="1">
      <c r="A43" s="9" t="s">
        <v>220</v>
      </c>
      <c r="B43" s="9" t="s">
        <v>337</v>
      </c>
      <c r="C43" s="9" t="s">
        <v>71</v>
      </c>
      <c r="D43" s="9" t="s">
        <v>62</v>
      </c>
      <c r="E43" s="9" t="s">
        <v>221</v>
      </c>
      <c r="F43" s="9" t="s">
        <v>139</v>
      </c>
      <c r="G43" s="12">
        <v>204000</v>
      </c>
      <c r="H43" s="9">
        <v>43</v>
      </c>
      <c r="I43" s="9" t="s">
        <v>336</v>
      </c>
    </row>
    <row r="44" spans="1:9" ht="24" customHeight="1">
      <c r="A44" s="9" t="s">
        <v>222</v>
      </c>
      <c r="B44" s="9" t="s">
        <v>337</v>
      </c>
      <c r="C44" s="9" t="s">
        <v>78</v>
      </c>
      <c r="D44" s="9" t="s">
        <v>52</v>
      </c>
      <c r="E44" s="9" t="s">
        <v>223</v>
      </c>
      <c r="F44" s="9" t="s">
        <v>139</v>
      </c>
      <c r="G44" s="12">
        <v>1144000</v>
      </c>
      <c r="H44" s="9">
        <v>44</v>
      </c>
      <c r="I44" s="9" t="s">
        <v>336</v>
      </c>
    </row>
    <row r="45" spans="1:9" ht="24" customHeight="1">
      <c r="A45" s="9" t="s">
        <v>224</v>
      </c>
      <c r="B45" s="9" t="s">
        <v>337</v>
      </c>
      <c r="C45" s="9" t="s">
        <v>78</v>
      </c>
      <c r="D45" s="9" t="s">
        <v>54</v>
      </c>
      <c r="E45" s="9" t="s">
        <v>225</v>
      </c>
      <c r="F45" s="9" t="s">
        <v>139</v>
      </c>
      <c r="G45" s="12">
        <v>51000</v>
      </c>
      <c r="H45" s="9">
        <v>45</v>
      </c>
      <c r="I45" s="9" t="s">
        <v>336</v>
      </c>
    </row>
    <row r="46" spans="1:9" ht="24" customHeight="1">
      <c r="A46" s="9" t="s">
        <v>226</v>
      </c>
      <c r="B46" s="9" t="s">
        <v>337</v>
      </c>
      <c r="C46" s="9" t="s">
        <v>78</v>
      </c>
      <c r="D46" s="9" t="s">
        <v>56</v>
      </c>
      <c r="E46" s="9" t="s">
        <v>227</v>
      </c>
      <c r="F46" s="9" t="s">
        <v>139</v>
      </c>
      <c r="G46" s="12">
        <v>97000</v>
      </c>
      <c r="H46" s="9">
        <v>46</v>
      </c>
      <c r="I46" s="9" t="s">
        <v>336</v>
      </c>
    </row>
    <row r="47" spans="1:9" ht="24" customHeight="1">
      <c r="A47" s="9" t="s">
        <v>228</v>
      </c>
      <c r="B47" s="9" t="s">
        <v>337</v>
      </c>
      <c r="C47" s="9" t="s">
        <v>78</v>
      </c>
      <c r="D47" s="9" t="s">
        <v>58</v>
      </c>
      <c r="E47" s="9" t="s">
        <v>229</v>
      </c>
      <c r="F47" s="9" t="s">
        <v>139</v>
      </c>
      <c r="G47" s="12">
        <v>156000</v>
      </c>
      <c r="H47" s="9">
        <v>47</v>
      </c>
      <c r="I47" s="9" t="s">
        <v>336</v>
      </c>
    </row>
    <row r="48" spans="1:9" ht="24" customHeight="1">
      <c r="A48" s="9" t="s">
        <v>230</v>
      </c>
      <c r="B48" s="9" t="s">
        <v>337</v>
      </c>
      <c r="C48" s="9" t="s">
        <v>78</v>
      </c>
      <c r="D48" s="9" t="s">
        <v>60</v>
      </c>
      <c r="E48" s="9" t="s">
        <v>231</v>
      </c>
      <c r="F48" s="9" t="s">
        <v>139</v>
      </c>
      <c r="G48" s="12">
        <v>30000</v>
      </c>
      <c r="H48" s="9">
        <v>48</v>
      </c>
      <c r="I48" s="9" t="s">
        <v>328</v>
      </c>
    </row>
    <row r="49" spans="1:9" ht="24" customHeight="1">
      <c r="A49" s="9" t="s">
        <v>232</v>
      </c>
      <c r="B49" s="9" t="s">
        <v>337</v>
      </c>
      <c r="C49" s="9" t="s">
        <v>78</v>
      </c>
      <c r="D49" s="9" t="s">
        <v>62</v>
      </c>
      <c r="E49" s="9" t="s">
        <v>233</v>
      </c>
      <c r="F49" s="9" t="s">
        <v>139</v>
      </c>
      <c r="G49" s="12">
        <v>97000</v>
      </c>
      <c r="H49" s="9">
        <v>49</v>
      </c>
      <c r="I49" s="9" t="s">
        <v>336</v>
      </c>
    </row>
    <row r="50" spans="1:9" ht="24" customHeight="1">
      <c r="A50" s="9" t="s">
        <v>234</v>
      </c>
      <c r="B50" s="9" t="s">
        <v>338</v>
      </c>
      <c r="C50" s="9" t="s">
        <v>51</v>
      </c>
      <c r="D50" s="9" t="s">
        <v>52</v>
      </c>
      <c r="E50" s="9" t="s">
        <v>235</v>
      </c>
      <c r="F50" s="9" t="s">
        <v>139</v>
      </c>
      <c r="G50" s="12">
        <v>1530000</v>
      </c>
      <c r="H50" s="9">
        <v>50</v>
      </c>
      <c r="I50" s="9" t="s">
        <v>336</v>
      </c>
    </row>
    <row r="51" spans="1:9" ht="24" customHeight="1">
      <c r="A51" s="9" t="s">
        <v>236</v>
      </c>
      <c r="B51" s="9" t="s">
        <v>338</v>
      </c>
      <c r="C51" s="9" t="s">
        <v>51</v>
      </c>
      <c r="D51" s="9" t="s">
        <v>54</v>
      </c>
      <c r="E51" s="9" t="s">
        <v>237</v>
      </c>
      <c r="F51" s="9" t="s">
        <v>139</v>
      </c>
      <c r="G51" s="12">
        <v>194000</v>
      </c>
      <c r="H51" s="9">
        <v>51</v>
      </c>
      <c r="I51" s="9" t="s">
        <v>336</v>
      </c>
    </row>
    <row r="52" spans="1:9" ht="24" customHeight="1">
      <c r="A52" s="9" t="s">
        <v>238</v>
      </c>
      <c r="B52" s="9" t="s">
        <v>338</v>
      </c>
      <c r="C52" s="9" t="s">
        <v>51</v>
      </c>
      <c r="D52" s="9" t="s">
        <v>56</v>
      </c>
      <c r="E52" s="9" t="s">
        <v>239</v>
      </c>
      <c r="F52" s="9" t="s">
        <v>139</v>
      </c>
      <c r="G52" s="12">
        <v>83000</v>
      </c>
      <c r="H52" s="9">
        <v>52</v>
      </c>
      <c r="I52" s="9" t="s">
        <v>336</v>
      </c>
    </row>
    <row r="53" spans="1:9" ht="24" customHeight="1">
      <c r="A53" s="9" t="s">
        <v>240</v>
      </c>
      <c r="B53" s="9" t="s">
        <v>338</v>
      </c>
      <c r="C53" s="9" t="s">
        <v>51</v>
      </c>
      <c r="D53" s="9" t="s">
        <v>58</v>
      </c>
      <c r="E53" s="9" t="s">
        <v>241</v>
      </c>
      <c r="F53" s="9" t="s">
        <v>139</v>
      </c>
      <c r="G53" s="12">
        <v>102000</v>
      </c>
      <c r="H53" s="9">
        <v>53</v>
      </c>
      <c r="I53" s="9" t="s">
        <v>336</v>
      </c>
    </row>
    <row r="54" spans="1:9" ht="24" customHeight="1">
      <c r="A54" s="9" t="s">
        <v>242</v>
      </c>
      <c r="B54" s="9" t="s">
        <v>338</v>
      </c>
      <c r="C54" s="9" t="s">
        <v>51</v>
      </c>
      <c r="D54" s="9" t="s">
        <v>60</v>
      </c>
      <c r="E54" s="9" t="s">
        <v>243</v>
      </c>
      <c r="F54" s="9" t="s">
        <v>139</v>
      </c>
      <c r="G54" s="12">
        <v>49000</v>
      </c>
      <c r="H54" s="9">
        <v>54</v>
      </c>
      <c r="I54" s="9" t="s">
        <v>336</v>
      </c>
    </row>
    <row r="55" spans="1:9" ht="24" customHeight="1">
      <c r="A55" s="9" t="s">
        <v>244</v>
      </c>
      <c r="B55" s="9" t="s">
        <v>338</v>
      </c>
      <c r="C55" s="9" t="s">
        <v>51</v>
      </c>
      <c r="D55" s="9" t="s">
        <v>62</v>
      </c>
      <c r="E55" s="9" t="s">
        <v>245</v>
      </c>
      <c r="F55" s="9" t="s">
        <v>139</v>
      </c>
      <c r="G55" s="12">
        <v>187000</v>
      </c>
      <c r="H55" s="9">
        <v>55</v>
      </c>
      <c r="I55" s="9" t="s">
        <v>336</v>
      </c>
    </row>
    <row r="56" spans="1:9" ht="24" customHeight="1">
      <c r="A56" s="9" t="s">
        <v>246</v>
      </c>
      <c r="B56" s="9" t="s">
        <v>338</v>
      </c>
      <c r="C56" s="9" t="s">
        <v>64</v>
      </c>
      <c r="D56" s="9" t="s">
        <v>52</v>
      </c>
      <c r="E56" s="9" t="s">
        <v>247</v>
      </c>
      <c r="F56" s="9" t="s">
        <v>139</v>
      </c>
      <c r="G56" s="12">
        <v>873000</v>
      </c>
      <c r="H56" s="9">
        <v>56</v>
      </c>
      <c r="I56" s="9" t="s">
        <v>336</v>
      </c>
    </row>
    <row r="57" spans="1:9" ht="24" customHeight="1">
      <c r="A57" s="9" t="s">
        <v>248</v>
      </c>
      <c r="B57" s="9" t="s">
        <v>338</v>
      </c>
      <c r="C57" s="9" t="s">
        <v>64</v>
      </c>
      <c r="D57" s="9" t="s">
        <v>54</v>
      </c>
      <c r="E57" s="9" t="s">
        <v>249</v>
      </c>
      <c r="F57" s="9" t="s">
        <v>139</v>
      </c>
      <c r="G57" s="12">
        <v>104000</v>
      </c>
      <c r="H57" s="9">
        <v>57</v>
      </c>
      <c r="I57" s="9" t="s">
        <v>336</v>
      </c>
    </row>
    <row r="58" spans="1:9" ht="24" customHeight="1">
      <c r="A58" s="9" t="s">
        <v>250</v>
      </c>
      <c r="B58" s="9" t="s">
        <v>338</v>
      </c>
      <c r="C58" s="9" t="s">
        <v>64</v>
      </c>
      <c r="D58" s="9" t="s">
        <v>56</v>
      </c>
      <c r="E58" s="9" t="s">
        <v>251</v>
      </c>
      <c r="F58" s="9" t="s">
        <v>139</v>
      </c>
      <c r="G58" s="12">
        <v>122000</v>
      </c>
      <c r="H58" s="9">
        <v>58</v>
      </c>
      <c r="I58" s="9" t="s">
        <v>336</v>
      </c>
    </row>
    <row r="59" spans="1:9" ht="24" customHeight="1">
      <c r="A59" s="9" t="s">
        <v>252</v>
      </c>
      <c r="B59" s="9" t="s">
        <v>338</v>
      </c>
      <c r="C59" s="9" t="s">
        <v>64</v>
      </c>
      <c r="D59" s="9" t="s">
        <v>58</v>
      </c>
      <c r="E59" s="9" t="s">
        <v>253</v>
      </c>
      <c r="F59" s="9" t="s">
        <v>139</v>
      </c>
      <c r="G59" s="12">
        <v>600000</v>
      </c>
      <c r="H59" s="9">
        <v>59</v>
      </c>
      <c r="I59" s="9" t="s">
        <v>336</v>
      </c>
    </row>
    <row r="60" spans="1:9" ht="24" customHeight="1">
      <c r="A60" s="9" t="s">
        <v>254</v>
      </c>
      <c r="B60" s="9" t="s">
        <v>338</v>
      </c>
      <c r="C60" s="9" t="s">
        <v>64</v>
      </c>
      <c r="D60" s="9" t="s">
        <v>60</v>
      </c>
      <c r="E60" s="9" t="s">
        <v>255</v>
      </c>
      <c r="F60" s="9" t="s">
        <v>139</v>
      </c>
      <c r="G60" s="12">
        <v>120000</v>
      </c>
      <c r="H60" s="9">
        <v>60</v>
      </c>
      <c r="I60" s="9" t="s">
        <v>336</v>
      </c>
    </row>
    <row r="61" spans="1:9" ht="24" customHeight="1">
      <c r="A61" s="9" t="s">
        <v>256</v>
      </c>
      <c r="B61" s="9" t="s">
        <v>338</v>
      </c>
      <c r="C61" s="9" t="s">
        <v>64</v>
      </c>
      <c r="D61" s="9" t="s">
        <v>62</v>
      </c>
      <c r="E61" s="9" t="s">
        <v>257</v>
      </c>
      <c r="F61" s="9" t="s">
        <v>139</v>
      </c>
      <c r="G61" s="12">
        <v>122000</v>
      </c>
      <c r="H61" s="9">
        <v>61</v>
      </c>
      <c r="I61" s="9" t="s">
        <v>336</v>
      </c>
    </row>
    <row r="62" spans="1:9" ht="24" customHeight="1">
      <c r="A62" s="9" t="s">
        <v>258</v>
      </c>
      <c r="B62" s="9" t="s">
        <v>338</v>
      </c>
      <c r="C62" s="9" t="s">
        <v>71</v>
      </c>
      <c r="D62" s="9" t="s">
        <v>52</v>
      </c>
      <c r="E62" s="9" t="s">
        <v>259</v>
      </c>
      <c r="F62" s="9" t="s">
        <v>139</v>
      </c>
      <c r="G62" s="12">
        <v>2288000</v>
      </c>
      <c r="H62" s="9">
        <v>62</v>
      </c>
      <c r="I62" s="9" t="s">
        <v>336</v>
      </c>
    </row>
    <row r="63" spans="1:9" ht="24" customHeight="1">
      <c r="A63" s="9" t="s">
        <v>260</v>
      </c>
      <c r="B63" s="9" t="s">
        <v>338</v>
      </c>
      <c r="C63" s="9" t="s">
        <v>71</v>
      </c>
      <c r="D63" s="9" t="s">
        <v>54</v>
      </c>
      <c r="E63" s="9" t="s">
        <v>261</v>
      </c>
      <c r="F63" s="9" t="s">
        <v>139</v>
      </c>
      <c r="G63" s="12">
        <v>82000</v>
      </c>
      <c r="H63" s="9">
        <v>63</v>
      </c>
      <c r="I63" s="9" t="s">
        <v>336</v>
      </c>
    </row>
    <row r="64" spans="1:9" ht="24" customHeight="1">
      <c r="A64" s="9" t="s">
        <v>262</v>
      </c>
      <c r="B64" s="9" t="s">
        <v>338</v>
      </c>
      <c r="C64" s="9" t="s">
        <v>71</v>
      </c>
      <c r="D64" s="9" t="s">
        <v>56</v>
      </c>
      <c r="E64" s="9" t="s">
        <v>263</v>
      </c>
      <c r="F64" s="9" t="s">
        <v>139</v>
      </c>
      <c r="G64" s="12">
        <v>480000</v>
      </c>
      <c r="H64" s="9">
        <v>64</v>
      </c>
      <c r="I64" s="9" t="s">
        <v>336</v>
      </c>
    </row>
    <row r="65" spans="1:9" ht="24" customHeight="1">
      <c r="A65" s="9" t="s">
        <v>264</v>
      </c>
      <c r="B65" s="9" t="s">
        <v>338</v>
      </c>
      <c r="C65" s="9" t="s">
        <v>71</v>
      </c>
      <c r="D65" s="9" t="s">
        <v>58</v>
      </c>
      <c r="E65" s="9" t="s">
        <v>265</v>
      </c>
      <c r="F65" s="9" t="s">
        <v>139</v>
      </c>
      <c r="G65" s="12">
        <v>208000</v>
      </c>
      <c r="H65" s="9">
        <v>65</v>
      </c>
      <c r="I65" s="9" t="s">
        <v>336</v>
      </c>
    </row>
    <row r="66" spans="1:9" ht="24" customHeight="1">
      <c r="A66" s="9" t="s">
        <v>266</v>
      </c>
      <c r="B66" s="9" t="s">
        <v>338</v>
      </c>
      <c r="C66" s="9" t="s">
        <v>71</v>
      </c>
      <c r="D66" s="9" t="s">
        <v>60</v>
      </c>
      <c r="E66" s="9" t="s">
        <v>267</v>
      </c>
      <c r="F66" s="9" t="s">
        <v>139</v>
      </c>
      <c r="G66" s="12">
        <v>71000</v>
      </c>
      <c r="H66" s="9">
        <v>66</v>
      </c>
      <c r="I66" s="9" t="s">
        <v>336</v>
      </c>
    </row>
    <row r="67" spans="1:9" ht="24" customHeight="1">
      <c r="A67" s="9" t="s">
        <v>268</v>
      </c>
      <c r="B67" s="9" t="s">
        <v>338</v>
      </c>
      <c r="C67" s="9" t="s">
        <v>71</v>
      </c>
      <c r="D67" s="9" t="s">
        <v>62</v>
      </c>
      <c r="E67" s="9" t="s">
        <v>269</v>
      </c>
      <c r="F67" s="9" t="s">
        <v>139</v>
      </c>
      <c r="G67" s="12">
        <v>194000</v>
      </c>
      <c r="H67" s="9">
        <v>67</v>
      </c>
      <c r="I67" s="9" t="s">
        <v>336</v>
      </c>
    </row>
    <row r="68" spans="1:9" ht="24" customHeight="1">
      <c r="A68" s="9" t="s">
        <v>270</v>
      </c>
      <c r="B68" s="9" t="s">
        <v>338</v>
      </c>
      <c r="C68" s="9" t="s">
        <v>78</v>
      </c>
      <c r="D68" s="9" t="s">
        <v>52</v>
      </c>
      <c r="E68" s="9" t="s">
        <v>271</v>
      </c>
      <c r="F68" s="9" t="s">
        <v>139</v>
      </c>
      <c r="G68" s="12">
        <v>1122000</v>
      </c>
      <c r="H68" s="9">
        <v>68</v>
      </c>
      <c r="I68" s="9" t="s">
        <v>336</v>
      </c>
    </row>
    <row r="69" spans="1:9" ht="24" customHeight="1">
      <c r="A69" s="9" t="s">
        <v>272</v>
      </c>
      <c r="B69" s="9" t="s">
        <v>338</v>
      </c>
      <c r="C69" s="9" t="s">
        <v>78</v>
      </c>
      <c r="D69" s="9" t="s">
        <v>54</v>
      </c>
      <c r="E69" s="9" t="s">
        <v>273</v>
      </c>
      <c r="F69" s="9" t="s">
        <v>139</v>
      </c>
      <c r="G69" s="12">
        <v>49000</v>
      </c>
      <c r="H69" s="9">
        <v>69</v>
      </c>
      <c r="I69" s="9" t="s">
        <v>336</v>
      </c>
    </row>
    <row r="70" spans="1:9" ht="24" customHeight="1">
      <c r="A70" s="9" t="s">
        <v>274</v>
      </c>
      <c r="B70" s="9" t="s">
        <v>338</v>
      </c>
      <c r="C70" s="9" t="s">
        <v>78</v>
      </c>
      <c r="D70" s="9" t="s">
        <v>56</v>
      </c>
      <c r="E70" s="9" t="s">
        <v>275</v>
      </c>
      <c r="F70" s="9" t="s">
        <v>139</v>
      </c>
      <c r="G70" s="12">
        <v>104000</v>
      </c>
      <c r="H70" s="9">
        <v>70</v>
      </c>
      <c r="I70" s="9" t="s">
        <v>336</v>
      </c>
    </row>
    <row r="71" spans="1:9" ht="24" customHeight="1">
      <c r="A71" s="9" t="s">
        <v>276</v>
      </c>
      <c r="B71" s="9" t="s">
        <v>338</v>
      </c>
      <c r="C71" s="9" t="s">
        <v>78</v>
      </c>
      <c r="D71" s="9" t="s">
        <v>58</v>
      </c>
      <c r="E71" s="9" t="s">
        <v>277</v>
      </c>
      <c r="F71" s="9" t="s">
        <v>139</v>
      </c>
      <c r="G71" s="12">
        <v>153000</v>
      </c>
      <c r="H71" s="9">
        <v>71</v>
      </c>
      <c r="I71" s="9" t="s">
        <v>336</v>
      </c>
    </row>
    <row r="72" spans="1:9" ht="24" customHeight="1">
      <c r="A72" s="9" t="s">
        <v>278</v>
      </c>
      <c r="B72" s="9" t="s">
        <v>338</v>
      </c>
      <c r="C72" s="9" t="s">
        <v>78</v>
      </c>
      <c r="D72" s="9" t="s">
        <v>60</v>
      </c>
      <c r="E72" s="9" t="s">
        <v>279</v>
      </c>
      <c r="F72" s="9" t="s">
        <v>139</v>
      </c>
      <c r="G72" s="12">
        <v>29000</v>
      </c>
      <c r="H72" s="9">
        <v>72</v>
      </c>
      <c r="I72" s="9" t="s">
        <v>336</v>
      </c>
    </row>
    <row r="73" spans="1:9" ht="24" customHeight="1">
      <c r="A73" s="9" t="s">
        <v>280</v>
      </c>
      <c r="B73" s="9" t="s">
        <v>338</v>
      </c>
      <c r="C73" s="9" t="s">
        <v>78</v>
      </c>
      <c r="D73" s="9" t="s">
        <v>62</v>
      </c>
      <c r="E73" s="9" t="s">
        <v>282</v>
      </c>
      <c r="F73" s="9" t="s">
        <v>139</v>
      </c>
      <c r="G73" s="12">
        <v>104000</v>
      </c>
      <c r="H73" s="9">
        <v>73</v>
      </c>
      <c r="I73" s="9" t="s">
        <v>336</v>
      </c>
    </row>
    <row r="74" spans="1:9" ht="24" customHeight="1">
      <c r="A74" s="9" t="s">
        <v>283</v>
      </c>
      <c r="B74" s="9" t="s">
        <v>335</v>
      </c>
      <c r="C74" s="9" t="s">
        <v>71</v>
      </c>
      <c r="D74" s="9" t="s">
        <v>56</v>
      </c>
      <c r="E74" s="9" t="s">
        <v>167</v>
      </c>
      <c r="F74" s="9" t="s">
        <v>284</v>
      </c>
      <c r="G74" s="12">
        <v>100000</v>
      </c>
      <c r="H74" s="9">
        <v>74</v>
      </c>
      <c r="I74" s="9" t="s">
        <v>336</v>
      </c>
    </row>
    <row r="75" spans="1:9" ht="24" customHeight="1">
      <c r="A75" s="9" t="s">
        <v>285</v>
      </c>
      <c r="B75" s="9" t="s">
        <v>338</v>
      </c>
      <c r="C75" s="9" t="s">
        <v>71</v>
      </c>
      <c r="D75" s="9" t="s">
        <v>56</v>
      </c>
      <c r="E75" s="9" t="s">
        <v>286</v>
      </c>
      <c r="F75" s="9" t="s">
        <v>287</v>
      </c>
      <c r="G75" s="12">
        <v>-50000</v>
      </c>
      <c r="H75" s="9">
        <v>75</v>
      </c>
      <c r="I75" s="9" t="s">
        <v>336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
  <sheetViews>
    <sheetView showGridLines="0" workbookViewId="0">
      <pane ySplit="1" topLeftCell="A2" activePane="bottomLeft" state="frozen"/>
      <selection pane="bottomLeft"/>
    </sheetView>
  </sheetViews>
  <sheetFormatPr defaultRowHeight="14.25"/>
  <cols>
    <col min="1" max="1" width="12" customWidth="1"/>
    <col min="2" max="2" width="18" customWidth="1"/>
    <col min="3" max="3" width="25" customWidth="1"/>
    <col min="4" max="4" width="24" customWidth="1"/>
    <col min="5" max="5" width="28" customWidth="1"/>
    <col min="6" max="6" width="30" customWidth="1"/>
  </cols>
  <sheetData>
    <row r="1" spans="1:6" ht="32.1" customHeight="1">
      <c r="A1" s="10" t="s">
        <v>333</v>
      </c>
      <c r="B1" s="10" t="s">
        <v>132</v>
      </c>
      <c r="C1" s="10" t="s">
        <v>339</v>
      </c>
      <c r="D1" s="10" t="s">
        <v>324</v>
      </c>
      <c r="E1" s="10" t="s">
        <v>340</v>
      </c>
      <c r="F1" s="10" t="s">
        <v>326</v>
      </c>
    </row>
    <row r="2" spans="1:6" ht="24" customHeight="1">
      <c r="A2" s="9">
        <v>48</v>
      </c>
      <c r="B2" s="9" t="s">
        <v>230</v>
      </c>
      <c r="C2" s="9" t="s">
        <v>341</v>
      </c>
      <c r="D2" s="9" t="s">
        <v>330</v>
      </c>
      <c r="E2" s="9">
        <v>30000</v>
      </c>
      <c r="F2" s="9" t="s">
        <v>342</v>
      </c>
    </row>
    <row r="3" spans="1:6" ht="24" customHeight="1">
      <c r="A3" s="9">
        <v>73</v>
      </c>
      <c r="B3" s="9" t="s">
        <v>280</v>
      </c>
      <c r="C3" s="9" t="s">
        <v>19</v>
      </c>
      <c r="D3" s="9" t="s">
        <v>281</v>
      </c>
      <c r="E3" s="9" t="s">
        <v>78</v>
      </c>
      <c r="F3" s="9" t="s">
        <v>343</v>
      </c>
    </row>
    <row r="4" spans="1:6" ht="24" customHeight="1">
      <c r="A4" s="9">
        <v>76</v>
      </c>
      <c r="B4" s="9" t="s">
        <v>214</v>
      </c>
      <c r="C4" s="9" t="s">
        <v>344</v>
      </c>
      <c r="D4" s="9" t="s">
        <v>345</v>
      </c>
      <c r="E4" s="9" t="s">
        <v>346</v>
      </c>
      <c r="F4" s="9" t="s">
        <v>347</v>
      </c>
    </row>
    <row r="5" spans="1:6" ht="24" customHeight="1">
      <c r="A5" s="9">
        <v>77</v>
      </c>
      <c r="B5" s="9" t="s">
        <v>288</v>
      </c>
      <c r="C5" s="9" t="s">
        <v>348</v>
      </c>
      <c r="D5" s="9" t="s">
        <v>349</v>
      </c>
      <c r="E5" s="9" t="s">
        <v>350</v>
      </c>
      <c r="F5" s="9" t="s">
        <v>351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
  <sheetViews>
    <sheetView showGridLines="0" workbookViewId="0">
      <pane ySplit="1" topLeftCell="A2" activePane="bottomLeft" state="frozen"/>
      <selection pane="bottomLeft"/>
    </sheetView>
  </sheetViews>
  <sheetFormatPr defaultRowHeight="14.25"/>
  <cols>
    <col min="1" max="1" width="12" customWidth="1"/>
    <col min="2" max="2" width="18" customWidth="1"/>
    <col min="3" max="3" width="24" customWidth="1"/>
    <col min="4" max="4" width="18" customWidth="1"/>
  </cols>
  <sheetData>
    <row r="1" spans="1:4" ht="32.1" customHeight="1">
      <c r="A1" s="10" t="s">
        <v>333</v>
      </c>
      <c r="B1" s="10" t="s">
        <v>132</v>
      </c>
      <c r="C1" s="10" t="s">
        <v>352</v>
      </c>
      <c r="D1" s="10" t="s">
        <v>353</v>
      </c>
    </row>
    <row r="2" spans="1:4" ht="24" customHeight="1">
      <c r="A2" s="9">
        <v>76</v>
      </c>
      <c r="B2" s="9" t="s">
        <v>214</v>
      </c>
      <c r="C2" s="9" t="s">
        <v>354</v>
      </c>
      <c r="D2" s="12">
        <v>400000</v>
      </c>
    </row>
    <row r="3" spans="1:4" ht="24" customHeight="1">
      <c r="A3" s="9">
        <v>77</v>
      </c>
      <c r="B3" s="9" t="s">
        <v>288</v>
      </c>
      <c r="C3" s="9" t="s">
        <v>355</v>
      </c>
      <c r="D3" s="12">
        <v>90000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2"/>
  <sheetViews>
    <sheetView showGridLines="0" workbookViewId="0">
      <pane ySplit="1" topLeftCell="A2" activePane="bottomLeft" state="frozen"/>
      <selection pane="bottomLeft"/>
    </sheetView>
  </sheetViews>
  <sheetFormatPr defaultRowHeight="14.25"/>
  <cols>
    <col min="1" max="2" width="20" customWidth="1"/>
    <col min="3" max="3" width="25" customWidth="1"/>
    <col min="4" max="6" width="19" customWidth="1"/>
    <col min="7" max="7" width="17" customWidth="1"/>
    <col min="8" max="8" width="18" customWidth="1"/>
    <col min="9" max="9" width="22" customWidth="1"/>
  </cols>
  <sheetData>
    <row r="1" spans="1:9" ht="32.1" customHeight="1">
      <c r="A1" s="10" t="s">
        <v>292</v>
      </c>
      <c r="B1" s="10" t="s">
        <v>47</v>
      </c>
      <c r="C1" s="10" t="s">
        <v>48</v>
      </c>
      <c r="D1" s="10" t="s">
        <v>49</v>
      </c>
      <c r="E1" s="10" t="s">
        <v>136</v>
      </c>
      <c r="F1" s="10" t="s">
        <v>356</v>
      </c>
      <c r="G1" s="10" t="s">
        <v>357</v>
      </c>
      <c r="H1" s="10" t="s">
        <v>358</v>
      </c>
      <c r="I1" s="10" t="s">
        <v>359</v>
      </c>
    </row>
    <row r="2" spans="1:9" ht="24" customHeight="1">
      <c r="A2" s="9" t="s">
        <v>335</v>
      </c>
      <c r="B2" s="9" t="s">
        <v>51</v>
      </c>
      <c r="C2" s="9" t="s">
        <v>52</v>
      </c>
      <c r="D2" s="12">
        <f>Budget!E2</f>
        <v>1500000</v>
      </c>
      <c r="E2" s="12">
        <f>SUMIFS('Clean actuals'!$G$2:$G$75,'Clean actuals'!$B$2:$B$75,A2,'Clean actuals'!$C$2:$C$75,B2,'Clean actuals'!$D$2:$D$75,C2)</f>
        <v>1455000</v>
      </c>
      <c r="F2" s="12">
        <f t="shared" ref="F2:F33" si="0">E2-D2</f>
        <v>-45000</v>
      </c>
      <c r="G2" s="13">
        <f t="shared" ref="G2:G33" si="1">IF(D2=0,"n.a.",F2/D2)</f>
        <v>-0.03</v>
      </c>
      <c r="H2" s="9" t="str">
        <f t="shared" ref="H2:H33" si="2">IF(F2&gt;0,"Unfavorable",IF(F2&lt;0,"Favorable","On budget"))</f>
        <v>Favorable</v>
      </c>
      <c r="I2" s="9" t="str">
        <f t="shared" ref="I2:I33" si="3">IF(D2=0,IF(E2&lt;&gt;0,"Unbudgeted","On budget"),IF(AND(ABS(F2)&gt;100000,ABS(G2)&gt;10%),"Material","Not material"))</f>
        <v>Not material</v>
      </c>
    </row>
    <row r="3" spans="1:9" ht="24" customHeight="1">
      <c r="A3" s="9" t="s">
        <v>335</v>
      </c>
      <c r="B3" s="9" t="s">
        <v>51</v>
      </c>
      <c r="C3" s="9" t="s">
        <v>54</v>
      </c>
      <c r="D3" s="12">
        <f>Budget!E3</f>
        <v>200000</v>
      </c>
      <c r="E3" s="12">
        <f>SUMIFS('Clean actuals'!$G$2:$G$75,'Clean actuals'!$B$2:$B$75,A3,'Clean actuals'!$C$2:$C$75,B3,'Clean actuals'!$D$2:$D$75,C3)</f>
        <v>208000</v>
      </c>
      <c r="F3" s="12">
        <f t="shared" si="0"/>
        <v>8000</v>
      </c>
      <c r="G3" s="13">
        <f t="shared" si="1"/>
        <v>0.04</v>
      </c>
      <c r="H3" s="9" t="str">
        <f t="shared" si="2"/>
        <v>Unfavorable</v>
      </c>
      <c r="I3" s="9" t="str">
        <f t="shared" si="3"/>
        <v>Not material</v>
      </c>
    </row>
    <row r="4" spans="1:9" ht="24" customHeight="1">
      <c r="A4" s="9" t="s">
        <v>335</v>
      </c>
      <c r="B4" s="9" t="s">
        <v>51</v>
      </c>
      <c r="C4" s="9" t="s">
        <v>56</v>
      </c>
      <c r="D4" s="12">
        <f>Budget!E4</f>
        <v>80000</v>
      </c>
      <c r="E4" s="12">
        <f>SUMIFS('Clean actuals'!$G$2:$G$75,'Clean actuals'!$B$2:$B$75,A4,'Clean actuals'!$C$2:$C$75,B4,'Clean actuals'!$D$2:$D$75,C4)</f>
        <v>82000</v>
      </c>
      <c r="F4" s="12">
        <f t="shared" si="0"/>
        <v>2000</v>
      </c>
      <c r="G4" s="13">
        <f t="shared" si="1"/>
        <v>2.5000000000000001E-2</v>
      </c>
      <c r="H4" s="9" t="str">
        <f t="shared" si="2"/>
        <v>Unfavorable</v>
      </c>
      <c r="I4" s="9" t="str">
        <f t="shared" si="3"/>
        <v>Not material</v>
      </c>
    </row>
    <row r="5" spans="1:9" ht="24" customHeight="1">
      <c r="A5" s="9" t="s">
        <v>335</v>
      </c>
      <c r="B5" s="9" t="s">
        <v>51</v>
      </c>
      <c r="C5" s="9" t="s">
        <v>58</v>
      </c>
      <c r="D5" s="12">
        <f>Budget!E5</f>
        <v>100000</v>
      </c>
      <c r="E5" s="12">
        <f>SUMIFS('Clean actuals'!$G$2:$G$75,'Clean actuals'!$B$2:$B$75,A5,'Clean actuals'!$C$2:$C$75,B5,'Clean actuals'!$D$2:$D$75,C5)</f>
        <v>97000</v>
      </c>
      <c r="F5" s="12">
        <f t="shared" si="0"/>
        <v>-3000</v>
      </c>
      <c r="G5" s="13">
        <f t="shared" si="1"/>
        <v>-0.03</v>
      </c>
      <c r="H5" s="9" t="str">
        <f t="shared" si="2"/>
        <v>Favorable</v>
      </c>
      <c r="I5" s="9" t="str">
        <f t="shared" si="3"/>
        <v>Not material</v>
      </c>
    </row>
    <row r="6" spans="1:9" ht="24" customHeight="1">
      <c r="A6" s="9" t="s">
        <v>335</v>
      </c>
      <c r="B6" s="9" t="s">
        <v>51</v>
      </c>
      <c r="C6" s="9" t="s">
        <v>60</v>
      </c>
      <c r="D6" s="12">
        <f>Budget!E6</f>
        <v>50000</v>
      </c>
      <c r="E6" s="12">
        <f>SUMIFS('Clean actuals'!$G$2:$G$75,'Clean actuals'!$B$2:$B$75,A6,'Clean actuals'!$C$2:$C$75,B6,'Clean actuals'!$D$2:$D$75,C6)</f>
        <v>52000</v>
      </c>
      <c r="F6" s="12">
        <f t="shared" si="0"/>
        <v>2000</v>
      </c>
      <c r="G6" s="13">
        <f t="shared" si="1"/>
        <v>0.04</v>
      </c>
      <c r="H6" s="9" t="str">
        <f t="shared" si="2"/>
        <v>Unfavorable</v>
      </c>
      <c r="I6" s="9" t="str">
        <f t="shared" si="3"/>
        <v>Not material</v>
      </c>
    </row>
    <row r="7" spans="1:9" ht="24" customHeight="1">
      <c r="A7" s="9" t="s">
        <v>335</v>
      </c>
      <c r="B7" s="9" t="s">
        <v>51</v>
      </c>
      <c r="C7" s="9" t="s">
        <v>62</v>
      </c>
      <c r="D7" s="12">
        <f>Budget!E7</f>
        <v>180000</v>
      </c>
      <c r="E7" s="12">
        <f>SUMIFS('Clean actuals'!$G$2:$G$75,'Clean actuals'!$B$2:$B$75,A7,'Clean actuals'!$C$2:$C$75,B7,'Clean actuals'!$D$2:$D$75,C7)</f>
        <v>184000</v>
      </c>
      <c r="F7" s="12">
        <f t="shared" si="0"/>
        <v>4000</v>
      </c>
      <c r="G7" s="13">
        <f t="shared" si="1"/>
        <v>2.2222222222222223E-2</v>
      </c>
      <c r="H7" s="9" t="str">
        <f t="shared" si="2"/>
        <v>Unfavorable</v>
      </c>
      <c r="I7" s="9" t="str">
        <f t="shared" si="3"/>
        <v>Not material</v>
      </c>
    </row>
    <row r="8" spans="1:9" ht="24" customHeight="1">
      <c r="A8" s="9" t="s">
        <v>335</v>
      </c>
      <c r="B8" s="9" t="s">
        <v>64</v>
      </c>
      <c r="C8" s="9" t="s">
        <v>52</v>
      </c>
      <c r="D8" s="12">
        <f>Budget!E8</f>
        <v>900000</v>
      </c>
      <c r="E8" s="12">
        <f>SUMIFS('Clean actuals'!$G$2:$G$75,'Clean actuals'!$B$2:$B$75,A8,'Clean actuals'!$C$2:$C$75,B8,'Clean actuals'!$D$2:$D$75,C8)</f>
        <v>936000</v>
      </c>
      <c r="F8" s="12">
        <f t="shared" si="0"/>
        <v>36000</v>
      </c>
      <c r="G8" s="13">
        <f t="shared" si="1"/>
        <v>0.04</v>
      </c>
      <c r="H8" s="9" t="str">
        <f t="shared" si="2"/>
        <v>Unfavorable</v>
      </c>
      <c r="I8" s="9" t="str">
        <f t="shared" si="3"/>
        <v>Not material</v>
      </c>
    </row>
    <row r="9" spans="1:9" ht="24" customHeight="1">
      <c r="A9" s="9" t="s">
        <v>335</v>
      </c>
      <c r="B9" s="9" t="s">
        <v>64</v>
      </c>
      <c r="C9" s="9" t="s">
        <v>54</v>
      </c>
      <c r="D9" s="12">
        <f>Budget!E9</f>
        <v>100000</v>
      </c>
      <c r="E9" s="12">
        <f>SUMIFS('Clean actuals'!$G$2:$G$75,'Clean actuals'!$B$2:$B$75,A9,'Clean actuals'!$C$2:$C$75,B9,'Clean actuals'!$D$2:$D$75,C9)</f>
        <v>102000</v>
      </c>
      <c r="F9" s="12">
        <f t="shared" si="0"/>
        <v>2000</v>
      </c>
      <c r="G9" s="13">
        <f t="shared" si="1"/>
        <v>0.02</v>
      </c>
      <c r="H9" s="9" t="str">
        <f t="shared" si="2"/>
        <v>Unfavorable</v>
      </c>
      <c r="I9" s="9" t="str">
        <f t="shared" si="3"/>
        <v>Not material</v>
      </c>
    </row>
    <row r="10" spans="1:9" ht="24" customHeight="1">
      <c r="A10" s="9" t="s">
        <v>335</v>
      </c>
      <c r="B10" s="9" t="s">
        <v>64</v>
      </c>
      <c r="C10" s="9" t="s">
        <v>56</v>
      </c>
      <c r="D10" s="12">
        <f>Budget!E10</f>
        <v>120000</v>
      </c>
      <c r="E10" s="12">
        <f>SUMIFS('Clean actuals'!$G$2:$G$75,'Clean actuals'!$B$2:$B$75,A10,'Clean actuals'!$C$2:$C$75,B10,'Clean actuals'!$D$2:$D$75,C10)</f>
        <v>116000</v>
      </c>
      <c r="F10" s="12">
        <f t="shared" si="0"/>
        <v>-4000</v>
      </c>
      <c r="G10" s="13">
        <f t="shared" si="1"/>
        <v>-3.3333333333333333E-2</v>
      </c>
      <c r="H10" s="9" t="str">
        <f t="shared" si="2"/>
        <v>Favorable</v>
      </c>
      <c r="I10" s="9" t="str">
        <f t="shared" si="3"/>
        <v>Not material</v>
      </c>
    </row>
    <row r="11" spans="1:9" ht="24" customHeight="1">
      <c r="A11" s="9" t="s">
        <v>335</v>
      </c>
      <c r="B11" s="9" t="s">
        <v>64</v>
      </c>
      <c r="C11" s="9" t="s">
        <v>58</v>
      </c>
      <c r="D11" s="12">
        <f>Budget!E11</f>
        <v>180000</v>
      </c>
      <c r="E11" s="12">
        <f>SUMIFS('Clean actuals'!$G$2:$G$75,'Clean actuals'!$B$2:$B$75,A11,'Clean actuals'!$C$2:$C$75,B11,'Clean actuals'!$D$2:$D$75,C11)</f>
        <v>187000</v>
      </c>
      <c r="F11" s="12">
        <f t="shared" si="0"/>
        <v>7000</v>
      </c>
      <c r="G11" s="13">
        <f t="shared" si="1"/>
        <v>3.888888888888889E-2</v>
      </c>
      <c r="H11" s="9" t="str">
        <f t="shared" si="2"/>
        <v>Unfavorable</v>
      </c>
      <c r="I11" s="9" t="str">
        <f t="shared" si="3"/>
        <v>Not material</v>
      </c>
    </row>
    <row r="12" spans="1:9" ht="24" customHeight="1">
      <c r="A12" s="9" t="s">
        <v>335</v>
      </c>
      <c r="B12" s="9" t="s">
        <v>64</v>
      </c>
      <c r="C12" s="9" t="s">
        <v>60</v>
      </c>
      <c r="D12" s="12">
        <f>Budget!E12</f>
        <v>40000</v>
      </c>
      <c r="E12" s="12">
        <f>SUMIFS('Clean actuals'!$G$2:$G$75,'Clean actuals'!$B$2:$B$75,A12,'Clean actuals'!$C$2:$C$75,B12,'Clean actuals'!$D$2:$D$75,C12)</f>
        <v>41000</v>
      </c>
      <c r="F12" s="12">
        <f t="shared" si="0"/>
        <v>1000</v>
      </c>
      <c r="G12" s="13">
        <f t="shared" si="1"/>
        <v>2.5000000000000001E-2</v>
      </c>
      <c r="H12" s="9" t="str">
        <f t="shared" si="2"/>
        <v>Unfavorable</v>
      </c>
      <c r="I12" s="9" t="str">
        <f t="shared" si="3"/>
        <v>Not material</v>
      </c>
    </row>
    <row r="13" spans="1:9" ht="24" customHeight="1">
      <c r="A13" s="9" t="s">
        <v>335</v>
      </c>
      <c r="B13" s="9" t="s">
        <v>64</v>
      </c>
      <c r="C13" s="9" t="s">
        <v>62</v>
      </c>
      <c r="D13" s="12">
        <f>Budget!E13</f>
        <v>120000</v>
      </c>
      <c r="E13" s="12">
        <f>SUMIFS('Clean actuals'!$G$2:$G$75,'Clean actuals'!$B$2:$B$75,A13,'Clean actuals'!$C$2:$C$75,B13,'Clean actuals'!$D$2:$D$75,C13)</f>
        <v>116000</v>
      </c>
      <c r="F13" s="12">
        <f t="shared" si="0"/>
        <v>-4000</v>
      </c>
      <c r="G13" s="13">
        <f t="shared" si="1"/>
        <v>-3.3333333333333333E-2</v>
      </c>
      <c r="H13" s="9" t="str">
        <f t="shared" si="2"/>
        <v>Favorable</v>
      </c>
      <c r="I13" s="9" t="str">
        <f t="shared" si="3"/>
        <v>Not material</v>
      </c>
    </row>
    <row r="14" spans="1:9" ht="24" customHeight="1">
      <c r="A14" s="9" t="s">
        <v>335</v>
      </c>
      <c r="B14" s="9" t="s">
        <v>71</v>
      </c>
      <c r="C14" s="9" t="s">
        <v>52</v>
      </c>
      <c r="D14" s="12">
        <f>Budget!E14</f>
        <v>2200000</v>
      </c>
      <c r="E14" s="12">
        <f>SUMIFS('Clean actuals'!$G$2:$G$75,'Clean actuals'!$B$2:$B$75,A14,'Clean actuals'!$C$2:$C$75,B14,'Clean actuals'!$D$2:$D$75,C14)</f>
        <v>2244000</v>
      </c>
      <c r="F14" s="12">
        <f t="shared" si="0"/>
        <v>44000</v>
      </c>
      <c r="G14" s="13">
        <f t="shared" si="1"/>
        <v>0.02</v>
      </c>
      <c r="H14" s="9" t="str">
        <f t="shared" si="2"/>
        <v>Unfavorable</v>
      </c>
      <c r="I14" s="9" t="str">
        <f t="shared" si="3"/>
        <v>Not material</v>
      </c>
    </row>
    <row r="15" spans="1:9" ht="24" customHeight="1">
      <c r="A15" s="9" t="s">
        <v>335</v>
      </c>
      <c r="B15" s="9" t="s">
        <v>71</v>
      </c>
      <c r="C15" s="9" t="s">
        <v>54</v>
      </c>
      <c r="D15" s="12">
        <f>Budget!E15</f>
        <v>80000</v>
      </c>
      <c r="E15" s="12">
        <f>SUMIFS('Clean actuals'!$G$2:$G$75,'Clean actuals'!$B$2:$B$75,A15,'Clean actuals'!$C$2:$C$75,B15,'Clean actuals'!$D$2:$D$75,C15)</f>
        <v>78000</v>
      </c>
      <c r="F15" s="12">
        <f t="shared" si="0"/>
        <v>-2000</v>
      </c>
      <c r="G15" s="13">
        <f t="shared" si="1"/>
        <v>-2.5000000000000001E-2</v>
      </c>
      <c r="H15" s="9" t="str">
        <f t="shared" si="2"/>
        <v>Favorable</v>
      </c>
      <c r="I15" s="9" t="str">
        <f t="shared" si="3"/>
        <v>Not material</v>
      </c>
    </row>
    <row r="16" spans="1:9" ht="24" customHeight="1">
      <c r="A16" s="9" t="s">
        <v>335</v>
      </c>
      <c r="B16" s="9" t="s">
        <v>71</v>
      </c>
      <c r="C16" s="9" t="s">
        <v>56</v>
      </c>
      <c r="D16" s="12">
        <f>Budget!E16</f>
        <v>300000</v>
      </c>
      <c r="E16" s="12">
        <f>SUMIFS('Clean actuals'!$G$2:$G$75,'Clean actuals'!$B$2:$B$75,A16,'Clean actuals'!$C$2:$C$75,B16,'Clean actuals'!$D$2:$D$75,C16)</f>
        <v>350000</v>
      </c>
      <c r="F16" s="12">
        <f t="shared" si="0"/>
        <v>50000</v>
      </c>
      <c r="G16" s="13">
        <f t="shared" si="1"/>
        <v>0.16666666666666666</v>
      </c>
      <c r="H16" s="9" t="str">
        <f t="shared" si="2"/>
        <v>Unfavorable</v>
      </c>
      <c r="I16" s="9" t="str">
        <f t="shared" si="3"/>
        <v>Not material</v>
      </c>
    </row>
    <row r="17" spans="1:9" ht="24" customHeight="1">
      <c r="A17" s="9" t="s">
        <v>335</v>
      </c>
      <c r="B17" s="9" t="s">
        <v>71</v>
      </c>
      <c r="C17" s="9" t="s">
        <v>58</v>
      </c>
      <c r="D17" s="12">
        <f>Budget!E17</f>
        <v>200000</v>
      </c>
      <c r="E17" s="12">
        <f>SUMIFS('Clean actuals'!$G$2:$G$75,'Clean actuals'!$B$2:$B$75,A17,'Clean actuals'!$C$2:$C$75,B17,'Clean actuals'!$D$2:$D$75,C17)</f>
        <v>204000</v>
      </c>
      <c r="F17" s="12">
        <f t="shared" si="0"/>
        <v>4000</v>
      </c>
      <c r="G17" s="13">
        <f t="shared" si="1"/>
        <v>0.02</v>
      </c>
      <c r="H17" s="9" t="str">
        <f t="shared" si="2"/>
        <v>Unfavorable</v>
      </c>
      <c r="I17" s="9" t="str">
        <f t="shared" si="3"/>
        <v>Not material</v>
      </c>
    </row>
    <row r="18" spans="1:9" ht="24" customHeight="1">
      <c r="A18" s="9" t="s">
        <v>335</v>
      </c>
      <c r="B18" s="9" t="s">
        <v>71</v>
      </c>
      <c r="C18" s="9" t="s">
        <v>60</v>
      </c>
      <c r="D18" s="12">
        <f>Budget!E18</f>
        <v>70000</v>
      </c>
      <c r="E18" s="12">
        <f>SUMIFS('Clean actuals'!$G$2:$G$75,'Clean actuals'!$B$2:$B$75,A18,'Clean actuals'!$C$2:$C$75,B18,'Clean actuals'!$D$2:$D$75,C18)</f>
        <v>68000</v>
      </c>
      <c r="F18" s="12">
        <f t="shared" si="0"/>
        <v>-2000</v>
      </c>
      <c r="G18" s="13">
        <f t="shared" si="1"/>
        <v>-2.8571428571428571E-2</v>
      </c>
      <c r="H18" s="9" t="str">
        <f t="shared" si="2"/>
        <v>Favorable</v>
      </c>
      <c r="I18" s="9" t="str">
        <f t="shared" si="3"/>
        <v>Not material</v>
      </c>
    </row>
    <row r="19" spans="1:9" ht="24" customHeight="1">
      <c r="A19" s="9" t="s">
        <v>335</v>
      </c>
      <c r="B19" s="9" t="s">
        <v>71</v>
      </c>
      <c r="C19" s="9" t="s">
        <v>62</v>
      </c>
      <c r="D19" s="12">
        <f>Budget!E19</f>
        <v>200000</v>
      </c>
      <c r="E19" s="12">
        <f>SUMIFS('Clean actuals'!$G$2:$G$75,'Clean actuals'!$B$2:$B$75,A19,'Clean actuals'!$C$2:$C$75,B19,'Clean actuals'!$D$2:$D$75,C19)</f>
        <v>208000</v>
      </c>
      <c r="F19" s="12">
        <f t="shared" si="0"/>
        <v>8000</v>
      </c>
      <c r="G19" s="13">
        <f t="shared" si="1"/>
        <v>0.04</v>
      </c>
      <c r="H19" s="9" t="str">
        <f t="shared" si="2"/>
        <v>Unfavorable</v>
      </c>
      <c r="I19" s="9" t="str">
        <f t="shared" si="3"/>
        <v>Not material</v>
      </c>
    </row>
    <row r="20" spans="1:9" ht="24" customHeight="1">
      <c r="A20" s="9" t="s">
        <v>335</v>
      </c>
      <c r="B20" s="9" t="s">
        <v>78</v>
      </c>
      <c r="C20" s="9" t="s">
        <v>52</v>
      </c>
      <c r="D20" s="12">
        <f>Budget!E20</f>
        <v>1100000</v>
      </c>
      <c r="E20" s="12">
        <f>SUMIFS('Clean actuals'!$G$2:$G$75,'Clean actuals'!$B$2:$B$75,A20,'Clean actuals'!$C$2:$C$75,B20,'Clean actuals'!$D$2:$D$75,C20)</f>
        <v>1067000</v>
      </c>
      <c r="F20" s="12">
        <f t="shared" si="0"/>
        <v>-33000</v>
      </c>
      <c r="G20" s="13">
        <f t="shared" si="1"/>
        <v>-0.03</v>
      </c>
      <c r="H20" s="9" t="str">
        <f t="shared" si="2"/>
        <v>Favorable</v>
      </c>
      <c r="I20" s="9" t="str">
        <f t="shared" si="3"/>
        <v>Not material</v>
      </c>
    </row>
    <row r="21" spans="1:9" ht="24" customHeight="1">
      <c r="A21" s="9" t="s">
        <v>335</v>
      </c>
      <c r="B21" s="9" t="s">
        <v>78</v>
      </c>
      <c r="C21" s="9" t="s">
        <v>54</v>
      </c>
      <c r="D21" s="12">
        <f>Budget!E21</f>
        <v>50000</v>
      </c>
      <c r="E21" s="12">
        <f>SUMIFS('Clean actuals'!$G$2:$G$75,'Clean actuals'!$B$2:$B$75,A21,'Clean actuals'!$C$2:$C$75,B21,'Clean actuals'!$D$2:$D$75,C21)</f>
        <v>52000</v>
      </c>
      <c r="F21" s="12">
        <f t="shared" si="0"/>
        <v>2000</v>
      </c>
      <c r="G21" s="13">
        <f t="shared" si="1"/>
        <v>0.04</v>
      </c>
      <c r="H21" s="9" t="str">
        <f t="shared" si="2"/>
        <v>Unfavorable</v>
      </c>
      <c r="I21" s="9" t="str">
        <f t="shared" si="3"/>
        <v>Not material</v>
      </c>
    </row>
    <row r="22" spans="1:9" ht="24" customHeight="1">
      <c r="A22" s="9" t="s">
        <v>335</v>
      </c>
      <c r="B22" s="9" t="s">
        <v>78</v>
      </c>
      <c r="C22" s="9" t="s">
        <v>56</v>
      </c>
      <c r="D22" s="12">
        <f>Budget!E22</f>
        <v>100000</v>
      </c>
      <c r="E22" s="12">
        <f>SUMIFS('Clean actuals'!$G$2:$G$75,'Clean actuals'!$B$2:$B$75,A22,'Clean actuals'!$C$2:$C$75,B22,'Clean actuals'!$D$2:$D$75,C22)</f>
        <v>102000</v>
      </c>
      <c r="F22" s="12">
        <f t="shared" si="0"/>
        <v>2000</v>
      </c>
      <c r="G22" s="13">
        <f t="shared" si="1"/>
        <v>0.02</v>
      </c>
      <c r="H22" s="9" t="str">
        <f t="shared" si="2"/>
        <v>Unfavorable</v>
      </c>
      <c r="I22" s="9" t="str">
        <f t="shared" si="3"/>
        <v>Not material</v>
      </c>
    </row>
    <row r="23" spans="1:9" ht="24" customHeight="1">
      <c r="A23" s="9" t="s">
        <v>335</v>
      </c>
      <c r="B23" s="9" t="s">
        <v>78</v>
      </c>
      <c r="C23" s="9" t="s">
        <v>58</v>
      </c>
      <c r="D23" s="12">
        <f>Budget!E23</f>
        <v>150000</v>
      </c>
      <c r="E23" s="12">
        <f>SUMIFS('Clean actuals'!$G$2:$G$75,'Clean actuals'!$B$2:$B$75,A23,'Clean actuals'!$C$2:$C$75,B23,'Clean actuals'!$D$2:$D$75,C23)</f>
        <v>50000</v>
      </c>
      <c r="F23" s="12">
        <f t="shared" si="0"/>
        <v>-100000</v>
      </c>
      <c r="G23" s="13">
        <f t="shared" si="1"/>
        <v>-0.66666666666666663</v>
      </c>
      <c r="H23" s="9" t="str">
        <f t="shared" si="2"/>
        <v>Favorable</v>
      </c>
      <c r="I23" s="9" t="str">
        <f t="shared" si="3"/>
        <v>Not material</v>
      </c>
    </row>
    <row r="24" spans="1:9" ht="24" customHeight="1">
      <c r="A24" s="9" t="s">
        <v>335</v>
      </c>
      <c r="B24" s="9" t="s">
        <v>78</v>
      </c>
      <c r="C24" s="9" t="s">
        <v>60</v>
      </c>
      <c r="D24" s="12">
        <f>Budget!E24</f>
        <v>30000</v>
      </c>
      <c r="E24" s="12">
        <f>SUMIFS('Clean actuals'!$G$2:$G$75,'Clean actuals'!$B$2:$B$75,A24,'Clean actuals'!$C$2:$C$75,B24,'Clean actuals'!$D$2:$D$75,C24)</f>
        <v>31000</v>
      </c>
      <c r="F24" s="12">
        <f t="shared" si="0"/>
        <v>1000</v>
      </c>
      <c r="G24" s="13">
        <f t="shared" si="1"/>
        <v>3.3333333333333333E-2</v>
      </c>
      <c r="H24" s="9" t="str">
        <f t="shared" si="2"/>
        <v>Unfavorable</v>
      </c>
      <c r="I24" s="9" t="str">
        <f t="shared" si="3"/>
        <v>Not material</v>
      </c>
    </row>
    <row r="25" spans="1:9" ht="24" customHeight="1">
      <c r="A25" s="9" t="s">
        <v>335</v>
      </c>
      <c r="B25" s="9" t="s">
        <v>78</v>
      </c>
      <c r="C25" s="9" t="s">
        <v>62</v>
      </c>
      <c r="D25" s="12">
        <f>Budget!E25</f>
        <v>100000</v>
      </c>
      <c r="E25" s="12">
        <f>SUMIFS('Clean actuals'!$G$2:$G$75,'Clean actuals'!$B$2:$B$75,A25,'Clean actuals'!$C$2:$C$75,B25,'Clean actuals'!$D$2:$D$75,C25)</f>
        <v>102000</v>
      </c>
      <c r="F25" s="12">
        <f t="shared" si="0"/>
        <v>2000</v>
      </c>
      <c r="G25" s="13">
        <f t="shared" si="1"/>
        <v>0.02</v>
      </c>
      <c r="H25" s="9" t="str">
        <f t="shared" si="2"/>
        <v>Unfavorable</v>
      </c>
      <c r="I25" s="9" t="str">
        <f t="shared" si="3"/>
        <v>Not material</v>
      </c>
    </row>
    <row r="26" spans="1:9" ht="24" customHeight="1">
      <c r="A26" s="9" t="s">
        <v>337</v>
      </c>
      <c r="B26" s="9" t="s">
        <v>51</v>
      </c>
      <c r="C26" s="9" t="s">
        <v>52</v>
      </c>
      <c r="D26" s="12">
        <f>Budget!E26</f>
        <v>1500000</v>
      </c>
      <c r="E26" s="12">
        <f>SUMIFS('Clean actuals'!$G$2:$G$75,'Clean actuals'!$B$2:$B$75,A26,'Clean actuals'!$C$2:$C$75,B26,'Clean actuals'!$D$2:$D$75,C26)</f>
        <v>1560000</v>
      </c>
      <c r="F26" s="12">
        <f t="shared" si="0"/>
        <v>60000</v>
      </c>
      <c r="G26" s="13">
        <f t="shared" si="1"/>
        <v>0.04</v>
      </c>
      <c r="H26" s="9" t="str">
        <f t="shared" si="2"/>
        <v>Unfavorable</v>
      </c>
      <c r="I26" s="9" t="str">
        <f t="shared" si="3"/>
        <v>Not material</v>
      </c>
    </row>
    <row r="27" spans="1:9" ht="24" customHeight="1">
      <c r="A27" s="9" t="s">
        <v>337</v>
      </c>
      <c r="B27" s="9" t="s">
        <v>51</v>
      </c>
      <c r="C27" s="9" t="s">
        <v>54</v>
      </c>
      <c r="D27" s="12">
        <f>Budget!E27</f>
        <v>200000</v>
      </c>
      <c r="E27" s="12">
        <f>SUMIFS('Clean actuals'!$G$2:$G$75,'Clean actuals'!$B$2:$B$75,A27,'Clean actuals'!$C$2:$C$75,B27,'Clean actuals'!$D$2:$D$75,C27)</f>
        <v>340000</v>
      </c>
      <c r="F27" s="12">
        <f t="shared" si="0"/>
        <v>140000</v>
      </c>
      <c r="G27" s="13">
        <f t="shared" si="1"/>
        <v>0.7</v>
      </c>
      <c r="H27" s="9" t="str">
        <f t="shared" si="2"/>
        <v>Unfavorable</v>
      </c>
      <c r="I27" s="9" t="str">
        <f t="shared" si="3"/>
        <v>Material</v>
      </c>
    </row>
    <row r="28" spans="1:9" ht="24" customHeight="1">
      <c r="A28" s="9" t="s">
        <v>337</v>
      </c>
      <c r="B28" s="9" t="s">
        <v>51</v>
      </c>
      <c r="C28" s="9" t="s">
        <v>56</v>
      </c>
      <c r="D28" s="12">
        <f>Budget!E28</f>
        <v>80000</v>
      </c>
      <c r="E28" s="12">
        <f>SUMIFS('Clean actuals'!$G$2:$G$75,'Clean actuals'!$B$2:$B$75,A28,'Clean actuals'!$C$2:$C$75,B28,'Clean actuals'!$D$2:$D$75,C28)</f>
        <v>78000</v>
      </c>
      <c r="F28" s="12">
        <f t="shared" si="0"/>
        <v>-2000</v>
      </c>
      <c r="G28" s="13">
        <f t="shared" si="1"/>
        <v>-2.5000000000000001E-2</v>
      </c>
      <c r="H28" s="9" t="str">
        <f t="shared" si="2"/>
        <v>Favorable</v>
      </c>
      <c r="I28" s="9" t="str">
        <f t="shared" si="3"/>
        <v>Not material</v>
      </c>
    </row>
    <row r="29" spans="1:9" ht="24" customHeight="1">
      <c r="A29" s="9" t="s">
        <v>337</v>
      </c>
      <c r="B29" s="9" t="s">
        <v>51</v>
      </c>
      <c r="C29" s="9" t="s">
        <v>58</v>
      </c>
      <c r="D29" s="12">
        <f>Budget!E29</f>
        <v>100000</v>
      </c>
      <c r="E29" s="12">
        <f>SUMIFS('Clean actuals'!$G$2:$G$75,'Clean actuals'!$B$2:$B$75,A29,'Clean actuals'!$C$2:$C$75,B29,'Clean actuals'!$D$2:$D$75,C29)</f>
        <v>104000</v>
      </c>
      <c r="F29" s="12">
        <f t="shared" si="0"/>
        <v>4000</v>
      </c>
      <c r="G29" s="13">
        <f t="shared" si="1"/>
        <v>0.04</v>
      </c>
      <c r="H29" s="9" t="str">
        <f t="shared" si="2"/>
        <v>Unfavorable</v>
      </c>
      <c r="I29" s="9" t="str">
        <f t="shared" si="3"/>
        <v>Not material</v>
      </c>
    </row>
    <row r="30" spans="1:9" ht="24" customHeight="1">
      <c r="A30" s="9" t="s">
        <v>337</v>
      </c>
      <c r="B30" s="9" t="s">
        <v>51</v>
      </c>
      <c r="C30" s="9" t="s">
        <v>60</v>
      </c>
      <c r="D30" s="12">
        <f>Budget!E30</f>
        <v>50000</v>
      </c>
      <c r="E30" s="12">
        <f>SUMIFS('Clean actuals'!$G$2:$G$75,'Clean actuals'!$B$2:$B$75,A30,'Clean actuals'!$C$2:$C$75,B30,'Clean actuals'!$D$2:$D$75,C30)</f>
        <v>51000</v>
      </c>
      <c r="F30" s="12">
        <f t="shared" si="0"/>
        <v>1000</v>
      </c>
      <c r="G30" s="13">
        <f t="shared" si="1"/>
        <v>0.02</v>
      </c>
      <c r="H30" s="9" t="str">
        <f t="shared" si="2"/>
        <v>Unfavorable</v>
      </c>
      <c r="I30" s="9" t="str">
        <f t="shared" si="3"/>
        <v>Not material</v>
      </c>
    </row>
    <row r="31" spans="1:9" ht="24" customHeight="1">
      <c r="A31" s="9" t="s">
        <v>337</v>
      </c>
      <c r="B31" s="9" t="s">
        <v>51</v>
      </c>
      <c r="C31" s="9" t="s">
        <v>62</v>
      </c>
      <c r="D31" s="12">
        <f>Budget!E31</f>
        <v>180000</v>
      </c>
      <c r="E31" s="12">
        <f>SUMIFS('Clean actuals'!$G$2:$G$75,'Clean actuals'!$B$2:$B$75,A31,'Clean actuals'!$C$2:$C$75,B31,'Clean actuals'!$D$2:$D$75,C31)</f>
        <v>175000</v>
      </c>
      <c r="F31" s="12">
        <f t="shared" si="0"/>
        <v>-5000</v>
      </c>
      <c r="G31" s="13">
        <f t="shared" si="1"/>
        <v>-2.7777777777777776E-2</v>
      </c>
      <c r="H31" s="9" t="str">
        <f t="shared" si="2"/>
        <v>Favorable</v>
      </c>
      <c r="I31" s="9" t="str">
        <f t="shared" si="3"/>
        <v>Not material</v>
      </c>
    </row>
    <row r="32" spans="1:9" ht="24" customHeight="1">
      <c r="A32" s="9" t="s">
        <v>337</v>
      </c>
      <c r="B32" s="9" t="s">
        <v>64</v>
      </c>
      <c r="C32" s="9" t="s">
        <v>52</v>
      </c>
      <c r="D32" s="12">
        <f>Budget!E32</f>
        <v>900000</v>
      </c>
      <c r="E32" s="12">
        <f>SUMIFS('Clean actuals'!$G$2:$G$75,'Clean actuals'!$B$2:$B$75,A32,'Clean actuals'!$C$2:$C$75,B32,'Clean actuals'!$D$2:$D$75,C32)</f>
        <v>918000</v>
      </c>
      <c r="F32" s="12">
        <f t="shared" si="0"/>
        <v>18000</v>
      </c>
      <c r="G32" s="13">
        <f t="shared" si="1"/>
        <v>0.02</v>
      </c>
      <c r="H32" s="9" t="str">
        <f t="shared" si="2"/>
        <v>Unfavorable</v>
      </c>
      <c r="I32" s="9" t="str">
        <f t="shared" si="3"/>
        <v>Not material</v>
      </c>
    </row>
    <row r="33" spans="1:9" ht="24" customHeight="1">
      <c r="A33" s="9" t="s">
        <v>337</v>
      </c>
      <c r="B33" s="9" t="s">
        <v>64</v>
      </c>
      <c r="C33" s="9" t="s">
        <v>54</v>
      </c>
      <c r="D33" s="12">
        <f>Budget!E33</f>
        <v>100000</v>
      </c>
      <c r="E33" s="12">
        <f>SUMIFS('Clean actuals'!$G$2:$G$75,'Clean actuals'!$B$2:$B$75,A33,'Clean actuals'!$C$2:$C$75,B33,'Clean actuals'!$D$2:$D$75,C33)</f>
        <v>97000</v>
      </c>
      <c r="F33" s="12">
        <f t="shared" si="0"/>
        <v>-3000</v>
      </c>
      <c r="G33" s="13">
        <f t="shared" si="1"/>
        <v>-0.03</v>
      </c>
      <c r="H33" s="9" t="str">
        <f t="shared" si="2"/>
        <v>Favorable</v>
      </c>
      <c r="I33" s="9" t="str">
        <f t="shared" si="3"/>
        <v>Not material</v>
      </c>
    </row>
    <row r="34" spans="1:9" ht="24" customHeight="1">
      <c r="A34" s="9" t="s">
        <v>337</v>
      </c>
      <c r="B34" s="9" t="s">
        <v>64</v>
      </c>
      <c r="C34" s="9" t="s">
        <v>56</v>
      </c>
      <c r="D34" s="12">
        <f>Budget!E34</f>
        <v>120000</v>
      </c>
      <c r="E34" s="12">
        <f>SUMIFS('Clean actuals'!$G$2:$G$75,'Clean actuals'!$B$2:$B$75,A34,'Clean actuals'!$C$2:$C$75,B34,'Clean actuals'!$D$2:$D$75,C34)</f>
        <v>125000</v>
      </c>
      <c r="F34" s="12">
        <f t="shared" ref="F34:F65" si="4">E34-D34</f>
        <v>5000</v>
      </c>
      <c r="G34" s="13">
        <f t="shared" ref="G34:G65" si="5">IF(D34=0,"n.a.",F34/D34)</f>
        <v>4.1666666666666664E-2</v>
      </c>
      <c r="H34" s="9" t="str">
        <f t="shared" ref="H34:H65" si="6">IF(F34&gt;0,"Unfavorable",IF(F34&lt;0,"Favorable","On budget"))</f>
        <v>Unfavorable</v>
      </c>
      <c r="I34" s="9" t="str">
        <f t="shared" ref="I34:I65" si="7">IF(D34=0,IF(E34&lt;&gt;0,"Unbudgeted","On budget"),IF(AND(ABS(F34)&gt;100000,ABS(G34)&gt;10%),"Material","Not material"))</f>
        <v>Not material</v>
      </c>
    </row>
    <row r="35" spans="1:9" ht="24" customHeight="1">
      <c r="A35" s="9" t="s">
        <v>337</v>
      </c>
      <c r="B35" s="9" t="s">
        <v>64</v>
      </c>
      <c r="C35" s="9" t="s">
        <v>58</v>
      </c>
      <c r="D35" s="12">
        <f>Budget!E35</f>
        <v>180000</v>
      </c>
      <c r="E35" s="12">
        <f>SUMIFS('Clean actuals'!$G$2:$G$75,'Clean actuals'!$B$2:$B$75,A35,'Clean actuals'!$C$2:$C$75,B35,'Clean actuals'!$D$2:$D$75,C35)</f>
        <v>184000</v>
      </c>
      <c r="F35" s="12">
        <f t="shared" si="4"/>
        <v>4000</v>
      </c>
      <c r="G35" s="13">
        <f t="shared" si="5"/>
        <v>2.2222222222222223E-2</v>
      </c>
      <c r="H35" s="9" t="str">
        <f t="shared" si="6"/>
        <v>Unfavorable</v>
      </c>
      <c r="I35" s="9" t="str">
        <f t="shared" si="7"/>
        <v>Not material</v>
      </c>
    </row>
    <row r="36" spans="1:9" ht="24" customHeight="1">
      <c r="A36" s="9" t="s">
        <v>337</v>
      </c>
      <c r="B36" s="9" t="s">
        <v>64</v>
      </c>
      <c r="C36" s="9" t="s">
        <v>60</v>
      </c>
      <c r="D36" s="12">
        <f>Budget!E36</f>
        <v>40000</v>
      </c>
      <c r="E36" s="12">
        <f>SUMIFS('Clean actuals'!$G$2:$G$75,'Clean actuals'!$B$2:$B$75,A36,'Clean actuals'!$C$2:$C$75,B36,'Clean actuals'!$D$2:$D$75,C36)</f>
        <v>39000</v>
      </c>
      <c r="F36" s="12">
        <f t="shared" si="4"/>
        <v>-1000</v>
      </c>
      <c r="G36" s="13">
        <f t="shared" si="5"/>
        <v>-2.5000000000000001E-2</v>
      </c>
      <c r="H36" s="9" t="str">
        <f t="shared" si="6"/>
        <v>Favorable</v>
      </c>
      <c r="I36" s="9" t="str">
        <f t="shared" si="7"/>
        <v>Not material</v>
      </c>
    </row>
    <row r="37" spans="1:9" ht="24" customHeight="1">
      <c r="A37" s="9" t="s">
        <v>337</v>
      </c>
      <c r="B37" s="9" t="s">
        <v>64</v>
      </c>
      <c r="C37" s="9" t="s">
        <v>62</v>
      </c>
      <c r="D37" s="12">
        <f>Budget!E37</f>
        <v>120000</v>
      </c>
      <c r="E37" s="12">
        <f>SUMIFS('Clean actuals'!$G$2:$G$75,'Clean actuals'!$B$2:$B$75,A37,'Clean actuals'!$C$2:$C$75,B37,'Clean actuals'!$D$2:$D$75,C37)</f>
        <v>125000</v>
      </c>
      <c r="F37" s="12">
        <f t="shared" si="4"/>
        <v>5000</v>
      </c>
      <c r="G37" s="13">
        <f t="shared" si="5"/>
        <v>4.1666666666666664E-2</v>
      </c>
      <c r="H37" s="9" t="str">
        <f t="shared" si="6"/>
        <v>Unfavorable</v>
      </c>
      <c r="I37" s="9" t="str">
        <f t="shared" si="7"/>
        <v>Not material</v>
      </c>
    </row>
    <row r="38" spans="1:9" ht="24" customHeight="1">
      <c r="A38" s="9" t="s">
        <v>337</v>
      </c>
      <c r="B38" s="9" t="s">
        <v>71</v>
      </c>
      <c r="C38" s="9" t="s">
        <v>52</v>
      </c>
      <c r="D38" s="12">
        <f>Budget!E38</f>
        <v>2200000</v>
      </c>
      <c r="E38" s="12">
        <f>SUMIFS('Clean actuals'!$G$2:$G$75,'Clean actuals'!$B$2:$B$75,A38,'Clean actuals'!$C$2:$C$75,B38,'Clean actuals'!$D$2:$D$75,C38)</f>
        <v>2134000</v>
      </c>
      <c r="F38" s="12">
        <f t="shared" si="4"/>
        <v>-66000</v>
      </c>
      <c r="G38" s="13">
        <f t="shared" si="5"/>
        <v>-0.03</v>
      </c>
      <c r="H38" s="9" t="str">
        <f t="shared" si="6"/>
        <v>Favorable</v>
      </c>
      <c r="I38" s="9" t="str">
        <f t="shared" si="7"/>
        <v>Not material</v>
      </c>
    </row>
    <row r="39" spans="1:9" ht="24" customHeight="1">
      <c r="A39" s="9" t="s">
        <v>337</v>
      </c>
      <c r="B39" s="9" t="s">
        <v>71</v>
      </c>
      <c r="C39" s="9" t="s">
        <v>54</v>
      </c>
      <c r="D39" s="12">
        <f>Budget!E39</f>
        <v>80000</v>
      </c>
      <c r="E39" s="12">
        <f>SUMIFS('Clean actuals'!$G$2:$G$75,'Clean actuals'!$B$2:$B$75,A39,'Clean actuals'!$C$2:$C$75,B39,'Clean actuals'!$D$2:$D$75,C39)</f>
        <v>83000</v>
      </c>
      <c r="F39" s="12">
        <f t="shared" si="4"/>
        <v>3000</v>
      </c>
      <c r="G39" s="13">
        <f t="shared" si="5"/>
        <v>3.7499999999999999E-2</v>
      </c>
      <c r="H39" s="9" t="str">
        <f t="shared" si="6"/>
        <v>Unfavorable</v>
      </c>
      <c r="I39" s="9" t="str">
        <f t="shared" si="7"/>
        <v>Not material</v>
      </c>
    </row>
    <row r="40" spans="1:9" ht="24" customHeight="1">
      <c r="A40" s="9" t="s">
        <v>337</v>
      </c>
      <c r="B40" s="9" t="s">
        <v>71</v>
      </c>
      <c r="C40" s="9" t="s">
        <v>56</v>
      </c>
      <c r="D40" s="12">
        <f>Budget!E40</f>
        <v>300000</v>
      </c>
      <c r="E40" s="12">
        <f>SUMIFS('Clean actuals'!$G$2:$G$75,'Clean actuals'!$B$2:$B$75,A40,'Clean actuals'!$C$2:$C$75,B40,'Clean actuals'!$D$2:$D$75,C40)</f>
        <v>400000</v>
      </c>
      <c r="F40" s="12">
        <f t="shared" si="4"/>
        <v>100000</v>
      </c>
      <c r="G40" s="13">
        <f t="shared" si="5"/>
        <v>0.33333333333333331</v>
      </c>
      <c r="H40" s="9" t="str">
        <f t="shared" si="6"/>
        <v>Unfavorable</v>
      </c>
      <c r="I40" s="9" t="str">
        <f t="shared" si="7"/>
        <v>Not material</v>
      </c>
    </row>
    <row r="41" spans="1:9" ht="24" customHeight="1">
      <c r="A41" s="9" t="s">
        <v>337</v>
      </c>
      <c r="B41" s="9" t="s">
        <v>71</v>
      </c>
      <c r="C41" s="9" t="s">
        <v>58</v>
      </c>
      <c r="D41" s="12">
        <f>Budget!E41</f>
        <v>200000</v>
      </c>
      <c r="E41" s="12">
        <f>SUMIFS('Clean actuals'!$G$2:$G$75,'Clean actuals'!$B$2:$B$75,A41,'Clean actuals'!$C$2:$C$75,B41,'Clean actuals'!$D$2:$D$75,C41)</f>
        <v>194000</v>
      </c>
      <c r="F41" s="12">
        <f t="shared" si="4"/>
        <v>-6000</v>
      </c>
      <c r="G41" s="13">
        <f t="shared" si="5"/>
        <v>-0.03</v>
      </c>
      <c r="H41" s="9" t="str">
        <f t="shared" si="6"/>
        <v>Favorable</v>
      </c>
      <c r="I41" s="9" t="str">
        <f t="shared" si="7"/>
        <v>Not material</v>
      </c>
    </row>
    <row r="42" spans="1:9" ht="24" customHeight="1">
      <c r="A42" s="9" t="s">
        <v>337</v>
      </c>
      <c r="B42" s="9" t="s">
        <v>71</v>
      </c>
      <c r="C42" s="9" t="s">
        <v>60</v>
      </c>
      <c r="D42" s="12">
        <f>Budget!E42</f>
        <v>70000</v>
      </c>
      <c r="E42" s="12">
        <f>SUMIFS('Clean actuals'!$G$2:$G$75,'Clean actuals'!$B$2:$B$75,A42,'Clean actuals'!$C$2:$C$75,B42,'Clean actuals'!$D$2:$D$75,C42)</f>
        <v>73000</v>
      </c>
      <c r="F42" s="12">
        <f t="shared" si="4"/>
        <v>3000</v>
      </c>
      <c r="G42" s="13">
        <f t="shared" si="5"/>
        <v>4.2857142857142858E-2</v>
      </c>
      <c r="H42" s="9" t="str">
        <f t="shared" si="6"/>
        <v>Unfavorable</v>
      </c>
      <c r="I42" s="9" t="str">
        <f t="shared" si="7"/>
        <v>Not material</v>
      </c>
    </row>
    <row r="43" spans="1:9" ht="24" customHeight="1">
      <c r="A43" s="9" t="s">
        <v>337</v>
      </c>
      <c r="B43" s="9" t="s">
        <v>71</v>
      </c>
      <c r="C43" s="9" t="s">
        <v>62</v>
      </c>
      <c r="D43" s="12">
        <f>Budget!E43</f>
        <v>200000</v>
      </c>
      <c r="E43" s="12">
        <f>SUMIFS('Clean actuals'!$G$2:$G$75,'Clean actuals'!$B$2:$B$75,A43,'Clean actuals'!$C$2:$C$75,B43,'Clean actuals'!$D$2:$D$75,C43)</f>
        <v>204000</v>
      </c>
      <c r="F43" s="12">
        <f t="shared" si="4"/>
        <v>4000</v>
      </c>
      <c r="G43" s="13">
        <f t="shared" si="5"/>
        <v>0.02</v>
      </c>
      <c r="H43" s="9" t="str">
        <f t="shared" si="6"/>
        <v>Unfavorable</v>
      </c>
      <c r="I43" s="9" t="str">
        <f t="shared" si="7"/>
        <v>Not material</v>
      </c>
    </row>
    <row r="44" spans="1:9" ht="24" customHeight="1">
      <c r="A44" s="9" t="s">
        <v>337</v>
      </c>
      <c r="B44" s="9" t="s">
        <v>78</v>
      </c>
      <c r="C44" s="9" t="s">
        <v>52</v>
      </c>
      <c r="D44" s="12">
        <f>Budget!E44</f>
        <v>1100000</v>
      </c>
      <c r="E44" s="12">
        <f>SUMIFS('Clean actuals'!$G$2:$G$75,'Clean actuals'!$B$2:$B$75,A44,'Clean actuals'!$C$2:$C$75,B44,'Clean actuals'!$D$2:$D$75,C44)</f>
        <v>1144000</v>
      </c>
      <c r="F44" s="12">
        <f t="shared" si="4"/>
        <v>44000</v>
      </c>
      <c r="G44" s="13">
        <f t="shared" si="5"/>
        <v>0.04</v>
      </c>
      <c r="H44" s="9" t="str">
        <f t="shared" si="6"/>
        <v>Unfavorable</v>
      </c>
      <c r="I44" s="9" t="str">
        <f t="shared" si="7"/>
        <v>Not material</v>
      </c>
    </row>
    <row r="45" spans="1:9" ht="24" customHeight="1">
      <c r="A45" s="9" t="s">
        <v>337</v>
      </c>
      <c r="B45" s="9" t="s">
        <v>78</v>
      </c>
      <c r="C45" s="9" t="s">
        <v>54</v>
      </c>
      <c r="D45" s="12">
        <f>Budget!E45</f>
        <v>50000</v>
      </c>
      <c r="E45" s="12">
        <f>SUMIFS('Clean actuals'!$G$2:$G$75,'Clean actuals'!$B$2:$B$75,A45,'Clean actuals'!$C$2:$C$75,B45,'Clean actuals'!$D$2:$D$75,C45)</f>
        <v>51000</v>
      </c>
      <c r="F45" s="12">
        <f t="shared" si="4"/>
        <v>1000</v>
      </c>
      <c r="G45" s="13">
        <f t="shared" si="5"/>
        <v>0.02</v>
      </c>
      <c r="H45" s="9" t="str">
        <f t="shared" si="6"/>
        <v>Unfavorable</v>
      </c>
      <c r="I45" s="9" t="str">
        <f t="shared" si="7"/>
        <v>Not material</v>
      </c>
    </row>
    <row r="46" spans="1:9" ht="24" customHeight="1">
      <c r="A46" s="9" t="s">
        <v>337</v>
      </c>
      <c r="B46" s="9" t="s">
        <v>78</v>
      </c>
      <c r="C46" s="9" t="s">
        <v>56</v>
      </c>
      <c r="D46" s="12">
        <f>Budget!E46</f>
        <v>100000</v>
      </c>
      <c r="E46" s="12">
        <f>SUMIFS('Clean actuals'!$G$2:$G$75,'Clean actuals'!$B$2:$B$75,A46,'Clean actuals'!$C$2:$C$75,B46,'Clean actuals'!$D$2:$D$75,C46)</f>
        <v>97000</v>
      </c>
      <c r="F46" s="12">
        <f t="shared" si="4"/>
        <v>-3000</v>
      </c>
      <c r="G46" s="13">
        <f t="shared" si="5"/>
        <v>-0.03</v>
      </c>
      <c r="H46" s="9" t="str">
        <f t="shared" si="6"/>
        <v>Favorable</v>
      </c>
      <c r="I46" s="9" t="str">
        <f t="shared" si="7"/>
        <v>Not material</v>
      </c>
    </row>
    <row r="47" spans="1:9" ht="24" customHeight="1">
      <c r="A47" s="9" t="s">
        <v>337</v>
      </c>
      <c r="B47" s="9" t="s">
        <v>78</v>
      </c>
      <c r="C47" s="9" t="s">
        <v>58</v>
      </c>
      <c r="D47" s="12">
        <f>Budget!E47</f>
        <v>150000</v>
      </c>
      <c r="E47" s="12">
        <f>SUMIFS('Clean actuals'!$G$2:$G$75,'Clean actuals'!$B$2:$B$75,A47,'Clean actuals'!$C$2:$C$75,B47,'Clean actuals'!$D$2:$D$75,C47)</f>
        <v>156000</v>
      </c>
      <c r="F47" s="12">
        <f t="shared" si="4"/>
        <v>6000</v>
      </c>
      <c r="G47" s="13">
        <f t="shared" si="5"/>
        <v>0.04</v>
      </c>
      <c r="H47" s="9" t="str">
        <f t="shared" si="6"/>
        <v>Unfavorable</v>
      </c>
      <c r="I47" s="9" t="str">
        <f t="shared" si="7"/>
        <v>Not material</v>
      </c>
    </row>
    <row r="48" spans="1:9" ht="24" customHeight="1">
      <c r="A48" s="9" t="s">
        <v>337</v>
      </c>
      <c r="B48" s="9" t="s">
        <v>78</v>
      </c>
      <c r="C48" s="9" t="s">
        <v>60</v>
      </c>
      <c r="D48" s="12">
        <f>Budget!E48</f>
        <v>30000</v>
      </c>
      <c r="E48" s="12">
        <f>SUMIFS('Clean actuals'!$G$2:$G$75,'Clean actuals'!$B$2:$B$75,A48,'Clean actuals'!$C$2:$C$75,B48,'Clean actuals'!$D$2:$D$75,C48)</f>
        <v>30000</v>
      </c>
      <c r="F48" s="12">
        <f t="shared" si="4"/>
        <v>0</v>
      </c>
      <c r="G48" s="13">
        <f t="shared" si="5"/>
        <v>0</v>
      </c>
      <c r="H48" s="9" t="str">
        <f t="shared" si="6"/>
        <v>On budget</v>
      </c>
      <c r="I48" s="9" t="str">
        <f t="shared" si="7"/>
        <v>Not material</v>
      </c>
    </row>
    <row r="49" spans="1:9" ht="24" customHeight="1">
      <c r="A49" s="9" t="s">
        <v>337</v>
      </c>
      <c r="B49" s="9" t="s">
        <v>78</v>
      </c>
      <c r="C49" s="9" t="s">
        <v>62</v>
      </c>
      <c r="D49" s="12">
        <f>Budget!E49</f>
        <v>100000</v>
      </c>
      <c r="E49" s="12">
        <f>SUMIFS('Clean actuals'!$G$2:$G$75,'Clean actuals'!$B$2:$B$75,A49,'Clean actuals'!$C$2:$C$75,B49,'Clean actuals'!$D$2:$D$75,C49)</f>
        <v>97000</v>
      </c>
      <c r="F49" s="12">
        <f t="shared" si="4"/>
        <v>-3000</v>
      </c>
      <c r="G49" s="13">
        <f t="shared" si="5"/>
        <v>-0.03</v>
      </c>
      <c r="H49" s="9" t="str">
        <f t="shared" si="6"/>
        <v>Favorable</v>
      </c>
      <c r="I49" s="9" t="str">
        <f t="shared" si="7"/>
        <v>Not material</v>
      </c>
    </row>
    <row r="50" spans="1:9" ht="24" customHeight="1">
      <c r="A50" s="9" t="s">
        <v>338</v>
      </c>
      <c r="B50" s="9" t="s">
        <v>51</v>
      </c>
      <c r="C50" s="9" t="s">
        <v>52</v>
      </c>
      <c r="D50" s="12">
        <f>Budget!E50</f>
        <v>1500000</v>
      </c>
      <c r="E50" s="12">
        <f>SUMIFS('Clean actuals'!$G$2:$G$75,'Clean actuals'!$B$2:$B$75,A50,'Clean actuals'!$C$2:$C$75,B50,'Clean actuals'!$D$2:$D$75,C50)</f>
        <v>1530000</v>
      </c>
      <c r="F50" s="12">
        <f t="shared" si="4"/>
        <v>30000</v>
      </c>
      <c r="G50" s="13">
        <f t="shared" si="5"/>
        <v>0.02</v>
      </c>
      <c r="H50" s="9" t="str">
        <f t="shared" si="6"/>
        <v>Unfavorable</v>
      </c>
      <c r="I50" s="9" t="str">
        <f t="shared" si="7"/>
        <v>Not material</v>
      </c>
    </row>
    <row r="51" spans="1:9" ht="24" customHeight="1">
      <c r="A51" s="9" t="s">
        <v>338</v>
      </c>
      <c r="B51" s="9" t="s">
        <v>51</v>
      </c>
      <c r="C51" s="9" t="s">
        <v>54</v>
      </c>
      <c r="D51" s="12">
        <f>Budget!E51</f>
        <v>200000</v>
      </c>
      <c r="E51" s="12">
        <f>SUMIFS('Clean actuals'!$G$2:$G$75,'Clean actuals'!$B$2:$B$75,A51,'Clean actuals'!$C$2:$C$75,B51,'Clean actuals'!$D$2:$D$75,C51)</f>
        <v>194000</v>
      </c>
      <c r="F51" s="12">
        <f t="shared" si="4"/>
        <v>-6000</v>
      </c>
      <c r="G51" s="13">
        <f t="shared" si="5"/>
        <v>-0.03</v>
      </c>
      <c r="H51" s="9" t="str">
        <f t="shared" si="6"/>
        <v>Favorable</v>
      </c>
      <c r="I51" s="9" t="str">
        <f t="shared" si="7"/>
        <v>Not material</v>
      </c>
    </row>
    <row r="52" spans="1:9" ht="24" customHeight="1">
      <c r="A52" s="9" t="s">
        <v>338</v>
      </c>
      <c r="B52" s="9" t="s">
        <v>51</v>
      </c>
      <c r="C52" s="9" t="s">
        <v>56</v>
      </c>
      <c r="D52" s="12">
        <f>Budget!E52</f>
        <v>80000</v>
      </c>
      <c r="E52" s="12">
        <f>SUMIFS('Clean actuals'!$G$2:$G$75,'Clean actuals'!$B$2:$B$75,A52,'Clean actuals'!$C$2:$C$75,B52,'Clean actuals'!$D$2:$D$75,C52)</f>
        <v>83000</v>
      </c>
      <c r="F52" s="12">
        <f t="shared" si="4"/>
        <v>3000</v>
      </c>
      <c r="G52" s="13">
        <f t="shared" si="5"/>
        <v>3.7499999999999999E-2</v>
      </c>
      <c r="H52" s="9" t="str">
        <f t="shared" si="6"/>
        <v>Unfavorable</v>
      </c>
      <c r="I52" s="9" t="str">
        <f t="shared" si="7"/>
        <v>Not material</v>
      </c>
    </row>
    <row r="53" spans="1:9" ht="24" customHeight="1">
      <c r="A53" s="9" t="s">
        <v>338</v>
      </c>
      <c r="B53" s="9" t="s">
        <v>51</v>
      </c>
      <c r="C53" s="9" t="s">
        <v>58</v>
      </c>
      <c r="D53" s="12">
        <f>Budget!E53</f>
        <v>100000</v>
      </c>
      <c r="E53" s="12">
        <f>SUMIFS('Clean actuals'!$G$2:$G$75,'Clean actuals'!$B$2:$B$75,A53,'Clean actuals'!$C$2:$C$75,B53,'Clean actuals'!$D$2:$D$75,C53)</f>
        <v>102000</v>
      </c>
      <c r="F53" s="12">
        <f t="shared" si="4"/>
        <v>2000</v>
      </c>
      <c r="G53" s="13">
        <f t="shared" si="5"/>
        <v>0.02</v>
      </c>
      <c r="H53" s="9" t="str">
        <f t="shared" si="6"/>
        <v>Unfavorable</v>
      </c>
      <c r="I53" s="9" t="str">
        <f t="shared" si="7"/>
        <v>Not material</v>
      </c>
    </row>
    <row r="54" spans="1:9" ht="24" customHeight="1">
      <c r="A54" s="9" t="s">
        <v>338</v>
      </c>
      <c r="B54" s="9" t="s">
        <v>51</v>
      </c>
      <c r="C54" s="9" t="s">
        <v>60</v>
      </c>
      <c r="D54" s="12">
        <f>Budget!E54</f>
        <v>50000</v>
      </c>
      <c r="E54" s="12">
        <f>SUMIFS('Clean actuals'!$G$2:$G$75,'Clean actuals'!$B$2:$B$75,A54,'Clean actuals'!$C$2:$C$75,B54,'Clean actuals'!$D$2:$D$75,C54)</f>
        <v>49000</v>
      </c>
      <c r="F54" s="12">
        <f t="shared" si="4"/>
        <v>-1000</v>
      </c>
      <c r="G54" s="13">
        <f t="shared" si="5"/>
        <v>-0.02</v>
      </c>
      <c r="H54" s="9" t="str">
        <f t="shared" si="6"/>
        <v>Favorable</v>
      </c>
      <c r="I54" s="9" t="str">
        <f t="shared" si="7"/>
        <v>Not material</v>
      </c>
    </row>
    <row r="55" spans="1:9" ht="24" customHeight="1">
      <c r="A55" s="9" t="s">
        <v>338</v>
      </c>
      <c r="B55" s="9" t="s">
        <v>51</v>
      </c>
      <c r="C55" s="9" t="s">
        <v>62</v>
      </c>
      <c r="D55" s="12">
        <f>Budget!E55</f>
        <v>180000</v>
      </c>
      <c r="E55" s="12">
        <f>SUMIFS('Clean actuals'!$G$2:$G$75,'Clean actuals'!$B$2:$B$75,A55,'Clean actuals'!$C$2:$C$75,B55,'Clean actuals'!$D$2:$D$75,C55)</f>
        <v>187000</v>
      </c>
      <c r="F55" s="12">
        <f t="shared" si="4"/>
        <v>7000</v>
      </c>
      <c r="G55" s="13">
        <f t="shared" si="5"/>
        <v>3.888888888888889E-2</v>
      </c>
      <c r="H55" s="9" t="str">
        <f t="shared" si="6"/>
        <v>Unfavorable</v>
      </c>
      <c r="I55" s="9" t="str">
        <f t="shared" si="7"/>
        <v>Not material</v>
      </c>
    </row>
    <row r="56" spans="1:9" ht="24" customHeight="1">
      <c r="A56" s="9" t="s">
        <v>338</v>
      </c>
      <c r="B56" s="9" t="s">
        <v>64</v>
      </c>
      <c r="C56" s="9" t="s">
        <v>52</v>
      </c>
      <c r="D56" s="12">
        <f>Budget!E56</f>
        <v>900000</v>
      </c>
      <c r="E56" s="12">
        <f>SUMIFS('Clean actuals'!$G$2:$G$75,'Clean actuals'!$B$2:$B$75,A56,'Clean actuals'!$C$2:$C$75,B56,'Clean actuals'!$D$2:$D$75,C56)</f>
        <v>873000</v>
      </c>
      <c r="F56" s="12">
        <f t="shared" si="4"/>
        <v>-27000</v>
      </c>
      <c r="G56" s="13">
        <f t="shared" si="5"/>
        <v>-0.03</v>
      </c>
      <c r="H56" s="9" t="str">
        <f t="shared" si="6"/>
        <v>Favorable</v>
      </c>
      <c r="I56" s="9" t="str">
        <f t="shared" si="7"/>
        <v>Not material</v>
      </c>
    </row>
    <row r="57" spans="1:9" ht="24" customHeight="1">
      <c r="A57" s="9" t="s">
        <v>338</v>
      </c>
      <c r="B57" s="9" t="s">
        <v>64</v>
      </c>
      <c r="C57" s="9" t="s">
        <v>54</v>
      </c>
      <c r="D57" s="12">
        <f>Budget!E57</f>
        <v>100000</v>
      </c>
      <c r="E57" s="12">
        <f>SUMIFS('Clean actuals'!$G$2:$G$75,'Clean actuals'!$B$2:$B$75,A57,'Clean actuals'!$C$2:$C$75,B57,'Clean actuals'!$D$2:$D$75,C57)</f>
        <v>104000</v>
      </c>
      <c r="F57" s="12">
        <f t="shared" si="4"/>
        <v>4000</v>
      </c>
      <c r="G57" s="13">
        <f t="shared" si="5"/>
        <v>0.04</v>
      </c>
      <c r="H57" s="9" t="str">
        <f t="shared" si="6"/>
        <v>Unfavorable</v>
      </c>
      <c r="I57" s="9" t="str">
        <f t="shared" si="7"/>
        <v>Not material</v>
      </c>
    </row>
    <row r="58" spans="1:9" ht="24" customHeight="1">
      <c r="A58" s="9" t="s">
        <v>338</v>
      </c>
      <c r="B58" s="9" t="s">
        <v>64</v>
      </c>
      <c r="C58" s="9" t="s">
        <v>56</v>
      </c>
      <c r="D58" s="12">
        <f>Budget!E58</f>
        <v>120000</v>
      </c>
      <c r="E58" s="12">
        <f>SUMIFS('Clean actuals'!$G$2:$G$75,'Clean actuals'!$B$2:$B$75,A58,'Clean actuals'!$C$2:$C$75,B58,'Clean actuals'!$D$2:$D$75,C58)</f>
        <v>122000</v>
      </c>
      <c r="F58" s="12">
        <f t="shared" si="4"/>
        <v>2000</v>
      </c>
      <c r="G58" s="13">
        <f t="shared" si="5"/>
        <v>1.6666666666666666E-2</v>
      </c>
      <c r="H58" s="9" t="str">
        <f t="shared" si="6"/>
        <v>Unfavorable</v>
      </c>
      <c r="I58" s="9" t="str">
        <f t="shared" si="7"/>
        <v>Not material</v>
      </c>
    </row>
    <row r="59" spans="1:9" ht="24" customHeight="1">
      <c r="A59" s="9" t="s">
        <v>338</v>
      </c>
      <c r="B59" s="9" t="s">
        <v>64</v>
      </c>
      <c r="C59" s="9" t="s">
        <v>58</v>
      </c>
      <c r="D59" s="12">
        <f>Budget!E59</f>
        <v>180000</v>
      </c>
      <c r="E59" s="12">
        <f>SUMIFS('Clean actuals'!$G$2:$G$75,'Clean actuals'!$B$2:$B$75,A59,'Clean actuals'!$C$2:$C$75,B59,'Clean actuals'!$D$2:$D$75,C59)</f>
        <v>600000</v>
      </c>
      <c r="F59" s="12">
        <f t="shared" si="4"/>
        <v>420000</v>
      </c>
      <c r="G59" s="13">
        <f t="shared" si="5"/>
        <v>2.3333333333333335</v>
      </c>
      <c r="H59" s="9" t="str">
        <f t="shared" si="6"/>
        <v>Unfavorable</v>
      </c>
      <c r="I59" s="9" t="str">
        <f t="shared" si="7"/>
        <v>Material</v>
      </c>
    </row>
    <row r="60" spans="1:9" ht="24" customHeight="1">
      <c r="A60" s="9" t="s">
        <v>338</v>
      </c>
      <c r="B60" s="9" t="s">
        <v>64</v>
      </c>
      <c r="C60" s="9" t="s">
        <v>60</v>
      </c>
      <c r="D60" s="12">
        <f>Budget!E60</f>
        <v>0</v>
      </c>
      <c r="E60" s="12">
        <f>SUMIFS('Clean actuals'!$G$2:$G$75,'Clean actuals'!$B$2:$B$75,A60,'Clean actuals'!$C$2:$C$75,B60,'Clean actuals'!$D$2:$D$75,C60)</f>
        <v>120000</v>
      </c>
      <c r="F60" s="12">
        <f t="shared" si="4"/>
        <v>120000</v>
      </c>
      <c r="G60" s="13" t="str">
        <f t="shared" si="5"/>
        <v>n.a.</v>
      </c>
      <c r="H60" s="9" t="str">
        <f t="shared" si="6"/>
        <v>Unfavorable</v>
      </c>
      <c r="I60" s="9" t="str">
        <f t="shared" si="7"/>
        <v>Unbudgeted</v>
      </c>
    </row>
    <row r="61" spans="1:9" ht="24" customHeight="1">
      <c r="A61" s="9" t="s">
        <v>338</v>
      </c>
      <c r="B61" s="9" t="s">
        <v>64</v>
      </c>
      <c r="C61" s="9" t="s">
        <v>62</v>
      </c>
      <c r="D61" s="12">
        <f>Budget!E61</f>
        <v>120000</v>
      </c>
      <c r="E61" s="12">
        <f>SUMIFS('Clean actuals'!$G$2:$G$75,'Clean actuals'!$B$2:$B$75,A61,'Clean actuals'!$C$2:$C$75,B61,'Clean actuals'!$D$2:$D$75,C61)</f>
        <v>122000</v>
      </c>
      <c r="F61" s="12">
        <f t="shared" si="4"/>
        <v>2000</v>
      </c>
      <c r="G61" s="13">
        <f t="shared" si="5"/>
        <v>1.6666666666666666E-2</v>
      </c>
      <c r="H61" s="9" t="str">
        <f t="shared" si="6"/>
        <v>Unfavorable</v>
      </c>
      <c r="I61" s="9" t="str">
        <f t="shared" si="7"/>
        <v>Not material</v>
      </c>
    </row>
    <row r="62" spans="1:9" ht="24" customHeight="1">
      <c r="A62" s="9" t="s">
        <v>338</v>
      </c>
      <c r="B62" s="9" t="s">
        <v>71</v>
      </c>
      <c r="C62" s="9" t="s">
        <v>52</v>
      </c>
      <c r="D62" s="12">
        <f>Budget!E62</f>
        <v>2200000</v>
      </c>
      <c r="E62" s="12">
        <f>SUMIFS('Clean actuals'!$G$2:$G$75,'Clean actuals'!$B$2:$B$75,A62,'Clean actuals'!$C$2:$C$75,B62,'Clean actuals'!$D$2:$D$75,C62)</f>
        <v>2288000</v>
      </c>
      <c r="F62" s="12">
        <f t="shared" si="4"/>
        <v>88000</v>
      </c>
      <c r="G62" s="13">
        <f t="shared" si="5"/>
        <v>0.04</v>
      </c>
      <c r="H62" s="9" t="str">
        <f t="shared" si="6"/>
        <v>Unfavorable</v>
      </c>
      <c r="I62" s="9" t="str">
        <f t="shared" si="7"/>
        <v>Not material</v>
      </c>
    </row>
    <row r="63" spans="1:9" ht="24" customHeight="1">
      <c r="A63" s="9" t="s">
        <v>338</v>
      </c>
      <c r="B63" s="9" t="s">
        <v>71</v>
      </c>
      <c r="C63" s="9" t="s">
        <v>54</v>
      </c>
      <c r="D63" s="12">
        <f>Budget!E63</f>
        <v>80000</v>
      </c>
      <c r="E63" s="12">
        <f>SUMIFS('Clean actuals'!$G$2:$G$75,'Clean actuals'!$B$2:$B$75,A63,'Clean actuals'!$C$2:$C$75,B63,'Clean actuals'!$D$2:$D$75,C63)</f>
        <v>82000</v>
      </c>
      <c r="F63" s="12">
        <f t="shared" si="4"/>
        <v>2000</v>
      </c>
      <c r="G63" s="13">
        <f t="shared" si="5"/>
        <v>2.5000000000000001E-2</v>
      </c>
      <c r="H63" s="9" t="str">
        <f t="shared" si="6"/>
        <v>Unfavorable</v>
      </c>
      <c r="I63" s="9" t="str">
        <f t="shared" si="7"/>
        <v>Not material</v>
      </c>
    </row>
    <row r="64" spans="1:9" ht="24" customHeight="1">
      <c r="A64" s="9" t="s">
        <v>338</v>
      </c>
      <c r="B64" s="9" t="s">
        <v>71</v>
      </c>
      <c r="C64" s="9" t="s">
        <v>56</v>
      </c>
      <c r="D64" s="12">
        <f>Budget!E64</f>
        <v>300000</v>
      </c>
      <c r="E64" s="12">
        <f>SUMIFS('Clean actuals'!$G$2:$G$75,'Clean actuals'!$B$2:$B$75,A64,'Clean actuals'!$C$2:$C$75,B64,'Clean actuals'!$D$2:$D$75,C64)</f>
        <v>430000</v>
      </c>
      <c r="F64" s="12">
        <f t="shared" si="4"/>
        <v>130000</v>
      </c>
      <c r="G64" s="13">
        <f t="shared" si="5"/>
        <v>0.43333333333333335</v>
      </c>
      <c r="H64" s="9" t="str">
        <f t="shared" si="6"/>
        <v>Unfavorable</v>
      </c>
      <c r="I64" s="9" t="str">
        <f t="shared" si="7"/>
        <v>Material</v>
      </c>
    </row>
    <row r="65" spans="1:9" ht="24" customHeight="1">
      <c r="A65" s="9" t="s">
        <v>338</v>
      </c>
      <c r="B65" s="9" t="s">
        <v>71</v>
      </c>
      <c r="C65" s="9" t="s">
        <v>58</v>
      </c>
      <c r="D65" s="12">
        <f>Budget!E65</f>
        <v>200000</v>
      </c>
      <c r="E65" s="12">
        <f>SUMIFS('Clean actuals'!$G$2:$G$75,'Clean actuals'!$B$2:$B$75,A65,'Clean actuals'!$C$2:$C$75,B65,'Clean actuals'!$D$2:$D$75,C65)</f>
        <v>208000</v>
      </c>
      <c r="F65" s="12">
        <f t="shared" si="4"/>
        <v>8000</v>
      </c>
      <c r="G65" s="13">
        <f t="shared" si="5"/>
        <v>0.04</v>
      </c>
      <c r="H65" s="9" t="str">
        <f t="shared" si="6"/>
        <v>Unfavorable</v>
      </c>
      <c r="I65" s="9" t="str">
        <f t="shared" si="7"/>
        <v>Not material</v>
      </c>
    </row>
    <row r="66" spans="1:9" ht="24" customHeight="1">
      <c r="A66" s="9" t="s">
        <v>338</v>
      </c>
      <c r="B66" s="9" t="s">
        <v>71</v>
      </c>
      <c r="C66" s="9" t="s">
        <v>60</v>
      </c>
      <c r="D66" s="12">
        <f>Budget!E66</f>
        <v>70000</v>
      </c>
      <c r="E66" s="12">
        <f>SUMIFS('Clean actuals'!$G$2:$G$75,'Clean actuals'!$B$2:$B$75,A66,'Clean actuals'!$C$2:$C$75,B66,'Clean actuals'!$D$2:$D$75,C66)</f>
        <v>71000</v>
      </c>
      <c r="F66" s="12">
        <f t="shared" ref="F66:F97" si="8">E66-D66</f>
        <v>1000</v>
      </c>
      <c r="G66" s="13">
        <f t="shared" ref="G66:G97" si="9">IF(D66=0,"n.a.",F66/D66)</f>
        <v>1.4285714285714285E-2</v>
      </c>
      <c r="H66" s="9" t="str">
        <f t="shared" ref="H66:H102" si="10">IF(F66&gt;0,"Unfavorable",IF(F66&lt;0,"Favorable","On budget"))</f>
        <v>Unfavorable</v>
      </c>
      <c r="I66" s="9" t="str">
        <f t="shared" ref="I66:I102" si="11">IF(D66=0,IF(E66&lt;&gt;0,"Unbudgeted","On budget"),IF(AND(ABS(F66)&gt;100000,ABS(G66)&gt;10%),"Material","Not material"))</f>
        <v>Not material</v>
      </c>
    </row>
    <row r="67" spans="1:9" ht="24" customHeight="1">
      <c r="A67" s="9" t="s">
        <v>338</v>
      </c>
      <c r="B67" s="9" t="s">
        <v>71</v>
      </c>
      <c r="C67" s="9" t="s">
        <v>62</v>
      </c>
      <c r="D67" s="12">
        <f>Budget!E67</f>
        <v>200000</v>
      </c>
      <c r="E67" s="12">
        <f>SUMIFS('Clean actuals'!$G$2:$G$75,'Clean actuals'!$B$2:$B$75,A67,'Clean actuals'!$C$2:$C$75,B67,'Clean actuals'!$D$2:$D$75,C67)</f>
        <v>194000</v>
      </c>
      <c r="F67" s="12">
        <f t="shared" si="8"/>
        <v>-6000</v>
      </c>
      <c r="G67" s="13">
        <f t="shared" si="9"/>
        <v>-0.03</v>
      </c>
      <c r="H67" s="9" t="str">
        <f t="shared" si="10"/>
        <v>Favorable</v>
      </c>
      <c r="I67" s="9" t="str">
        <f t="shared" si="11"/>
        <v>Not material</v>
      </c>
    </row>
    <row r="68" spans="1:9" ht="24" customHeight="1">
      <c r="A68" s="9" t="s">
        <v>338</v>
      </c>
      <c r="B68" s="9" t="s">
        <v>78</v>
      </c>
      <c r="C68" s="9" t="s">
        <v>52</v>
      </c>
      <c r="D68" s="12">
        <f>Budget!E68</f>
        <v>1100000</v>
      </c>
      <c r="E68" s="12">
        <f>SUMIFS('Clean actuals'!$G$2:$G$75,'Clean actuals'!$B$2:$B$75,A68,'Clean actuals'!$C$2:$C$75,B68,'Clean actuals'!$D$2:$D$75,C68)</f>
        <v>1122000</v>
      </c>
      <c r="F68" s="12">
        <f t="shared" si="8"/>
        <v>22000</v>
      </c>
      <c r="G68" s="13">
        <f t="shared" si="9"/>
        <v>0.02</v>
      </c>
      <c r="H68" s="9" t="str">
        <f t="shared" si="10"/>
        <v>Unfavorable</v>
      </c>
      <c r="I68" s="9" t="str">
        <f t="shared" si="11"/>
        <v>Not material</v>
      </c>
    </row>
    <row r="69" spans="1:9" ht="24" customHeight="1">
      <c r="A69" s="9" t="s">
        <v>338</v>
      </c>
      <c r="B69" s="9" t="s">
        <v>78</v>
      </c>
      <c r="C69" s="9" t="s">
        <v>54</v>
      </c>
      <c r="D69" s="12">
        <f>Budget!E69</f>
        <v>50000</v>
      </c>
      <c r="E69" s="12">
        <f>SUMIFS('Clean actuals'!$G$2:$G$75,'Clean actuals'!$B$2:$B$75,A69,'Clean actuals'!$C$2:$C$75,B69,'Clean actuals'!$D$2:$D$75,C69)</f>
        <v>49000</v>
      </c>
      <c r="F69" s="12">
        <f t="shared" si="8"/>
        <v>-1000</v>
      </c>
      <c r="G69" s="13">
        <f t="shared" si="9"/>
        <v>-0.02</v>
      </c>
      <c r="H69" s="9" t="str">
        <f t="shared" si="10"/>
        <v>Favorable</v>
      </c>
      <c r="I69" s="9" t="str">
        <f t="shared" si="11"/>
        <v>Not material</v>
      </c>
    </row>
    <row r="70" spans="1:9" ht="24" customHeight="1">
      <c r="A70" s="9" t="s">
        <v>338</v>
      </c>
      <c r="B70" s="9" t="s">
        <v>78</v>
      </c>
      <c r="C70" s="9" t="s">
        <v>56</v>
      </c>
      <c r="D70" s="12">
        <f>Budget!E70</f>
        <v>100000</v>
      </c>
      <c r="E70" s="12">
        <f>SUMIFS('Clean actuals'!$G$2:$G$75,'Clean actuals'!$B$2:$B$75,A70,'Clean actuals'!$C$2:$C$75,B70,'Clean actuals'!$D$2:$D$75,C70)</f>
        <v>104000</v>
      </c>
      <c r="F70" s="12">
        <f t="shared" si="8"/>
        <v>4000</v>
      </c>
      <c r="G70" s="13">
        <f t="shared" si="9"/>
        <v>0.04</v>
      </c>
      <c r="H70" s="9" t="str">
        <f t="shared" si="10"/>
        <v>Unfavorable</v>
      </c>
      <c r="I70" s="9" t="str">
        <f t="shared" si="11"/>
        <v>Not material</v>
      </c>
    </row>
    <row r="71" spans="1:9" ht="24" customHeight="1">
      <c r="A71" s="9" t="s">
        <v>338</v>
      </c>
      <c r="B71" s="9" t="s">
        <v>78</v>
      </c>
      <c r="C71" s="9" t="s">
        <v>58</v>
      </c>
      <c r="D71" s="12">
        <f>Budget!E71</f>
        <v>150000</v>
      </c>
      <c r="E71" s="12">
        <f>SUMIFS('Clean actuals'!$G$2:$G$75,'Clean actuals'!$B$2:$B$75,A71,'Clean actuals'!$C$2:$C$75,B71,'Clean actuals'!$D$2:$D$75,C71)</f>
        <v>153000</v>
      </c>
      <c r="F71" s="12">
        <f t="shared" si="8"/>
        <v>3000</v>
      </c>
      <c r="G71" s="13">
        <f t="shared" si="9"/>
        <v>0.02</v>
      </c>
      <c r="H71" s="9" t="str">
        <f t="shared" si="10"/>
        <v>Unfavorable</v>
      </c>
      <c r="I71" s="9" t="str">
        <f t="shared" si="11"/>
        <v>Not material</v>
      </c>
    </row>
    <row r="72" spans="1:9" ht="24" customHeight="1">
      <c r="A72" s="9" t="s">
        <v>338</v>
      </c>
      <c r="B72" s="9" t="s">
        <v>78</v>
      </c>
      <c r="C72" s="9" t="s">
        <v>60</v>
      </c>
      <c r="D72" s="12">
        <f>Budget!E72</f>
        <v>30000</v>
      </c>
      <c r="E72" s="12">
        <f>SUMIFS('Clean actuals'!$G$2:$G$75,'Clean actuals'!$B$2:$B$75,A72,'Clean actuals'!$C$2:$C$75,B72,'Clean actuals'!$D$2:$D$75,C72)</f>
        <v>29000</v>
      </c>
      <c r="F72" s="12">
        <f t="shared" si="8"/>
        <v>-1000</v>
      </c>
      <c r="G72" s="13">
        <f t="shared" si="9"/>
        <v>-3.3333333333333333E-2</v>
      </c>
      <c r="H72" s="9" t="str">
        <f t="shared" si="10"/>
        <v>Favorable</v>
      </c>
      <c r="I72" s="9" t="str">
        <f t="shared" si="11"/>
        <v>Not material</v>
      </c>
    </row>
    <row r="73" spans="1:9" ht="24" customHeight="1">
      <c r="A73" s="9" t="s">
        <v>338</v>
      </c>
      <c r="B73" s="9" t="s">
        <v>78</v>
      </c>
      <c r="C73" s="9" t="s">
        <v>62</v>
      </c>
      <c r="D73" s="12">
        <f>Budget!E73</f>
        <v>100000</v>
      </c>
      <c r="E73" s="12">
        <f>SUMIFS('Clean actuals'!$G$2:$G$75,'Clean actuals'!$B$2:$B$75,A73,'Clean actuals'!$C$2:$C$75,B73,'Clean actuals'!$D$2:$D$75,C73)</f>
        <v>104000</v>
      </c>
      <c r="F73" s="12">
        <f t="shared" si="8"/>
        <v>4000</v>
      </c>
      <c r="G73" s="13">
        <f t="shared" si="9"/>
        <v>0.04</v>
      </c>
      <c r="H73" s="9" t="str">
        <f t="shared" si="10"/>
        <v>Unfavorable</v>
      </c>
      <c r="I73" s="9" t="str">
        <f t="shared" si="11"/>
        <v>Not material</v>
      </c>
    </row>
    <row r="74" spans="1:9" ht="24" customHeight="1">
      <c r="A74" s="9" t="s">
        <v>360</v>
      </c>
      <c r="B74" s="9" t="s">
        <v>51</v>
      </c>
      <c r="C74" s="9" t="s">
        <v>52</v>
      </c>
      <c r="D74" s="12">
        <f t="shared" ref="D74:E97" si="12">SUM(D2,D26,D50)</f>
        <v>4500000</v>
      </c>
      <c r="E74" s="12">
        <f t="shared" si="12"/>
        <v>4545000</v>
      </c>
      <c r="F74" s="12">
        <f t="shared" si="8"/>
        <v>45000</v>
      </c>
      <c r="G74" s="13">
        <f t="shared" si="9"/>
        <v>0.01</v>
      </c>
      <c r="H74" s="9" t="str">
        <f t="shared" si="10"/>
        <v>Unfavorable</v>
      </c>
      <c r="I74" s="9" t="str">
        <f t="shared" si="11"/>
        <v>Not material</v>
      </c>
    </row>
    <row r="75" spans="1:9" ht="24" customHeight="1">
      <c r="A75" s="9" t="s">
        <v>360</v>
      </c>
      <c r="B75" s="9" t="s">
        <v>51</v>
      </c>
      <c r="C75" s="9" t="s">
        <v>54</v>
      </c>
      <c r="D75" s="12">
        <f t="shared" si="12"/>
        <v>600000</v>
      </c>
      <c r="E75" s="12">
        <f t="shared" si="12"/>
        <v>742000</v>
      </c>
      <c r="F75" s="12">
        <f t="shared" si="8"/>
        <v>142000</v>
      </c>
      <c r="G75" s="13">
        <f t="shared" si="9"/>
        <v>0.23666666666666666</v>
      </c>
      <c r="H75" s="9" t="str">
        <f t="shared" si="10"/>
        <v>Unfavorable</v>
      </c>
      <c r="I75" s="9" t="str">
        <f t="shared" si="11"/>
        <v>Material</v>
      </c>
    </row>
    <row r="76" spans="1:9" ht="24" customHeight="1">
      <c r="A76" s="9" t="s">
        <v>360</v>
      </c>
      <c r="B76" s="9" t="s">
        <v>51</v>
      </c>
      <c r="C76" s="9" t="s">
        <v>56</v>
      </c>
      <c r="D76" s="12">
        <f t="shared" si="12"/>
        <v>240000</v>
      </c>
      <c r="E76" s="12">
        <f t="shared" si="12"/>
        <v>243000</v>
      </c>
      <c r="F76" s="12">
        <f t="shared" si="8"/>
        <v>3000</v>
      </c>
      <c r="G76" s="13">
        <f t="shared" si="9"/>
        <v>1.2500000000000001E-2</v>
      </c>
      <c r="H76" s="9" t="str">
        <f t="shared" si="10"/>
        <v>Unfavorable</v>
      </c>
      <c r="I76" s="9" t="str">
        <f t="shared" si="11"/>
        <v>Not material</v>
      </c>
    </row>
    <row r="77" spans="1:9" ht="24" customHeight="1">
      <c r="A77" s="9" t="s">
        <v>360</v>
      </c>
      <c r="B77" s="9" t="s">
        <v>51</v>
      </c>
      <c r="C77" s="9" t="s">
        <v>58</v>
      </c>
      <c r="D77" s="12">
        <f t="shared" si="12"/>
        <v>300000</v>
      </c>
      <c r="E77" s="12">
        <f t="shared" si="12"/>
        <v>303000</v>
      </c>
      <c r="F77" s="12">
        <f t="shared" si="8"/>
        <v>3000</v>
      </c>
      <c r="G77" s="13">
        <f t="shared" si="9"/>
        <v>0.01</v>
      </c>
      <c r="H77" s="9" t="str">
        <f t="shared" si="10"/>
        <v>Unfavorable</v>
      </c>
      <c r="I77" s="9" t="str">
        <f t="shared" si="11"/>
        <v>Not material</v>
      </c>
    </row>
    <row r="78" spans="1:9" ht="24" customHeight="1">
      <c r="A78" s="9" t="s">
        <v>360</v>
      </c>
      <c r="B78" s="9" t="s">
        <v>51</v>
      </c>
      <c r="C78" s="9" t="s">
        <v>60</v>
      </c>
      <c r="D78" s="12">
        <f t="shared" si="12"/>
        <v>150000</v>
      </c>
      <c r="E78" s="12">
        <f t="shared" si="12"/>
        <v>152000</v>
      </c>
      <c r="F78" s="12">
        <f t="shared" si="8"/>
        <v>2000</v>
      </c>
      <c r="G78" s="13">
        <f t="shared" si="9"/>
        <v>1.3333333333333334E-2</v>
      </c>
      <c r="H78" s="9" t="str">
        <f t="shared" si="10"/>
        <v>Unfavorable</v>
      </c>
      <c r="I78" s="9" t="str">
        <f t="shared" si="11"/>
        <v>Not material</v>
      </c>
    </row>
    <row r="79" spans="1:9" ht="24" customHeight="1">
      <c r="A79" s="9" t="s">
        <v>360</v>
      </c>
      <c r="B79" s="9" t="s">
        <v>51</v>
      </c>
      <c r="C79" s="9" t="s">
        <v>62</v>
      </c>
      <c r="D79" s="12">
        <f t="shared" si="12"/>
        <v>540000</v>
      </c>
      <c r="E79" s="12">
        <f t="shared" si="12"/>
        <v>546000</v>
      </c>
      <c r="F79" s="12">
        <f t="shared" si="8"/>
        <v>6000</v>
      </c>
      <c r="G79" s="13">
        <f t="shared" si="9"/>
        <v>1.1111111111111112E-2</v>
      </c>
      <c r="H79" s="9" t="str">
        <f t="shared" si="10"/>
        <v>Unfavorable</v>
      </c>
      <c r="I79" s="9" t="str">
        <f t="shared" si="11"/>
        <v>Not material</v>
      </c>
    </row>
    <row r="80" spans="1:9" ht="24" customHeight="1">
      <c r="A80" s="9" t="s">
        <v>360</v>
      </c>
      <c r="B80" s="9" t="s">
        <v>64</v>
      </c>
      <c r="C80" s="9" t="s">
        <v>52</v>
      </c>
      <c r="D80" s="12">
        <f t="shared" si="12"/>
        <v>2700000</v>
      </c>
      <c r="E80" s="12">
        <f t="shared" si="12"/>
        <v>2727000</v>
      </c>
      <c r="F80" s="12">
        <f t="shared" si="8"/>
        <v>27000</v>
      </c>
      <c r="G80" s="13">
        <f t="shared" si="9"/>
        <v>0.01</v>
      </c>
      <c r="H80" s="9" t="str">
        <f t="shared" si="10"/>
        <v>Unfavorable</v>
      </c>
      <c r="I80" s="9" t="str">
        <f t="shared" si="11"/>
        <v>Not material</v>
      </c>
    </row>
    <row r="81" spans="1:9" ht="24" customHeight="1">
      <c r="A81" s="9" t="s">
        <v>360</v>
      </c>
      <c r="B81" s="9" t="s">
        <v>64</v>
      </c>
      <c r="C81" s="9" t="s">
        <v>54</v>
      </c>
      <c r="D81" s="12">
        <f t="shared" si="12"/>
        <v>300000</v>
      </c>
      <c r="E81" s="12">
        <f t="shared" si="12"/>
        <v>303000</v>
      </c>
      <c r="F81" s="12">
        <f t="shared" si="8"/>
        <v>3000</v>
      </c>
      <c r="G81" s="13">
        <f t="shared" si="9"/>
        <v>0.01</v>
      </c>
      <c r="H81" s="9" t="str">
        <f t="shared" si="10"/>
        <v>Unfavorable</v>
      </c>
      <c r="I81" s="9" t="str">
        <f t="shared" si="11"/>
        <v>Not material</v>
      </c>
    </row>
    <row r="82" spans="1:9" ht="24" customHeight="1">
      <c r="A82" s="9" t="s">
        <v>360</v>
      </c>
      <c r="B82" s="9" t="s">
        <v>64</v>
      </c>
      <c r="C82" s="9" t="s">
        <v>56</v>
      </c>
      <c r="D82" s="12">
        <f t="shared" si="12"/>
        <v>360000</v>
      </c>
      <c r="E82" s="12">
        <f t="shared" si="12"/>
        <v>363000</v>
      </c>
      <c r="F82" s="12">
        <f t="shared" si="8"/>
        <v>3000</v>
      </c>
      <c r="G82" s="13">
        <f t="shared" si="9"/>
        <v>8.3333333333333332E-3</v>
      </c>
      <c r="H82" s="9" t="str">
        <f t="shared" si="10"/>
        <v>Unfavorable</v>
      </c>
      <c r="I82" s="9" t="str">
        <f t="shared" si="11"/>
        <v>Not material</v>
      </c>
    </row>
    <row r="83" spans="1:9" ht="24" customHeight="1">
      <c r="A83" s="9" t="s">
        <v>360</v>
      </c>
      <c r="B83" s="9" t="s">
        <v>64</v>
      </c>
      <c r="C83" s="9" t="s">
        <v>58</v>
      </c>
      <c r="D83" s="12">
        <f t="shared" si="12"/>
        <v>540000</v>
      </c>
      <c r="E83" s="12">
        <f t="shared" si="12"/>
        <v>971000</v>
      </c>
      <c r="F83" s="12">
        <f t="shared" si="8"/>
        <v>431000</v>
      </c>
      <c r="G83" s="13">
        <f t="shared" si="9"/>
        <v>0.79814814814814816</v>
      </c>
      <c r="H83" s="9" t="str">
        <f t="shared" si="10"/>
        <v>Unfavorable</v>
      </c>
      <c r="I83" s="9" t="str">
        <f t="shared" si="11"/>
        <v>Material</v>
      </c>
    </row>
    <row r="84" spans="1:9" ht="24" customHeight="1">
      <c r="A84" s="9" t="s">
        <v>360</v>
      </c>
      <c r="B84" s="9" t="s">
        <v>64</v>
      </c>
      <c r="C84" s="9" t="s">
        <v>60</v>
      </c>
      <c r="D84" s="12">
        <f t="shared" si="12"/>
        <v>80000</v>
      </c>
      <c r="E84" s="12">
        <f t="shared" si="12"/>
        <v>200000</v>
      </c>
      <c r="F84" s="12">
        <f t="shared" si="8"/>
        <v>120000</v>
      </c>
      <c r="G84" s="13">
        <f t="shared" si="9"/>
        <v>1.5</v>
      </c>
      <c r="H84" s="9" t="str">
        <f t="shared" si="10"/>
        <v>Unfavorable</v>
      </c>
      <c r="I84" s="9" t="str">
        <f t="shared" si="11"/>
        <v>Material</v>
      </c>
    </row>
    <row r="85" spans="1:9" ht="24" customHeight="1">
      <c r="A85" s="9" t="s">
        <v>360</v>
      </c>
      <c r="B85" s="9" t="s">
        <v>64</v>
      </c>
      <c r="C85" s="9" t="s">
        <v>62</v>
      </c>
      <c r="D85" s="12">
        <f t="shared" si="12"/>
        <v>360000</v>
      </c>
      <c r="E85" s="12">
        <f t="shared" si="12"/>
        <v>363000</v>
      </c>
      <c r="F85" s="12">
        <f t="shared" si="8"/>
        <v>3000</v>
      </c>
      <c r="G85" s="13">
        <f t="shared" si="9"/>
        <v>8.3333333333333332E-3</v>
      </c>
      <c r="H85" s="9" t="str">
        <f t="shared" si="10"/>
        <v>Unfavorable</v>
      </c>
      <c r="I85" s="9" t="str">
        <f t="shared" si="11"/>
        <v>Not material</v>
      </c>
    </row>
    <row r="86" spans="1:9" ht="24" customHeight="1">
      <c r="A86" s="9" t="s">
        <v>360</v>
      </c>
      <c r="B86" s="9" t="s">
        <v>71</v>
      </c>
      <c r="C86" s="9" t="s">
        <v>52</v>
      </c>
      <c r="D86" s="12">
        <f t="shared" si="12"/>
        <v>6600000</v>
      </c>
      <c r="E86" s="12">
        <f t="shared" si="12"/>
        <v>6666000</v>
      </c>
      <c r="F86" s="12">
        <f t="shared" si="8"/>
        <v>66000</v>
      </c>
      <c r="G86" s="13">
        <f t="shared" si="9"/>
        <v>0.01</v>
      </c>
      <c r="H86" s="9" t="str">
        <f t="shared" si="10"/>
        <v>Unfavorable</v>
      </c>
      <c r="I86" s="9" t="str">
        <f t="shared" si="11"/>
        <v>Not material</v>
      </c>
    </row>
    <row r="87" spans="1:9" ht="24" customHeight="1">
      <c r="A87" s="9" t="s">
        <v>360</v>
      </c>
      <c r="B87" s="9" t="s">
        <v>71</v>
      </c>
      <c r="C87" s="9" t="s">
        <v>54</v>
      </c>
      <c r="D87" s="12">
        <f t="shared" si="12"/>
        <v>240000</v>
      </c>
      <c r="E87" s="12">
        <f t="shared" si="12"/>
        <v>243000</v>
      </c>
      <c r="F87" s="12">
        <f t="shared" si="8"/>
        <v>3000</v>
      </c>
      <c r="G87" s="13">
        <f t="shared" si="9"/>
        <v>1.2500000000000001E-2</v>
      </c>
      <c r="H87" s="9" t="str">
        <f t="shared" si="10"/>
        <v>Unfavorable</v>
      </c>
      <c r="I87" s="9" t="str">
        <f t="shared" si="11"/>
        <v>Not material</v>
      </c>
    </row>
    <row r="88" spans="1:9" ht="24" customHeight="1">
      <c r="A88" s="9" t="s">
        <v>360</v>
      </c>
      <c r="B88" s="9" t="s">
        <v>71</v>
      </c>
      <c r="C88" s="9" t="s">
        <v>56</v>
      </c>
      <c r="D88" s="12">
        <f t="shared" si="12"/>
        <v>900000</v>
      </c>
      <c r="E88" s="12">
        <f t="shared" si="12"/>
        <v>1180000</v>
      </c>
      <c r="F88" s="12">
        <f t="shared" si="8"/>
        <v>280000</v>
      </c>
      <c r="G88" s="13">
        <f t="shared" si="9"/>
        <v>0.31111111111111112</v>
      </c>
      <c r="H88" s="9" t="str">
        <f t="shared" si="10"/>
        <v>Unfavorable</v>
      </c>
      <c r="I88" s="9" t="str">
        <f t="shared" si="11"/>
        <v>Material</v>
      </c>
    </row>
    <row r="89" spans="1:9" ht="24" customHeight="1">
      <c r="A89" s="9" t="s">
        <v>360</v>
      </c>
      <c r="B89" s="9" t="s">
        <v>71</v>
      </c>
      <c r="C89" s="9" t="s">
        <v>58</v>
      </c>
      <c r="D89" s="12">
        <f t="shared" si="12"/>
        <v>600000</v>
      </c>
      <c r="E89" s="12">
        <f t="shared" si="12"/>
        <v>606000</v>
      </c>
      <c r="F89" s="12">
        <f t="shared" si="8"/>
        <v>6000</v>
      </c>
      <c r="G89" s="13">
        <f t="shared" si="9"/>
        <v>0.01</v>
      </c>
      <c r="H89" s="9" t="str">
        <f t="shared" si="10"/>
        <v>Unfavorable</v>
      </c>
      <c r="I89" s="9" t="str">
        <f t="shared" si="11"/>
        <v>Not material</v>
      </c>
    </row>
    <row r="90" spans="1:9" ht="24" customHeight="1">
      <c r="A90" s="9" t="s">
        <v>360</v>
      </c>
      <c r="B90" s="9" t="s">
        <v>71</v>
      </c>
      <c r="C90" s="9" t="s">
        <v>60</v>
      </c>
      <c r="D90" s="12">
        <f t="shared" si="12"/>
        <v>210000</v>
      </c>
      <c r="E90" s="12">
        <f t="shared" si="12"/>
        <v>212000</v>
      </c>
      <c r="F90" s="12">
        <f t="shared" si="8"/>
        <v>2000</v>
      </c>
      <c r="G90" s="13">
        <f t="shared" si="9"/>
        <v>9.5238095238095247E-3</v>
      </c>
      <c r="H90" s="9" t="str">
        <f t="shared" si="10"/>
        <v>Unfavorable</v>
      </c>
      <c r="I90" s="9" t="str">
        <f t="shared" si="11"/>
        <v>Not material</v>
      </c>
    </row>
    <row r="91" spans="1:9" ht="24" customHeight="1">
      <c r="A91" s="9" t="s">
        <v>360</v>
      </c>
      <c r="B91" s="9" t="s">
        <v>71</v>
      </c>
      <c r="C91" s="9" t="s">
        <v>62</v>
      </c>
      <c r="D91" s="12">
        <f t="shared" si="12"/>
        <v>600000</v>
      </c>
      <c r="E91" s="12">
        <f t="shared" si="12"/>
        <v>606000</v>
      </c>
      <c r="F91" s="12">
        <f t="shared" si="8"/>
        <v>6000</v>
      </c>
      <c r="G91" s="13">
        <f t="shared" si="9"/>
        <v>0.01</v>
      </c>
      <c r="H91" s="9" t="str">
        <f t="shared" si="10"/>
        <v>Unfavorable</v>
      </c>
      <c r="I91" s="9" t="str">
        <f t="shared" si="11"/>
        <v>Not material</v>
      </c>
    </row>
    <row r="92" spans="1:9" ht="24" customHeight="1">
      <c r="A92" s="9" t="s">
        <v>360</v>
      </c>
      <c r="B92" s="9" t="s">
        <v>78</v>
      </c>
      <c r="C92" s="9" t="s">
        <v>52</v>
      </c>
      <c r="D92" s="12">
        <f t="shared" si="12"/>
        <v>3300000</v>
      </c>
      <c r="E92" s="12">
        <f t="shared" si="12"/>
        <v>3333000</v>
      </c>
      <c r="F92" s="12">
        <f t="shared" si="8"/>
        <v>33000</v>
      </c>
      <c r="G92" s="13">
        <f t="shared" si="9"/>
        <v>0.01</v>
      </c>
      <c r="H92" s="9" t="str">
        <f t="shared" si="10"/>
        <v>Unfavorable</v>
      </c>
      <c r="I92" s="9" t="str">
        <f t="shared" si="11"/>
        <v>Not material</v>
      </c>
    </row>
    <row r="93" spans="1:9" ht="24" customHeight="1">
      <c r="A93" s="9" t="s">
        <v>360</v>
      </c>
      <c r="B93" s="9" t="s">
        <v>78</v>
      </c>
      <c r="C93" s="9" t="s">
        <v>54</v>
      </c>
      <c r="D93" s="12">
        <f t="shared" si="12"/>
        <v>150000</v>
      </c>
      <c r="E93" s="12">
        <f t="shared" si="12"/>
        <v>152000</v>
      </c>
      <c r="F93" s="12">
        <f t="shared" si="8"/>
        <v>2000</v>
      </c>
      <c r="G93" s="13">
        <f t="shared" si="9"/>
        <v>1.3333333333333334E-2</v>
      </c>
      <c r="H93" s="9" t="str">
        <f t="shared" si="10"/>
        <v>Unfavorable</v>
      </c>
      <c r="I93" s="9" t="str">
        <f t="shared" si="11"/>
        <v>Not material</v>
      </c>
    </row>
    <row r="94" spans="1:9" ht="24" customHeight="1">
      <c r="A94" s="9" t="s">
        <v>360</v>
      </c>
      <c r="B94" s="9" t="s">
        <v>78</v>
      </c>
      <c r="C94" s="9" t="s">
        <v>56</v>
      </c>
      <c r="D94" s="12">
        <f t="shared" si="12"/>
        <v>300000</v>
      </c>
      <c r="E94" s="12">
        <f t="shared" si="12"/>
        <v>303000</v>
      </c>
      <c r="F94" s="12">
        <f t="shared" si="8"/>
        <v>3000</v>
      </c>
      <c r="G94" s="13">
        <f t="shared" si="9"/>
        <v>0.01</v>
      </c>
      <c r="H94" s="9" t="str">
        <f t="shared" si="10"/>
        <v>Unfavorable</v>
      </c>
      <c r="I94" s="9" t="str">
        <f t="shared" si="11"/>
        <v>Not material</v>
      </c>
    </row>
    <row r="95" spans="1:9" ht="24" customHeight="1">
      <c r="A95" s="9" t="s">
        <v>360</v>
      </c>
      <c r="B95" s="9" t="s">
        <v>78</v>
      </c>
      <c r="C95" s="9" t="s">
        <v>58</v>
      </c>
      <c r="D95" s="12">
        <f t="shared" si="12"/>
        <v>450000</v>
      </c>
      <c r="E95" s="12">
        <f t="shared" si="12"/>
        <v>359000</v>
      </c>
      <c r="F95" s="12">
        <f t="shared" si="8"/>
        <v>-91000</v>
      </c>
      <c r="G95" s="13">
        <f t="shared" si="9"/>
        <v>-0.20222222222222222</v>
      </c>
      <c r="H95" s="9" t="str">
        <f t="shared" si="10"/>
        <v>Favorable</v>
      </c>
      <c r="I95" s="9" t="str">
        <f t="shared" si="11"/>
        <v>Not material</v>
      </c>
    </row>
    <row r="96" spans="1:9" ht="24" customHeight="1">
      <c r="A96" s="9" t="s">
        <v>360</v>
      </c>
      <c r="B96" s="9" t="s">
        <v>78</v>
      </c>
      <c r="C96" s="9" t="s">
        <v>60</v>
      </c>
      <c r="D96" s="12">
        <f t="shared" si="12"/>
        <v>90000</v>
      </c>
      <c r="E96" s="12">
        <f t="shared" si="12"/>
        <v>90000</v>
      </c>
      <c r="F96" s="12">
        <f t="shared" si="8"/>
        <v>0</v>
      </c>
      <c r="G96" s="13">
        <f t="shared" si="9"/>
        <v>0</v>
      </c>
      <c r="H96" s="9" t="str">
        <f t="shared" si="10"/>
        <v>On budget</v>
      </c>
      <c r="I96" s="9" t="str">
        <f t="shared" si="11"/>
        <v>Not material</v>
      </c>
    </row>
    <row r="97" spans="1:9" ht="24" customHeight="1">
      <c r="A97" s="9" t="s">
        <v>360</v>
      </c>
      <c r="B97" s="9" t="s">
        <v>78</v>
      </c>
      <c r="C97" s="9" t="s">
        <v>62</v>
      </c>
      <c r="D97" s="12">
        <f t="shared" si="12"/>
        <v>300000</v>
      </c>
      <c r="E97" s="12">
        <f t="shared" si="12"/>
        <v>303000</v>
      </c>
      <c r="F97" s="12">
        <f t="shared" si="8"/>
        <v>3000</v>
      </c>
      <c r="G97" s="13">
        <f t="shared" si="9"/>
        <v>0.01</v>
      </c>
      <c r="H97" s="9" t="str">
        <f t="shared" si="10"/>
        <v>Unfavorable</v>
      </c>
      <c r="I97" s="9" t="str">
        <f t="shared" si="11"/>
        <v>Not material</v>
      </c>
    </row>
    <row r="98" spans="1:9" ht="24" customHeight="1">
      <c r="A98" s="9" t="s">
        <v>360</v>
      </c>
      <c r="B98" s="9" t="s">
        <v>51</v>
      </c>
      <c r="C98" s="9" t="s">
        <v>361</v>
      </c>
      <c r="D98" s="12">
        <f>SUM(D2,D3,D4,D5,D6,D7,D26,D27,D28,D29,D30,D31,D50,D51,D52,D53,D54,D55)</f>
        <v>6330000</v>
      </c>
      <c r="E98" s="12">
        <f>SUM(E2,E3,E4,E5,E6,E7,E26,E27,E28,E29,E30,E31,E50,E51,E52,E53,E54,E55)</f>
        <v>6531000</v>
      </c>
      <c r="F98" s="12">
        <f t="shared" ref="F98:F102" si="13">E98-D98</f>
        <v>201000</v>
      </c>
      <c r="G98" s="13">
        <f t="shared" ref="G98:G102" si="14">IF(D98=0,"n.a.",F98/D98)</f>
        <v>3.175355450236967E-2</v>
      </c>
      <c r="H98" s="9" t="str">
        <f t="shared" si="10"/>
        <v>Unfavorable</v>
      </c>
      <c r="I98" s="9" t="str">
        <f t="shared" si="11"/>
        <v>Not material</v>
      </c>
    </row>
    <row r="99" spans="1:9" ht="24" customHeight="1">
      <c r="A99" s="9" t="s">
        <v>360</v>
      </c>
      <c r="B99" s="9" t="s">
        <v>64</v>
      </c>
      <c r="C99" s="9" t="s">
        <v>361</v>
      </c>
      <c r="D99" s="12">
        <f>SUM(D8,D9,D10,D11,D12,D13,D32,D33,D34,D35,D36,D37,D56,D57,D58,D59,D60,D61)</f>
        <v>4340000</v>
      </c>
      <c r="E99" s="12">
        <f>SUM(E8,E9,E10,E11,E12,E13,E32,E33,E34,E35,E36,E37,E56,E57,E58,E59,E60,E61)</f>
        <v>4927000</v>
      </c>
      <c r="F99" s="12">
        <f t="shared" si="13"/>
        <v>587000</v>
      </c>
      <c r="G99" s="13">
        <f t="shared" si="14"/>
        <v>0.13525345622119817</v>
      </c>
      <c r="H99" s="9" t="str">
        <f t="shared" si="10"/>
        <v>Unfavorable</v>
      </c>
      <c r="I99" s="9" t="str">
        <f t="shared" si="11"/>
        <v>Material</v>
      </c>
    </row>
    <row r="100" spans="1:9" ht="24" customHeight="1">
      <c r="A100" s="9" t="s">
        <v>360</v>
      </c>
      <c r="B100" s="9" t="s">
        <v>71</v>
      </c>
      <c r="C100" s="9" t="s">
        <v>361</v>
      </c>
      <c r="D100" s="12">
        <f>SUM(D14,D15,D16,D17,D18,D19,D38,D39,D40,D41,D42,D43,D62,D63,D64,D65,D66,D67)</f>
        <v>9150000</v>
      </c>
      <c r="E100" s="12">
        <f>SUM(E14,E15,E16,E17,E18,E19,E38,E39,E40,E41,E42,E43,E62,E63,E64,E65,E66,E67)</f>
        <v>9513000</v>
      </c>
      <c r="F100" s="12">
        <f t="shared" si="13"/>
        <v>363000</v>
      </c>
      <c r="G100" s="13">
        <f t="shared" si="14"/>
        <v>3.9672131147540986E-2</v>
      </c>
      <c r="H100" s="9" t="str">
        <f t="shared" si="10"/>
        <v>Unfavorable</v>
      </c>
      <c r="I100" s="9" t="str">
        <f t="shared" si="11"/>
        <v>Not material</v>
      </c>
    </row>
    <row r="101" spans="1:9" ht="24" customHeight="1">
      <c r="A101" s="9" t="s">
        <v>360</v>
      </c>
      <c r="B101" s="9" t="s">
        <v>78</v>
      </c>
      <c r="C101" s="9" t="s">
        <v>361</v>
      </c>
      <c r="D101" s="12">
        <f>SUM(D20,D21,D22,D23,D24,D25,D44,D45,D46,D47,D48,D49,D68,D69,D70,D71,D72,D73)</f>
        <v>4590000</v>
      </c>
      <c r="E101" s="12">
        <f>SUM(E20,E21,E22,E23,E24,E25,E44,E45,E46,E47,E48,E49,E68,E69,E70,E71,E72,E73)</f>
        <v>4540000</v>
      </c>
      <c r="F101" s="12">
        <f t="shared" si="13"/>
        <v>-50000</v>
      </c>
      <c r="G101" s="13">
        <f t="shared" si="14"/>
        <v>-1.0893246187363835E-2</v>
      </c>
      <c r="H101" s="9" t="str">
        <f t="shared" si="10"/>
        <v>Favorable</v>
      </c>
      <c r="I101" s="9" t="str">
        <f t="shared" si="11"/>
        <v>Not material</v>
      </c>
    </row>
    <row r="102" spans="1:9" ht="24" customHeight="1">
      <c r="A102" s="9" t="s">
        <v>360</v>
      </c>
      <c r="B102" s="9" t="s">
        <v>362</v>
      </c>
      <c r="C102" s="9" t="s">
        <v>361</v>
      </c>
      <c r="D102" s="12">
        <f>SUM(D2,D3,D4,D5,D6,D7,D8,D9,D10,D11,D12,D13,D14,D15,D16,D17,D18,D19,D20,D21,D22,D23,D24,D25,D26,D27,D28,D29,D30,D31,D32,D33,D34,D35,D36,D37,D38,D39,D40,D41,D42,D43,D44,D45,D46,D47,D48,D49,D50,D51,D52,D53,D54,D55,D56,D57,D58,D59,D60,D61,D62,D63,D64,D65,D66,D67,D68,D69,D70,D71,D72,D73)</f>
        <v>24410000</v>
      </c>
      <c r="E102" s="12">
        <f>SUM(E2,E3,E4,E5,E6,E7,E8,E9,E10,E11,E12,E13,E14,E15,E16,E17,E18,E19,E20,E21,E22,E23,E24,E25,E26,E27,E28,E29,E30,E31,E32,E33,E34,E35,E36,E37,E38,E39,E40,E41,E42,E43,E44,E45,E46,E47,E48,E49,E50,E51,E52,E53,E54,E55,E56,E57,E58,E59,E60,E61,E62,E63,E64,E65,E66,E67,E68,E69,E70,E71,E72,E73)</f>
        <v>25511000</v>
      </c>
      <c r="F102" s="12">
        <f t="shared" si="13"/>
        <v>1101000</v>
      </c>
      <c r="G102" s="13">
        <f t="shared" si="14"/>
        <v>4.5104465383039735E-2</v>
      </c>
      <c r="H102" s="9" t="str">
        <f t="shared" si="10"/>
        <v>Unfavorable</v>
      </c>
      <c r="I102" s="9" t="str">
        <f t="shared" si="11"/>
        <v>Not material</v>
      </c>
    </row>
  </sheetData>
  <conditionalFormatting sqref="I2:I102">
    <cfRule type="expression" dxfId="0" priority="1">
      <formula>I2="Material"</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
  <sheetViews>
    <sheetView showGridLines="0" workbookViewId="0">
      <pane ySplit="1" topLeftCell="A2" activePane="bottomLeft" state="frozen"/>
      <selection pane="bottomLeft"/>
    </sheetView>
  </sheetViews>
  <sheetFormatPr defaultRowHeight="14.25"/>
  <cols>
    <col min="1" max="1" width="21" customWidth="1"/>
    <col min="2" max="2" width="27" customWidth="1"/>
    <col min="3" max="3" width="25" customWidth="1"/>
    <col min="4" max="6" width="19" customWidth="1"/>
    <col min="7" max="7" width="17" customWidth="1"/>
    <col min="8" max="8" width="22" customWidth="1"/>
  </cols>
  <sheetData>
    <row r="1" spans="1:8" ht="32.1" customHeight="1">
      <c r="A1" s="10" t="s">
        <v>363</v>
      </c>
      <c r="B1" s="10" t="s">
        <v>47</v>
      </c>
      <c r="C1" s="10" t="s">
        <v>48</v>
      </c>
      <c r="D1" s="10" t="s">
        <v>49</v>
      </c>
      <c r="E1" s="10" t="s">
        <v>136</v>
      </c>
      <c r="F1" s="10" t="s">
        <v>356</v>
      </c>
      <c r="G1" s="10" t="s">
        <v>357</v>
      </c>
      <c r="H1" s="10" t="s">
        <v>364</v>
      </c>
    </row>
    <row r="2" spans="1:8" ht="24" customHeight="1">
      <c r="A2" s="9" t="s">
        <v>360</v>
      </c>
      <c r="B2" s="9" t="s">
        <v>51</v>
      </c>
      <c r="C2" s="9" t="s">
        <v>361</v>
      </c>
      <c r="D2" s="12">
        <f>'Variance analysis'!D98</f>
        <v>6330000</v>
      </c>
      <c r="E2" s="12">
        <f>'Variance analysis'!E98</f>
        <v>6531000</v>
      </c>
      <c r="F2" s="12">
        <f>'Variance analysis'!F98</f>
        <v>201000</v>
      </c>
      <c r="G2" s="13">
        <f>'Variance analysis'!G98</f>
        <v>3.175355450236967E-2</v>
      </c>
      <c r="H2" s="9" t="str">
        <f>'Variance analysis'!I98</f>
        <v>Not material</v>
      </c>
    </row>
    <row r="3" spans="1:8" ht="24" customHeight="1">
      <c r="A3" s="9" t="s">
        <v>360</v>
      </c>
      <c r="B3" s="9" t="s">
        <v>64</v>
      </c>
      <c r="C3" s="9" t="s">
        <v>361</v>
      </c>
      <c r="D3" s="12">
        <f>'Variance analysis'!D99</f>
        <v>4340000</v>
      </c>
      <c r="E3" s="12">
        <f>'Variance analysis'!E99</f>
        <v>4927000</v>
      </c>
      <c r="F3" s="12">
        <f>'Variance analysis'!F99</f>
        <v>587000</v>
      </c>
      <c r="G3" s="13">
        <f>'Variance analysis'!G99</f>
        <v>0.13525345622119817</v>
      </c>
      <c r="H3" s="9" t="str">
        <f>'Variance analysis'!I99</f>
        <v>Material</v>
      </c>
    </row>
    <row r="4" spans="1:8" ht="24" customHeight="1">
      <c r="A4" s="9" t="s">
        <v>360</v>
      </c>
      <c r="B4" s="9" t="s">
        <v>71</v>
      </c>
      <c r="C4" s="9" t="s">
        <v>361</v>
      </c>
      <c r="D4" s="12">
        <f>'Variance analysis'!D100</f>
        <v>9150000</v>
      </c>
      <c r="E4" s="12">
        <f>'Variance analysis'!E100</f>
        <v>9513000</v>
      </c>
      <c r="F4" s="12">
        <f>'Variance analysis'!F100</f>
        <v>363000</v>
      </c>
      <c r="G4" s="13">
        <f>'Variance analysis'!G100</f>
        <v>3.9672131147540986E-2</v>
      </c>
      <c r="H4" s="9" t="str">
        <f>'Variance analysis'!I100</f>
        <v>Not material</v>
      </c>
    </row>
    <row r="5" spans="1:8" ht="24" customHeight="1">
      <c r="A5" s="9" t="s">
        <v>360</v>
      </c>
      <c r="B5" s="9" t="s">
        <v>78</v>
      </c>
      <c r="C5" s="9" t="s">
        <v>361</v>
      </c>
      <c r="D5" s="12">
        <f>'Variance analysis'!D101</f>
        <v>4590000</v>
      </c>
      <c r="E5" s="12">
        <f>'Variance analysis'!E101</f>
        <v>4540000</v>
      </c>
      <c r="F5" s="12">
        <f>'Variance analysis'!F101</f>
        <v>-50000</v>
      </c>
      <c r="G5" s="13">
        <f>'Variance analysis'!G101</f>
        <v>-1.0893246187363835E-2</v>
      </c>
      <c r="H5" s="9" t="str">
        <f>'Variance analysis'!I101</f>
        <v>Not material</v>
      </c>
    </row>
    <row r="6" spans="1:8" ht="24" customHeight="1">
      <c r="A6" s="9" t="s">
        <v>360</v>
      </c>
      <c r="B6" s="9" t="s">
        <v>365</v>
      </c>
      <c r="C6" s="9" t="s">
        <v>361</v>
      </c>
      <c r="D6" s="12">
        <f>'Variance analysis'!D102</f>
        <v>24410000</v>
      </c>
      <c r="E6" s="12">
        <f>'Variance analysis'!E102</f>
        <v>25511000</v>
      </c>
      <c r="F6" s="12">
        <f>'Variance analysis'!F102</f>
        <v>1101000</v>
      </c>
      <c r="G6" s="13">
        <f>'Variance analysis'!G102</f>
        <v>4.5104465383039735E-2</v>
      </c>
      <c r="H6" s="9" t="str">
        <f>'Variance analysis'!I102</f>
        <v>Not material</v>
      </c>
    </row>
    <row r="7" spans="1:8" ht="24" customHeight="1">
      <c r="A7" s="9" t="s">
        <v>337</v>
      </c>
      <c r="B7" s="9" t="s">
        <v>51</v>
      </c>
      <c r="C7" s="9" t="s">
        <v>54</v>
      </c>
      <c r="D7" s="12">
        <f>'Variance analysis'!D27</f>
        <v>200000</v>
      </c>
      <c r="E7" s="12">
        <f>'Variance analysis'!E27</f>
        <v>340000</v>
      </c>
      <c r="F7" s="12">
        <f>'Variance analysis'!F27</f>
        <v>140000</v>
      </c>
      <c r="G7" s="13">
        <f>'Variance analysis'!G27</f>
        <v>0.7</v>
      </c>
      <c r="H7" s="9" t="str">
        <f>'Variance analysis'!I27</f>
        <v>Material</v>
      </c>
    </row>
    <row r="8" spans="1:8" ht="24" customHeight="1">
      <c r="A8" s="9" t="s">
        <v>338</v>
      </c>
      <c r="B8" s="9" t="s">
        <v>64</v>
      </c>
      <c r="C8" s="9" t="s">
        <v>58</v>
      </c>
      <c r="D8" s="12">
        <f>'Variance analysis'!D59</f>
        <v>180000</v>
      </c>
      <c r="E8" s="12">
        <f>'Variance analysis'!E59</f>
        <v>600000</v>
      </c>
      <c r="F8" s="12">
        <f>'Variance analysis'!F59</f>
        <v>420000</v>
      </c>
      <c r="G8" s="13">
        <f>'Variance analysis'!G59</f>
        <v>2.3333333333333335</v>
      </c>
      <c r="H8" s="9" t="str">
        <f>'Variance analysis'!I59</f>
        <v>Material</v>
      </c>
    </row>
    <row r="9" spans="1:8" ht="24" customHeight="1">
      <c r="A9" s="9" t="s">
        <v>338</v>
      </c>
      <c r="B9" s="9" t="s">
        <v>64</v>
      </c>
      <c r="C9" s="9" t="s">
        <v>60</v>
      </c>
      <c r="D9" s="12">
        <f>'Variance analysis'!D60</f>
        <v>0</v>
      </c>
      <c r="E9" s="12">
        <f>'Variance analysis'!E60</f>
        <v>120000</v>
      </c>
      <c r="F9" s="12">
        <f>'Variance analysis'!F60</f>
        <v>120000</v>
      </c>
      <c r="G9" s="13" t="str">
        <f>'Variance analysis'!G60</f>
        <v>n.a.</v>
      </c>
      <c r="H9" s="9" t="str">
        <f>'Variance analysis'!I60</f>
        <v>Unbudgeted</v>
      </c>
    </row>
    <row r="10" spans="1:8" ht="24" customHeight="1">
      <c r="A10" s="9" t="s">
        <v>338</v>
      </c>
      <c r="B10" s="9" t="s">
        <v>71</v>
      </c>
      <c r="C10" s="9" t="s">
        <v>56</v>
      </c>
      <c r="D10" s="12">
        <f>'Variance analysis'!D64</f>
        <v>300000</v>
      </c>
      <c r="E10" s="12">
        <f>'Variance analysis'!E64</f>
        <v>430000</v>
      </c>
      <c r="F10" s="12">
        <f>'Variance analysis'!F64</f>
        <v>130000</v>
      </c>
      <c r="G10" s="13">
        <f>'Variance analysis'!G64</f>
        <v>0.43333333333333335</v>
      </c>
      <c r="H10" s="9" t="str">
        <f>'Variance analysis'!I64</f>
        <v>Material</v>
      </c>
    </row>
    <row r="11" spans="1:8" ht="24" customHeight="1">
      <c r="A11" s="9" t="s">
        <v>360</v>
      </c>
      <c r="B11" s="9" t="s">
        <v>51</v>
      </c>
      <c r="C11" s="9" t="s">
        <v>54</v>
      </c>
      <c r="D11" s="12">
        <f>'Variance analysis'!D75</f>
        <v>600000</v>
      </c>
      <c r="E11" s="12">
        <f>'Variance analysis'!E75</f>
        <v>742000</v>
      </c>
      <c r="F11" s="12">
        <f>'Variance analysis'!F75</f>
        <v>142000</v>
      </c>
      <c r="G11" s="13">
        <f>'Variance analysis'!G75</f>
        <v>0.23666666666666666</v>
      </c>
      <c r="H11" s="9" t="str">
        <f>'Variance analysis'!I75</f>
        <v>Material</v>
      </c>
    </row>
    <row r="12" spans="1:8" ht="24" customHeight="1">
      <c r="A12" s="9" t="s">
        <v>360</v>
      </c>
      <c r="B12" s="9" t="s">
        <v>64</v>
      </c>
      <c r="C12" s="9" t="s">
        <v>58</v>
      </c>
      <c r="D12" s="12">
        <f>'Variance analysis'!D83</f>
        <v>540000</v>
      </c>
      <c r="E12" s="12">
        <f>'Variance analysis'!E83</f>
        <v>971000</v>
      </c>
      <c r="F12" s="12">
        <f>'Variance analysis'!F83</f>
        <v>431000</v>
      </c>
      <c r="G12" s="13">
        <f>'Variance analysis'!G83</f>
        <v>0.79814814814814816</v>
      </c>
      <c r="H12" s="9" t="str">
        <f>'Variance analysis'!I83</f>
        <v>Material</v>
      </c>
    </row>
    <row r="13" spans="1:8" ht="24" customHeight="1">
      <c r="A13" s="9" t="s">
        <v>360</v>
      </c>
      <c r="B13" s="9" t="s">
        <v>64</v>
      </c>
      <c r="C13" s="9" t="s">
        <v>60</v>
      </c>
      <c r="D13" s="12">
        <f>'Variance analysis'!D84</f>
        <v>80000</v>
      </c>
      <c r="E13" s="12">
        <f>'Variance analysis'!E84</f>
        <v>200000</v>
      </c>
      <c r="F13" s="12">
        <f>'Variance analysis'!F84</f>
        <v>120000</v>
      </c>
      <c r="G13" s="13">
        <f>'Variance analysis'!G84</f>
        <v>1.5</v>
      </c>
      <c r="H13" s="9" t="str">
        <f>'Variance analysis'!I84</f>
        <v>Material</v>
      </c>
    </row>
    <row r="14" spans="1:8" ht="24" customHeight="1">
      <c r="A14" s="9" t="s">
        <v>360</v>
      </c>
      <c r="B14" s="9" t="s">
        <v>71</v>
      </c>
      <c r="C14" s="9" t="s">
        <v>56</v>
      </c>
      <c r="D14" s="12">
        <f>'Variance analysis'!D88</f>
        <v>900000</v>
      </c>
      <c r="E14" s="12">
        <f>'Variance analysis'!E88</f>
        <v>1180000</v>
      </c>
      <c r="F14" s="12">
        <f>'Variance analysis'!F88</f>
        <v>280000</v>
      </c>
      <c r="G14" s="13">
        <f>'Variance analysis'!G88</f>
        <v>0.31111111111111112</v>
      </c>
      <c r="H14" s="9" t="str">
        <f>'Variance analysis'!I88</f>
        <v>Material</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1"/>
  <sheetViews>
    <sheetView showGridLines="0" workbookViewId="0">
      <pane ySplit="1" topLeftCell="A3" activePane="bottomLeft" state="frozen"/>
      <selection pane="bottomLeft" activeCell="A9" sqref="A9"/>
    </sheetView>
  </sheetViews>
  <sheetFormatPr defaultRowHeight="14.25"/>
  <cols>
    <col min="1" max="1" width="42" customWidth="1"/>
    <col min="2" max="2" width="120" customWidth="1"/>
  </cols>
  <sheetData>
    <row r="1" spans="1:2" ht="32.1" customHeight="1">
      <c r="A1" s="10" t="s">
        <v>366</v>
      </c>
      <c r="B1" s="10" t="s">
        <v>367</v>
      </c>
    </row>
    <row r="2" spans="1:2" ht="57.95" customHeight="1">
      <c r="A2" s="9" t="s">
        <v>368</v>
      </c>
      <c r="B2" s="11" t="s">
        <v>369</v>
      </c>
    </row>
    <row r="3" spans="1:2" ht="57.95" customHeight="1">
      <c r="A3" s="9" t="s">
        <v>370</v>
      </c>
      <c r="B3" s="11" t="s">
        <v>371</v>
      </c>
    </row>
    <row r="4" spans="1:2" ht="57.95" customHeight="1">
      <c r="A4" s="9" t="s">
        <v>33</v>
      </c>
      <c r="B4" s="11" t="s">
        <v>372</v>
      </c>
    </row>
    <row r="5" spans="1:2" ht="57.95" customHeight="1">
      <c r="A5" s="9" t="s">
        <v>373</v>
      </c>
      <c r="B5" s="11" t="s">
        <v>374</v>
      </c>
    </row>
    <row r="6" spans="1:2" ht="57.95" customHeight="1">
      <c r="A6" s="9" t="s">
        <v>375</v>
      </c>
      <c r="B6" s="11" t="s">
        <v>376</v>
      </c>
    </row>
    <row r="7" spans="1:2" ht="57.95" customHeight="1">
      <c r="A7" s="9" t="s">
        <v>377</v>
      </c>
      <c r="B7" s="11" t="s">
        <v>378</v>
      </c>
    </row>
    <row r="8" spans="1:2" ht="57.95" customHeight="1">
      <c r="A8" s="9" t="s">
        <v>379</v>
      </c>
      <c r="B8" s="11" t="s">
        <v>380</v>
      </c>
    </row>
    <row r="9" spans="1:2" ht="57.95" customHeight="1">
      <c r="A9" s="9" t="s">
        <v>381</v>
      </c>
      <c r="B9" s="11" t="s">
        <v>382</v>
      </c>
    </row>
    <row r="10" spans="1:2" ht="57.95" customHeight="1">
      <c r="A10" s="9" t="s">
        <v>383</v>
      </c>
      <c r="B10" s="11" t="s">
        <v>384</v>
      </c>
    </row>
    <row r="11" spans="1:2" ht="57.95" customHeight="1">
      <c r="A11" s="9" t="s">
        <v>385</v>
      </c>
      <c r="B11" s="11" t="s">
        <v>386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7"/>
  <sheetViews>
    <sheetView showGridLines="0" tabSelected="1" workbookViewId="0">
      <pane ySplit="1" topLeftCell="A2" activePane="bottomLeft" state="frozen"/>
      <selection pane="bottomLeft"/>
    </sheetView>
  </sheetViews>
  <sheetFormatPr defaultRowHeight="14.25"/>
  <cols>
    <col min="1" max="1" width="46" customWidth="1"/>
    <col min="2" max="2" width="24" customWidth="1"/>
  </cols>
  <sheetData>
    <row r="1" spans="1:2" ht="32.1" customHeight="1">
      <c r="A1" s="10" t="s">
        <v>387</v>
      </c>
      <c r="B1" s="10" t="s">
        <v>388</v>
      </c>
    </row>
    <row r="2" spans="1:2" ht="24" customHeight="1">
      <c r="A2" s="9" t="s">
        <v>389</v>
      </c>
      <c r="B2" s="12">
        <v>76</v>
      </c>
    </row>
    <row r="3" spans="1:2" ht="24" customHeight="1">
      <c r="A3" s="9" t="s">
        <v>390</v>
      </c>
      <c r="B3" s="12">
        <v>1</v>
      </c>
    </row>
    <row r="4" spans="1:2" ht="24" customHeight="1">
      <c r="A4" s="9" t="s">
        <v>391</v>
      </c>
      <c r="B4" s="12">
        <v>1</v>
      </c>
    </row>
    <row r="5" spans="1:2" ht="24" customHeight="1">
      <c r="A5" s="9" t="s">
        <v>392</v>
      </c>
      <c r="B5" s="12">
        <v>74</v>
      </c>
    </row>
    <row r="6" spans="1:2" ht="24" customHeight="1">
      <c r="A6" s="9" t="s">
        <v>393</v>
      </c>
      <c r="B6" s="12">
        <v>72</v>
      </c>
    </row>
    <row r="7" spans="1:2" ht="24" customHeight="1">
      <c r="A7" s="9" t="s">
        <v>394</v>
      </c>
      <c r="B7" s="12">
        <v>72</v>
      </c>
    </row>
    <row r="8" spans="1:2" ht="24" customHeight="1">
      <c r="A8" s="9" t="s">
        <v>395</v>
      </c>
      <c r="B8" s="12">
        <v>72</v>
      </c>
    </row>
    <row r="9" spans="1:2" ht="24" customHeight="1">
      <c r="A9" s="9" t="s">
        <v>396</v>
      </c>
      <c r="B9" s="12">
        <v>0</v>
      </c>
    </row>
    <row r="10" spans="1:2" ht="24" customHeight="1">
      <c r="A10" s="9" t="s">
        <v>397</v>
      </c>
      <c r="B10" s="12">
        <v>0</v>
      </c>
    </row>
    <row r="11" spans="1:2" ht="24" customHeight="1">
      <c r="A11" s="9" t="s">
        <v>398</v>
      </c>
      <c r="B11" s="12">
        <v>25971000</v>
      </c>
    </row>
    <row r="12" spans="1:2" ht="24" customHeight="1">
      <c r="A12" s="9" t="s">
        <v>399</v>
      </c>
      <c r="B12" s="12">
        <v>30000</v>
      </c>
    </row>
    <row r="13" spans="1:2" ht="24" customHeight="1">
      <c r="A13" s="9" t="s">
        <v>400</v>
      </c>
      <c r="B13" s="12">
        <v>-400000</v>
      </c>
    </row>
    <row r="14" spans="1:2" ht="24" customHeight="1">
      <c r="A14" s="9" t="s">
        <v>401</v>
      </c>
      <c r="B14" s="12">
        <v>-90000</v>
      </c>
    </row>
    <row r="15" spans="1:2" ht="24" customHeight="1">
      <c r="A15" s="9" t="s">
        <v>402</v>
      </c>
      <c r="B15" s="12">
        <v>25511000</v>
      </c>
    </row>
    <row r="16" spans="1:2" ht="24" customHeight="1">
      <c r="A16" s="9" t="s">
        <v>403</v>
      </c>
      <c r="B16" s="12">
        <v>25511000</v>
      </c>
    </row>
    <row r="17" spans="1:2" ht="24" customHeight="1">
      <c r="A17" s="9" t="s">
        <v>404</v>
      </c>
      <c r="B17" s="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Brief</vt:lpstr>
      <vt:lpstr>Sheet1</vt:lpstr>
      <vt:lpstr>Sheet2</vt:lpstr>
      <vt:lpstr>Budget</vt:lpstr>
      <vt:lpstr>Actuals</vt:lpstr>
      <vt:lpstr>Evidence</vt:lpstr>
      <vt:lpstr>Clarification log</vt:lpstr>
      <vt:lpstr>Clean actuals</vt:lpstr>
      <vt:lpstr>Cleaning log</vt:lpstr>
      <vt:lpstr>Excluded rows</vt:lpstr>
      <vt:lpstr>Variance analysis</vt:lpstr>
      <vt:lpstr>CFO report</vt:lpstr>
      <vt:lpstr>Report notes</vt:lpstr>
      <vt:lpstr>Reconciliation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Ashwani Kumar</cp:lastModifiedBy>
  <dcterms:modified xsi:type="dcterms:W3CDTF">2026-10-26T06:18:38Z</dcterms:modified>
</cp:coreProperties>
</file>