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EA4642D0-A86E-4BE7-B65A-272273ED8DFE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UNIQUE" sheetId="1" r:id="rId1"/>
    <sheet name="SORT_SingleLevel" sheetId="2" r:id="rId2"/>
    <sheet name="SORT_MultiLevel" sheetId="3" r:id="rId3"/>
    <sheet name="FILTER_1Condition" sheetId="4" r:id="rId4"/>
    <sheet name="FILTER_2Condition" sheetId="5" r:id="rId5"/>
    <sheet name="SEQUENCE" sheetId="6" r:id="rId6"/>
    <sheet name="ADV_SEQUENCE_SORT_FILTER" sheetId="8" r:id="rId7"/>
  </sheets>
  <definedNames>
    <definedName name="_xlnm._FilterDatabase" localSheetId="3" hidden="1">FILTER_1Condition!$A$1:$C$10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6" l="1" a="1"/>
  <c r="G1" i="6" s="1"/>
  <c r="E1" i="6" a="1"/>
  <c r="E1" i="6" s="1"/>
  <c r="D16" i="6" a="1"/>
  <c r="D16" i="6" s="1"/>
  <c r="C16" i="6" l="1" a="1"/>
  <c r="C16" i="6" s="1"/>
  <c r="H21" i="6" a="1"/>
  <c r="H21" i="6" s="1"/>
  <c r="H15" i="6" a="1"/>
  <c r="H15" i="6" s="1"/>
  <c r="I2" i="5" a="1"/>
  <c r="I2" i="5" s="1"/>
  <c r="E14" i="5" a="1"/>
  <c r="E14" i="5" s="1"/>
  <c r="F2" i="8" a="1"/>
  <c r="F2" i="8" s="1"/>
  <c r="A1" i="6" a="1"/>
  <c r="A1" i="6" s="1"/>
  <c r="E2" i="2" a="1"/>
  <c r="E2" i="2" s="1"/>
  <c r="E2" i="3" a="1"/>
  <c r="E2" i="3" s="1"/>
  <c r="F2" i="1" a="1"/>
  <c r="F2" i="1" s="1"/>
  <c r="G2" i="8" a="1"/>
  <c r="G2" i="8" s="1"/>
  <c r="E2" i="8" a="1"/>
  <c r="E2" i="8" s="1"/>
  <c r="C1" i="6" a="1"/>
  <c r="C1" i="6" s="1"/>
  <c r="E2" i="5" a="1"/>
  <c r="E2" i="5" s="1"/>
  <c r="E2" i="4" a="1"/>
  <c r="E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<sst xmlns="http://schemas.openxmlformats.org/spreadsheetml/2006/main" count="223" uniqueCount="115">
  <si>
    <t>What are Dynamic Arrays?</t>
  </si>
  <si>
    <r>
      <t xml:space="preserve">Dynamic Arrays are formulas that </t>
    </r>
    <r>
      <rPr>
        <b/>
        <sz val="11"/>
        <color theme="1"/>
        <rFont val="Calibri"/>
        <family val="2"/>
        <scheme val="minor"/>
      </rPr>
      <t>spill</t>
    </r>
    <r>
      <rPr>
        <sz val="11"/>
        <color theme="1"/>
        <rFont val="Calibri"/>
        <family val="2"/>
        <scheme val="minor"/>
      </rPr>
      <t xml:space="preserve"> automatically into multiple cells based on the result size.</t>
    </r>
  </si>
  <si>
    <r>
      <t xml:space="preserve">Functions like </t>
    </r>
    <r>
      <rPr>
        <sz val="10"/>
        <color theme="1"/>
        <rFont val="Arial Unicode MS"/>
      </rPr>
      <t>UNIQUE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SORT</t>
    </r>
    <r>
      <rPr>
        <sz val="11"/>
        <color theme="1"/>
        <rFont val="Calibri"/>
        <family val="2"/>
        <scheme val="minor"/>
      </rPr>
      <t xml:space="preserve"> are great examples — they output a </t>
    </r>
    <r>
      <rPr>
        <b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 xml:space="preserve"> of values, not just a single cell!</t>
    </r>
  </si>
  <si>
    <t>Name</t>
  </si>
  <si>
    <t>Score</t>
  </si>
  <si>
    <t>Formula:</t>
  </si>
  <si>
    <t>What happens?</t>
  </si>
  <si>
    <t>unique</t>
  </si>
  <si>
    <t>Rutherford</t>
  </si>
  <si>
    <t>Bohr</t>
  </si>
  <si>
    <t>Newton</t>
  </si>
  <si>
    <t>Ohm</t>
  </si>
  <si>
    <t>Coulomb</t>
  </si>
  <si>
    <r>
      <t xml:space="preserve">Suppose your Names are in </t>
    </r>
    <r>
      <rPr>
        <b/>
        <sz val="11"/>
        <color theme="1"/>
        <rFont val="Calibri"/>
        <family val="2"/>
        <scheme val="minor"/>
      </rPr>
      <t>A2:A10</t>
    </r>
  </si>
  <si>
    <t>In another cell say F2, write: =UNIQUE(A2:A10)</t>
  </si>
  <si>
    <r>
      <t xml:space="preserve">Suppose this table is in </t>
    </r>
    <r>
      <rPr>
        <b/>
        <sz val="11"/>
        <color theme="1"/>
        <rFont val="Calibri"/>
        <family val="2"/>
        <scheme val="minor"/>
      </rPr>
      <t>A1:B6</t>
    </r>
    <r>
      <rPr>
        <sz val="11"/>
        <color theme="1"/>
        <rFont val="Calibri"/>
        <family val="2"/>
        <scheme val="minor"/>
      </rPr>
      <t xml:space="preserve"> (with headers).</t>
    </r>
  </si>
  <si>
    <t>How it works:</t>
  </si>
  <si>
    <r>
      <t>A2:B6</t>
    </r>
    <r>
      <rPr>
        <sz val="11"/>
        <color theme="1"/>
        <rFont val="Calibri"/>
        <family val="2"/>
        <scheme val="minor"/>
      </rPr>
      <t xml:space="preserve"> → Range to sort</t>
    </r>
  </si>
  <si>
    <r>
      <t>2</t>
    </r>
    <r>
      <rPr>
        <sz val="11"/>
        <color theme="1"/>
        <rFont val="Calibri"/>
        <family val="2"/>
        <scheme val="minor"/>
      </rPr>
      <t xml:space="preserve"> → The column number to sort by (2 = Sales ($))</t>
    </r>
  </si>
  <si>
    <r>
      <t>-1</t>
    </r>
    <r>
      <rPr>
        <sz val="11"/>
        <color theme="1"/>
        <rFont val="Calibri"/>
        <family val="2"/>
        <scheme val="minor"/>
      </rPr>
      <t xml:space="preserve"> → Sort order (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= ascending, 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 xml:space="preserve"> = descending)</t>
    </r>
  </si>
  <si>
    <t>Region</t>
  </si>
  <si>
    <t>East</t>
  </si>
  <si>
    <t>West</t>
  </si>
  <si>
    <t>South</t>
  </si>
  <si>
    <t>Turing</t>
  </si>
  <si>
    <t>computer scientists</t>
  </si>
  <si>
    <t>Hopper</t>
  </si>
  <si>
    <t>Berners-Lee</t>
  </si>
  <si>
    <t>Lovelace</t>
  </si>
  <si>
    <t>Torvalds</t>
  </si>
  <si>
    <t>Ritchie</t>
  </si>
  <si>
    <t>Neumann</t>
  </si>
  <si>
    <t>Sales</t>
  </si>
  <si>
    <t>Multi-level SORT formula:</t>
  </si>
  <si>
    <r>
      <t xml:space="preserve">In </t>
    </r>
    <r>
      <rPr>
        <b/>
        <sz val="11"/>
        <color theme="1"/>
        <rFont val="Calibri"/>
        <family val="2"/>
        <scheme val="minor"/>
      </rPr>
      <t>E1</t>
    </r>
    <r>
      <rPr>
        <sz val="11"/>
        <color theme="1"/>
        <rFont val="Calibri"/>
        <family val="2"/>
        <scheme val="minor"/>
      </rPr>
      <t xml:space="preserve">, enter the same headers: Computer scientist,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</si>
  <si>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>, enter this: =SORT(A2:C8, {2,3}, {1,-1})</t>
    </r>
  </si>
  <si>
    <r>
      <t>A2:C8</t>
    </r>
    <r>
      <rPr>
        <sz val="11"/>
        <color theme="1"/>
        <rFont val="Calibri"/>
        <family val="2"/>
        <scheme val="minor"/>
      </rPr>
      <t xml:space="preserve"> → Your data range</t>
    </r>
  </si>
  <si>
    <r>
      <t>{2,3}</t>
    </r>
    <r>
      <rPr>
        <sz val="11"/>
        <color theme="1"/>
        <rFont val="Calibri"/>
        <family val="2"/>
        <scheme val="minor"/>
      </rPr>
      <t xml:space="preserve"> → First sort by column 2 (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>), then by column 3 (</t>
    </r>
    <r>
      <rPr>
        <b/>
        <sz val="11"/>
        <color theme="1"/>
        <rFont val="Calibri"/>
        <family val="2"/>
        <scheme val="minor"/>
      </rPr>
      <t>Sales ($)</t>
    </r>
    <r>
      <rPr>
        <sz val="11"/>
        <color theme="1"/>
        <rFont val="Calibri"/>
        <family val="2"/>
        <scheme val="minor"/>
      </rPr>
      <t>)</t>
    </r>
  </si>
  <si>
    <r>
      <t>{1,-1}</t>
    </r>
    <r>
      <rPr>
        <sz val="11"/>
        <color theme="1"/>
        <rFont val="Calibri"/>
        <family val="2"/>
        <scheme val="minor"/>
      </rPr>
      <t xml:space="preserve"> → Sort Region </t>
    </r>
    <r>
      <rPr>
        <b/>
        <sz val="11"/>
        <color theme="1"/>
        <rFont val="Calibri"/>
        <family val="2"/>
        <scheme val="minor"/>
      </rPr>
      <t>A–Z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), then Sales ($) </t>
    </r>
    <r>
      <rPr>
        <b/>
        <sz val="11"/>
        <color theme="1"/>
        <rFont val="Calibri"/>
        <family val="2"/>
        <scheme val="minor"/>
      </rPr>
      <t>Descending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>)</t>
    </r>
  </si>
  <si>
    <t>computer scientist</t>
  </si>
  <si>
    <t>Department</t>
  </si>
  <si>
    <t>Marketing</t>
  </si>
  <si>
    <t>HR</t>
  </si>
  <si>
    <t>Salary</t>
  </si>
  <si>
    <t>Planck</t>
  </si>
  <si>
    <t>de Broglie</t>
  </si>
  <si>
    <t>Born</t>
  </si>
  <si>
    <t>Dirac</t>
  </si>
  <si>
    <t>Heisenberg</t>
  </si>
  <si>
    <t>QM Scientist</t>
  </si>
  <si>
    <t>Schrödinger</t>
  </si>
  <si>
    <r>
      <rPr>
        <b/>
        <sz val="10"/>
        <color theme="1"/>
        <rFont val="Arial Unicode MS"/>
      </rPr>
      <t>FILTER</t>
    </r>
    <r>
      <rPr>
        <b/>
        <sz val="10"/>
        <color theme="1"/>
        <rFont val="Calibri"/>
        <family val="2"/>
        <scheme val="minor"/>
      </rPr>
      <t xml:space="preserve"> Formula:</t>
    </r>
  </si>
  <si>
    <r>
      <t xml:space="preserve">In </t>
    </r>
    <r>
      <rPr>
        <b/>
        <sz val="11"/>
        <color theme="1"/>
        <rFont val="Calibri"/>
        <family val="2"/>
        <scheme val="minor"/>
      </rPr>
      <t>E1</t>
    </r>
    <r>
      <rPr>
        <sz val="11"/>
        <color theme="1"/>
        <rFont val="Calibri"/>
        <family val="2"/>
        <scheme val="minor"/>
      </rPr>
      <t xml:space="preserve">, add headers: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Salary </t>
    </r>
  </si>
  <si>
    <r>
      <t xml:space="preserve">In </t>
    </r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>, enter: =FILTER(A:C, B:B="Sales")</t>
    </r>
  </si>
  <si>
    <r>
      <t>A:C</t>
    </r>
    <r>
      <rPr>
        <sz val="11"/>
        <color theme="1"/>
        <rFont val="Calibri"/>
        <family val="2"/>
        <scheme val="minor"/>
      </rPr>
      <t xml:space="preserve"> → Range to pull from</t>
    </r>
  </si>
  <si>
    <r>
      <t>B:B="Sales"</t>
    </r>
    <r>
      <rPr>
        <sz val="11"/>
        <color theme="1"/>
        <rFont val="Calibri"/>
        <family val="2"/>
        <scheme val="minor"/>
      </rPr>
      <t xml:space="preserve"> → Condition: only rows where Department is Sales</t>
    </r>
  </si>
  <si>
    <t>Where FILTER shines:</t>
  </si>
  <si>
    <t>Live dashboards</t>
  </si>
  <si>
    <t>Shortlists (e.g. employees with expiring contracts)</t>
  </si>
  <si>
    <t>Extracting lists for mail merge</t>
  </si>
  <si>
    <t>Dynamic tables without manual filter clicks</t>
  </si>
  <si>
    <t>Add Multiple Conditions:</t>
  </si>
  <si>
    <t>name</t>
  </si>
  <si>
    <t>depart</t>
  </si>
  <si>
    <t>salary</t>
  </si>
  <si>
    <r>
      <t>SEQUENCE(10,1,1,1)</t>
    </r>
    <r>
      <rPr>
        <sz val="11"/>
        <color theme="1"/>
        <rFont val="Calibri"/>
        <family val="2"/>
        <scheme val="minor"/>
      </rPr>
      <t xml:space="preserve"> → Generates numbers </t>
    </r>
    <r>
      <rPr>
        <b/>
        <sz val="11"/>
        <color theme="1"/>
        <rFont val="Calibri"/>
        <family val="2"/>
        <scheme val="minor"/>
      </rPr>
      <t>1 to 10</t>
    </r>
    <r>
      <rPr>
        <sz val="11"/>
        <color theme="1"/>
        <rFont val="Calibri"/>
        <family val="2"/>
        <scheme val="minor"/>
      </rPr>
      <t xml:space="preserve"> in a single column</t>
    </r>
  </si>
  <si>
    <t>10 rows, 1 column, starting at 1, step by 1</t>
  </si>
  <si>
    <t>1) To generate sequence of 10 numbers, type in A1: = SEQUENCE(10,1,1,1)</t>
  </si>
  <si>
    <t>Scenario:</t>
  </si>
  <si>
    <r>
      <t xml:space="preserve">You want to </t>
    </r>
    <r>
      <rPr>
        <b/>
        <sz val="11"/>
        <color theme="1"/>
        <rFont val="Calibri"/>
        <family val="2"/>
        <scheme val="minor"/>
      </rPr>
      <t>automatically generate an invoice number series</t>
    </r>
    <r>
      <rPr>
        <sz val="11"/>
        <color theme="1"/>
        <rFont val="Calibri"/>
        <family val="2"/>
        <scheme val="minor"/>
      </rPr>
      <t xml:space="preserve"> for your sales team or a list of </t>
    </r>
    <r>
      <rPr>
        <b/>
        <sz val="11"/>
        <color theme="1"/>
        <rFont val="Calibri"/>
        <family val="2"/>
        <scheme val="minor"/>
      </rPr>
      <t>monthly payment due dates</t>
    </r>
    <r>
      <rPr>
        <sz val="11"/>
        <color theme="1"/>
        <rFont val="Calibri"/>
        <family val="2"/>
        <scheme val="minor"/>
      </rPr>
      <t xml:space="preserve"> — no manual typing!</t>
    </r>
  </si>
  <si>
    <t>Example 1: Generate Invoice Numbers</t>
  </si>
  <si>
    <r>
      <t>Goal:</t>
    </r>
    <r>
      <rPr>
        <sz val="11"/>
        <color theme="1"/>
        <rFont val="Calibri"/>
        <family val="2"/>
        <scheme val="minor"/>
      </rPr>
      <t xml:space="preserve"> Create invoice numbers from </t>
    </r>
    <r>
      <rPr>
        <b/>
        <sz val="11"/>
        <color theme="1"/>
        <rFont val="Calibri"/>
        <family val="2"/>
        <scheme val="minor"/>
      </rPr>
      <t>INV-001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INV-010</t>
    </r>
    <r>
      <rPr>
        <sz val="11"/>
        <color theme="1"/>
        <rFont val="Calibri"/>
        <family val="2"/>
        <scheme val="minor"/>
      </rPr>
      <t>.</t>
    </r>
  </si>
  <si>
    <t>⚡ How to do it:</t>
  </si>
  <si>
    <t>In E1, enter this formula: ="INV-" &amp; TEXT(SEQUENCE(10,1,1,1),"000")</t>
  </si>
  <si>
    <t>Example 2: Create a list of dates</t>
  </si>
  <si>
    <r>
      <t>In G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enter: =SEQUENCE(12,1,DATE(2025,1,1),30)</t>
    </r>
  </si>
  <si>
    <t>Then change the data type to Short Date</t>
  </si>
  <si>
    <r>
      <t xml:space="preserve">Real uses for </t>
    </r>
    <r>
      <rPr>
        <b/>
        <sz val="10"/>
        <color theme="1"/>
        <rFont val="Arial Unicode MS"/>
      </rPr>
      <t>SEQUENCE</t>
    </r>
    <r>
      <rPr>
        <b/>
        <sz val="18"/>
        <color theme="1"/>
        <rFont val="Calibri"/>
        <family val="2"/>
        <scheme val="minor"/>
      </rPr>
      <t>:</t>
    </r>
  </si>
  <si>
    <t>Invoice/batch numbering</t>
  </si>
  <si>
    <t>Automatically fill months, weeks, or days</t>
  </si>
  <si>
    <t>Index column for tables</t>
  </si>
  <si>
    <t>Building dummy data for testing</t>
  </si>
  <si>
    <t>How to do it:</t>
  </si>
  <si>
    <t>Rank</t>
  </si>
  <si>
    <r>
      <t>In F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use: =INDEX(
   SORT(A2:C8, 3, -1),
   SEQUENCE(3),
   1
)</t>
    </r>
  </si>
  <si>
    <r>
      <t>In G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use: =INDEX(
   SORT(A2:C8, 3, -1),
   SEQUENCE(3),
   3
)</t>
    </r>
  </si>
  <si>
    <r>
      <t>In E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type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, and in </t>
    </r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>,E3 type Region,</t>
    </r>
    <r>
      <rPr>
        <b/>
        <sz val="11"/>
        <color theme="1"/>
        <rFont val="Calibri"/>
        <family val="2"/>
        <scheme val="minor"/>
      </rPr>
      <t>Sales respectively</t>
    </r>
    <r>
      <rPr>
        <sz val="11"/>
        <color theme="1"/>
        <rFont val="Calibri"/>
        <family val="2"/>
        <scheme val="minor"/>
      </rPr>
      <t xml:space="preserve"> (to create new headers for the sorted table).</t>
    </r>
  </si>
  <si>
    <r>
      <t>Then in E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enter: = SORT(A2:C8,3,1)</t>
    </r>
  </si>
  <si>
    <t>Sales_Department</t>
  </si>
  <si>
    <t>1) In cell E1, E2,E3, type name, department,salary</t>
  </si>
  <si>
    <t>2)In cell E2 enter: =FILTER(A:C, (B:B="Sales")*(C:C&gt;51000))</t>
  </si>
  <si>
    <t>2) To generate seq of 10  numbers starting with 3 and step size 2, type in C1: = SEQUENCE(10,1,3,2)</t>
  </si>
  <si>
    <r>
      <t>1) In E</t>
    </r>
    <r>
      <rPr>
        <b/>
        <sz val="11"/>
        <color theme="1"/>
        <rFont val="Calibri"/>
        <family val="2"/>
        <scheme val="minor"/>
      </rPr>
      <t>1:G1</t>
    </r>
    <r>
      <rPr>
        <sz val="11"/>
        <color theme="1"/>
        <rFont val="Calibri"/>
        <family val="2"/>
        <scheme val="minor"/>
      </rPr>
      <t xml:space="preserve">, type headers: </t>
    </r>
    <r>
      <rPr>
        <b/>
        <sz val="11"/>
        <color theme="1"/>
        <rFont val="Calibri"/>
        <family val="2"/>
        <scheme val="minor"/>
      </rPr>
      <t>Rank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Rep 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Sales</t>
    </r>
  </si>
  <si>
    <r>
      <t xml:space="preserve">2) In </t>
    </r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>, use: =SEQUENCE(3)</t>
    </r>
  </si>
  <si>
    <t>Excel spills the list of unique names vertically:</t>
  </si>
  <si>
    <t>Einstein</t>
  </si>
  <si>
    <t>Eisentein</t>
  </si>
  <si>
    <r>
      <t xml:space="preserve">GOAL: Sort the data first based on </t>
    </r>
    <r>
      <rPr>
        <b/>
        <sz val="12"/>
        <color theme="1"/>
        <rFont val="Calibri"/>
        <family val="2"/>
        <scheme val="minor"/>
      </rPr>
      <t>region</t>
    </r>
    <r>
      <rPr>
        <sz val="12"/>
        <color theme="1"/>
        <rFont val="Calibri"/>
        <family val="2"/>
        <scheme val="minor"/>
      </rPr>
      <t xml:space="preserve">, and then within </t>
    </r>
    <r>
      <rPr>
        <b/>
        <sz val="12"/>
        <color theme="1"/>
        <rFont val="Calibri"/>
        <family val="2"/>
        <scheme val="minor"/>
      </rPr>
      <t>region</t>
    </r>
    <r>
      <rPr>
        <sz val="12"/>
        <color theme="1"/>
        <rFont val="Calibri"/>
        <family val="2"/>
        <scheme val="minor"/>
      </rPr>
      <t xml:space="preserve"> sort it based on </t>
    </r>
    <r>
      <rPr>
        <b/>
        <sz val="12"/>
        <color theme="1"/>
        <rFont val="Calibri"/>
        <family val="2"/>
        <scheme val="minor"/>
      </rPr>
      <t>Sales</t>
    </r>
  </si>
  <si>
    <t>GOAL: Sort the tables based on sales using formulas</t>
  </si>
  <si>
    <t>Goal:Show only the rows where Department = Sales. Using formula</t>
  </si>
  <si>
    <t>dept</t>
  </si>
  <si>
    <r>
      <t xml:space="preserve">GOAL1 : To get records of employees </t>
    </r>
    <r>
      <rPr>
        <b/>
        <sz val="18"/>
        <color theme="1"/>
        <rFont val="Calibri"/>
        <family val="2"/>
        <scheme val="minor"/>
      </rPr>
      <t xml:space="preserve">working in sales who earning more than $51,000 </t>
    </r>
  </si>
  <si>
    <r>
      <t xml:space="preserve">GOAL2 : To get records of employees </t>
    </r>
    <r>
      <rPr>
        <b/>
        <sz val="18"/>
        <color theme="1"/>
        <rFont val="Calibri"/>
        <family val="2"/>
        <scheme val="minor"/>
      </rPr>
      <t xml:space="preserve">working in sales or HR </t>
    </r>
  </si>
  <si>
    <t>1) In cell I1, I2,I3, type name, department,salary</t>
  </si>
  <si>
    <t>2)In cell I2 enter: = FILTER(A2:C100, (B2:B100 = "HR") + (B2:B100 = "Sales"))</t>
  </si>
  <si>
    <t xml:space="preserve">name </t>
  </si>
  <si>
    <t>depart_HR_SALES</t>
  </si>
  <si>
    <t>ash</t>
  </si>
  <si>
    <t>sham</t>
  </si>
  <si>
    <t>harry</t>
  </si>
  <si>
    <t>bob</t>
  </si>
  <si>
    <r>
      <t>Goal:</t>
    </r>
    <r>
      <rPr>
        <sz val="11"/>
        <color theme="1"/>
        <rFont val="Calibri"/>
        <family val="2"/>
        <scheme val="minor"/>
      </rPr>
      <t xml:space="preserve"> List the </t>
    </r>
    <r>
      <rPr>
        <b/>
        <sz val="11"/>
        <color theme="1"/>
        <rFont val="Calibri"/>
        <family val="2"/>
        <scheme val="minor"/>
      </rPr>
      <t>1st from month</t>
    </r>
    <r>
      <rPr>
        <sz val="11"/>
        <color theme="1"/>
        <rFont val="Calibri"/>
        <family val="2"/>
        <scheme val="minor"/>
      </rPr>
      <t xml:space="preserve"> of jan for a year, starting Jan 1, 2025 and add 8 days to each day</t>
    </r>
  </si>
  <si>
    <r>
      <t xml:space="preserve">You have a </t>
    </r>
    <r>
      <rPr>
        <b/>
        <sz val="14"/>
        <color theme="1"/>
        <rFont val="Calibri"/>
        <family val="2"/>
        <scheme val="minor"/>
      </rPr>
      <t>Sales table</t>
    </r>
    <r>
      <rPr>
        <sz val="14"/>
        <color theme="1"/>
        <rFont val="Calibri"/>
        <family val="2"/>
        <scheme val="minor"/>
      </rPr>
      <t xml:space="preserve"> with </t>
    </r>
    <r>
      <rPr>
        <b/>
        <sz val="14"/>
        <color theme="1"/>
        <rFont val="Calibri"/>
        <family val="2"/>
        <scheme val="minor"/>
      </rPr>
      <t>Name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Region</t>
    </r>
    <r>
      <rPr>
        <sz val="14"/>
        <color theme="1"/>
        <rFont val="Calibri"/>
        <family val="2"/>
        <scheme val="minor"/>
      </rPr>
      <t xml:space="preserve">, and </t>
    </r>
    <r>
      <rPr>
        <b/>
        <sz val="14"/>
        <color theme="1"/>
        <rFont val="Calibri"/>
        <family val="2"/>
        <scheme val="minor"/>
      </rPr>
      <t>Sales</t>
    </r>
    <r>
      <rPr>
        <sz val="14"/>
        <color theme="1"/>
        <rFont val="Calibri"/>
        <family val="2"/>
        <scheme val="minor"/>
      </rPr>
      <t>.</t>
    </r>
  </si>
  <si>
    <r>
      <t xml:space="preserve">You want to create a </t>
    </r>
    <r>
      <rPr>
        <b/>
        <sz val="14"/>
        <color theme="1"/>
        <rFont val="Calibri"/>
        <family val="2"/>
        <scheme val="minor"/>
      </rPr>
      <t>Top 3 Sales leaderboard</t>
    </r>
    <r>
      <rPr>
        <sz val="14"/>
        <color theme="1"/>
        <rFont val="Calibri"/>
        <family val="2"/>
        <scheme val="minor"/>
      </rPr>
      <t xml:space="preserve"> — </t>
    </r>
    <r>
      <rPr>
        <b/>
        <sz val="14"/>
        <color theme="1"/>
        <rFont val="Calibri"/>
        <family val="2"/>
        <scheme val="minor"/>
      </rPr>
      <t>sorted by sales</t>
    </r>
    <r>
      <rPr>
        <sz val="14"/>
        <color theme="1"/>
        <rFont val="Calibri"/>
        <family val="2"/>
        <scheme val="minor"/>
      </rPr>
      <t xml:space="preserve">, automatically numbered </t>
    </r>
    <r>
      <rPr>
        <b/>
        <sz val="14"/>
        <color theme="1"/>
        <rFont val="Calibri"/>
        <family val="2"/>
        <scheme val="minor"/>
      </rPr>
      <t>1, 2, 3</t>
    </r>
  </si>
  <si>
    <t>planck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</si>
</sst>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rgb="FF001D35"/>
      <name val="Arial"/>
      <family val="2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3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7" fillId="2" borderId="0" xfId="0" applyFont="1" applyFill="1"/>
    <xf numFmtId="3" fontId="0" fillId="2" borderId="0" xfId="0" applyNumberFormat="1" applyFill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3" fontId="14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4" fillId="3" borderId="0" xfId="0" applyFont="1" applyFill="1"/>
    <xf numFmtId="14" fontId="0" fillId="3" borderId="0" xfId="0" applyNumberFormat="1" applyFill="1"/>
    <xf numFmtId="0" fontId="13" fillId="2" borderId="0" xfId="0" applyFont="1" applyFill="1" applyAlignment="1">
      <alignment wrapText="1"/>
    </xf>
    <xf numFmtId="0" fontId="17" fillId="0" borderId="0" xfId="0" applyFont="1" applyAlignment="1">
      <alignment vertical="center"/>
    </xf>
    <xf numFmtId="0" fontId="0" fillId="2" borderId="0" xfId="0" applyFill="1" applyAlignment="1">
      <alignment horizontal="left" vertical="top" wrapText="1"/>
    </xf>
    <xf numFmtId="3" fontId="0" fillId="2" borderId="0" xfId="0" applyNumberForma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0" fillId="4" borderId="0" xfId="0" applyFill="1"/>
    <xf numFmtId="0" fontId="16" fillId="0" borderId="0" xfId="0" applyFont="1"/>
    <xf numFmtId="0" fontId="15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zoomScaleNormal="100" workbookViewId="0">
      <selection sqref="A1:B10"/>
    </sheetView>
  </sheetViews>
  <sheetFormatPr defaultRowHeight="15"/>
  <cols>
    <col min="1" max="1" width="13.85546875" customWidth="1"/>
    <col min="6" max="6" width="9.7109375" customWidth="1"/>
  </cols>
  <sheetData>
    <row r="1" spans="1:9">
      <c r="A1" s="14" t="s">
        <v>3</v>
      </c>
      <c r="B1" s="14" t="s">
        <v>4</v>
      </c>
      <c r="F1" s="4" t="s">
        <v>7</v>
      </c>
    </row>
    <row r="2" spans="1:9" ht="16.149999999999999" customHeight="1">
      <c r="A2" s="15" t="s">
        <v>8</v>
      </c>
      <c r="B2" s="15">
        <v>85</v>
      </c>
      <c r="F2" s="25" t="str" cm="1">
        <f t="array" ref="F2:F6" xml:space="preserve"> _xlfn.UNIQUE(A2:A10)</f>
        <v>Rutherford</v>
      </c>
    </row>
    <row r="3" spans="1:9">
      <c r="A3" s="15" t="s">
        <v>11</v>
      </c>
      <c r="B3" s="15">
        <v>78</v>
      </c>
      <c r="F3" s="25" t="str">
        <v>Ohm</v>
      </c>
    </row>
    <row r="4" spans="1:9">
      <c r="A4" s="15" t="s">
        <v>12</v>
      </c>
      <c r="B4" s="15">
        <v>90</v>
      </c>
      <c r="F4" s="25" t="str">
        <v>Coulomb</v>
      </c>
    </row>
    <row r="5" spans="1:9">
      <c r="A5" s="15" t="s">
        <v>11</v>
      </c>
      <c r="B5" s="15">
        <v>82</v>
      </c>
      <c r="F5" s="25" t="str">
        <v>Bohr</v>
      </c>
    </row>
    <row r="6" spans="1:9">
      <c r="A6" s="15" t="s">
        <v>12</v>
      </c>
      <c r="B6" s="15">
        <v>88</v>
      </c>
      <c r="F6" s="25" t="str">
        <v>Newton</v>
      </c>
    </row>
    <row r="7" spans="1:9" ht="15.6" customHeight="1">
      <c r="A7" s="15" t="s">
        <v>9</v>
      </c>
      <c r="B7" s="15">
        <v>88</v>
      </c>
      <c r="I7" s="1" t="s">
        <v>0</v>
      </c>
    </row>
    <row r="8" spans="1:9">
      <c r="A8" s="15" t="s">
        <v>10</v>
      </c>
      <c r="B8" s="15">
        <v>88</v>
      </c>
    </row>
    <row r="9" spans="1:9">
      <c r="A9" s="15" t="s">
        <v>9</v>
      </c>
      <c r="B9" s="15">
        <v>88</v>
      </c>
      <c r="I9" t="s">
        <v>1</v>
      </c>
    </row>
    <row r="10" spans="1:9">
      <c r="A10" s="15" t="s">
        <v>10</v>
      </c>
      <c r="B10" s="15">
        <v>88</v>
      </c>
      <c r="I10" t="s">
        <v>2</v>
      </c>
    </row>
    <row r="13" spans="1:9">
      <c r="I13" s="4" t="s">
        <v>5</v>
      </c>
    </row>
    <row r="14" spans="1:9">
      <c r="I14" t="s">
        <v>13</v>
      </c>
    </row>
    <row r="15" spans="1:9">
      <c r="I15" t="s">
        <v>14</v>
      </c>
    </row>
    <row r="17" spans="9:9">
      <c r="I17" s="4" t="s">
        <v>6</v>
      </c>
    </row>
    <row r="18" spans="9:9">
      <c r="I18" s="4" t="s">
        <v>94</v>
      </c>
    </row>
    <row r="19" spans="9:9">
      <c r="I19" s="5"/>
    </row>
    <row r="20" spans="9:9">
      <c r="I20" s="5"/>
    </row>
    <row r="21" spans="9:9">
      <c r="I21" s="5"/>
    </row>
    <row r="22" spans="9:9">
      <c r="I22" s="5"/>
    </row>
    <row r="23" spans="9:9">
      <c r="I2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F611-5A99-4033-B984-5C60DB5C9BDF}">
  <dimension ref="A1:L17"/>
  <sheetViews>
    <sheetView workbookViewId="0">
      <selection activeCell="I5" sqref="I5"/>
    </sheetView>
  </sheetViews>
  <sheetFormatPr defaultRowHeight="15"/>
  <cols>
    <col min="1" max="1" width="14.5703125" customWidth="1"/>
    <col min="5" max="5" width="13.7109375" customWidth="1"/>
  </cols>
  <sheetData>
    <row r="1" spans="1:12" ht="30">
      <c r="A1" s="14" t="s">
        <v>25</v>
      </c>
      <c r="B1" s="14" t="s">
        <v>20</v>
      </c>
      <c r="C1" s="14" t="s">
        <v>32</v>
      </c>
      <c r="D1" s="2"/>
      <c r="E1" s="24" t="s">
        <v>3</v>
      </c>
      <c r="F1" s="24" t="s">
        <v>20</v>
      </c>
      <c r="G1" s="24" t="s">
        <v>32</v>
      </c>
    </row>
    <row r="2" spans="1:12">
      <c r="A2" s="16" t="s">
        <v>24</v>
      </c>
      <c r="B2" s="15" t="s">
        <v>21</v>
      </c>
      <c r="C2" s="17">
        <v>5000</v>
      </c>
      <c r="D2" s="6"/>
      <c r="E2" s="25" t="str" cm="1">
        <f t="array" ref="E2:G8" xml:space="preserve"> _xlfn._xlws.SORT(A2:C8,3,1)</f>
        <v>Turing</v>
      </c>
      <c r="F2" s="25" t="str">
        <v>East</v>
      </c>
      <c r="G2" s="25">
        <v>5000</v>
      </c>
    </row>
    <row r="3" spans="1:12">
      <c r="A3" s="16" t="s">
        <v>26</v>
      </c>
      <c r="B3" s="15" t="s">
        <v>22</v>
      </c>
      <c r="C3" s="17">
        <v>8000</v>
      </c>
      <c r="D3" s="6"/>
      <c r="E3" s="25" t="str">
        <v>Ritchie</v>
      </c>
      <c r="F3" s="25" t="str">
        <v>South</v>
      </c>
      <c r="G3" s="25">
        <v>5800</v>
      </c>
    </row>
    <row r="4" spans="1:12">
      <c r="A4" s="16" t="s">
        <v>27</v>
      </c>
      <c r="B4" s="15" t="s">
        <v>21</v>
      </c>
      <c r="C4" s="17">
        <v>6500</v>
      </c>
      <c r="D4" s="6"/>
      <c r="E4" s="25" t="str">
        <v>Berners-Lee</v>
      </c>
      <c r="F4" s="25" t="str">
        <v>East</v>
      </c>
      <c r="G4" s="25">
        <v>6500</v>
      </c>
    </row>
    <row r="5" spans="1:12" ht="15.75">
      <c r="A5" s="16" t="s">
        <v>28</v>
      </c>
      <c r="B5" s="15" t="s">
        <v>22</v>
      </c>
      <c r="C5" s="17">
        <v>9200</v>
      </c>
      <c r="D5" s="6"/>
      <c r="E5" s="25" t="str">
        <v>Torvalds</v>
      </c>
      <c r="F5" s="25" t="str">
        <v>East</v>
      </c>
      <c r="G5" s="25">
        <v>7100</v>
      </c>
      <c r="I5" s="20" t="s">
        <v>98</v>
      </c>
      <c r="J5" s="20"/>
      <c r="K5" s="20"/>
      <c r="L5" s="20"/>
    </row>
    <row r="6" spans="1:12">
      <c r="A6" s="16" t="s">
        <v>29</v>
      </c>
      <c r="B6" s="15" t="s">
        <v>21</v>
      </c>
      <c r="C6" s="17">
        <v>7100</v>
      </c>
      <c r="D6" s="6"/>
      <c r="E6" s="25" t="str">
        <v>Neumann</v>
      </c>
      <c r="F6" s="25" t="str">
        <v>South</v>
      </c>
      <c r="G6" s="25">
        <v>7500</v>
      </c>
      <c r="I6" t="s">
        <v>15</v>
      </c>
    </row>
    <row r="7" spans="1:12">
      <c r="A7" s="16" t="s">
        <v>30</v>
      </c>
      <c r="B7" s="15" t="s">
        <v>23</v>
      </c>
      <c r="C7" s="17">
        <v>5800</v>
      </c>
      <c r="D7" s="6"/>
      <c r="E7" s="25" t="str">
        <v>Hopper</v>
      </c>
      <c r="F7" s="25" t="str">
        <v>West</v>
      </c>
      <c r="G7" s="25">
        <v>8000</v>
      </c>
    </row>
    <row r="8" spans="1:12">
      <c r="A8" s="16" t="s">
        <v>31</v>
      </c>
      <c r="B8" s="15" t="s">
        <v>23</v>
      </c>
      <c r="C8" s="17">
        <v>7500</v>
      </c>
      <c r="D8" s="6"/>
      <c r="E8" s="25" t="str">
        <v>Lovelace</v>
      </c>
      <c r="F8" s="25" t="str">
        <v>West</v>
      </c>
      <c r="G8" s="25">
        <v>9200</v>
      </c>
      <c r="I8" t="s">
        <v>86</v>
      </c>
    </row>
    <row r="10" spans="1:12">
      <c r="I10" t="s">
        <v>87</v>
      </c>
    </row>
    <row r="12" spans="1:12" ht="18">
      <c r="I12" s="7" t="s">
        <v>16</v>
      </c>
    </row>
    <row r="13" spans="1:12">
      <c r="I13" s="5"/>
    </row>
    <row r="14" spans="1:12">
      <c r="I14" s="8" t="s">
        <v>17</v>
      </c>
    </row>
    <row r="15" spans="1:12">
      <c r="I15" s="8" t="s">
        <v>18</v>
      </c>
    </row>
    <row r="16" spans="1:12">
      <c r="I16" s="8" t="s">
        <v>19</v>
      </c>
    </row>
    <row r="17" spans="9:9">
      <c r="I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B64D-89C8-4A94-8AD0-EF934733E7C5}">
  <dimension ref="A1:R19"/>
  <sheetViews>
    <sheetView workbookViewId="0">
      <selection activeCell="A2" sqref="A2:A8"/>
    </sheetView>
  </sheetViews>
  <sheetFormatPr defaultRowHeight="15"/>
  <cols>
    <col min="1" max="1" width="13.42578125" customWidth="1"/>
    <col min="5" max="5" width="12.85546875" customWidth="1"/>
    <col min="18" max="18" width="21" customWidth="1"/>
  </cols>
  <sheetData>
    <row r="1" spans="1:18" ht="36" customHeight="1">
      <c r="A1" s="21" t="s">
        <v>25</v>
      </c>
      <c r="B1" s="21" t="s">
        <v>20</v>
      </c>
      <c r="C1" s="21" t="s">
        <v>32</v>
      </c>
      <c r="E1" s="2" t="s">
        <v>39</v>
      </c>
      <c r="F1" s="2" t="s">
        <v>20</v>
      </c>
      <c r="G1" s="2" t="s">
        <v>32</v>
      </c>
    </row>
    <row r="2" spans="1:18">
      <c r="A2" s="28" t="s">
        <v>24</v>
      </c>
      <c r="B2" s="22" t="s">
        <v>21</v>
      </c>
      <c r="C2" s="23">
        <v>5000</v>
      </c>
      <c r="E2" s="26" t="str" cm="1">
        <f t="array" ref="E2:G8">_xlfn._xlws.SORT(A2:C8, {2,3}, {1,-1})</f>
        <v>Torvalds</v>
      </c>
      <c r="F2" s="26" t="str">
        <v>East</v>
      </c>
      <c r="G2" s="26">
        <v>7100</v>
      </c>
    </row>
    <row r="3" spans="1:18">
      <c r="A3" s="28" t="s">
        <v>26</v>
      </c>
      <c r="B3" s="22" t="s">
        <v>22</v>
      </c>
      <c r="C3" s="23">
        <v>8000</v>
      </c>
      <c r="E3" s="26" t="str">
        <v>Berners-Lee</v>
      </c>
      <c r="F3" s="26" t="str">
        <v>East</v>
      </c>
      <c r="G3" s="26">
        <v>6500</v>
      </c>
    </row>
    <row r="4" spans="1:18">
      <c r="A4" s="28" t="s">
        <v>27</v>
      </c>
      <c r="B4" s="22" t="s">
        <v>21</v>
      </c>
      <c r="C4" s="23">
        <v>6500</v>
      </c>
      <c r="E4" s="26" t="str">
        <v>Turing</v>
      </c>
      <c r="F4" s="26" t="str">
        <v>East</v>
      </c>
      <c r="G4" s="26">
        <v>5000</v>
      </c>
    </row>
    <row r="5" spans="1:18" ht="18.75">
      <c r="A5" s="28" t="s">
        <v>28</v>
      </c>
      <c r="B5" s="22" t="s">
        <v>22</v>
      </c>
      <c r="C5" s="23">
        <v>9200</v>
      </c>
      <c r="E5" s="26" t="str">
        <v>Neumann</v>
      </c>
      <c r="F5" s="26" t="str">
        <v>South</v>
      </c>
      <c r="G5" s="26">
        <v>7500</v>
      </c>
      <c r="K5" s="29" t="s">
        <v>33</v>
      </c>
    </row>
    <row r="6" spans="1:18">
      <c r="A6" s="28" t="s">
        <v>29</v>
      </c>
      <c r="B6" s="22" t="s">
        <v>21</v>
      </c>
      <c r="C6" s="23">
        <v>7100</v>
      </c>
      <c r="E6" s="26" t="str">
        <v>Ritchie</v>
      </c>
      <c r="F6" s="26" t="str">
        <v>South</v>
      </c>
      <c r="G6" s="26">
        <v>5800</v>
      </c>
    </row>
    <row r="7" spans="1:18" ht="15.75">
      <c r="A7" s="28" t="s">
        <v>30</v>
      </c>
      <c r="B7" s="22" t="s">
        <v>23</v>
      </c>
      <c r="C7" s="23">
        <v>5800</v>
      </c>
      <c r="E7" s="26" t="str">
        <v>Lovelace</v>
      </c>
      <c r="F7" s="26" t="str">
        <v>West</v>
      </c>
      <c r="G7" s="26">
        <v>9200</v>
      </c>
      <c r="K7" s="38" t="s">
        <v>97</v>
      </c>
      <c r="L7" s="38"/>
      <c r="M7" s="38"/>
      <c r="N7" s="38"/>
      <c r="O7" s="38"/>
      <c r="P7" s="38"/>
      <c r="Q7" s="38"/>
      <c r="R7" s="38"/>
    </row>
    <row r="8" spans="1:18">
      <c r="A8" s="28" t="s">
        <v>31</v>
      </c>
      <c r="B8" s="22" t="s">
        <v>23</v>
      </c>
      <c r="C8" s="23">
        <v>7500</v>
      </c>
      <c r="E8" s="26" t="str">
        <v>Hopper</v>
      </c>
      <c r="F8" s="26" t="str">
        <v>West</v>
      </c>
      <c r="G8" s="26">
        <v>8000</v>
      </c>
    </row>
    <row r="9" spans="1:18">
      <c r="K9" t="s">
        <v>34</v>
      </c>
    </row>
    <row r="10" spans="1:18">
      <c r="K10" t="s">
        <v>35</v>
      </c>
    </row>
    <row r="13" spans="1:18" ht="23.25">
      <c r="K13" s="1" t="s">
        <v>16</v>
      </c>
    </row>
    <row r="14" spans="1:18">
      <c r="K14" s="5"/>
    </row>
    <row r="15" spans="1:18">
      <c r="K15" s="10" t="s">
        <v>36</v>
      </c>
    </row>
    <row r="16" spans="1:18">
      <c r="K16" s="5"/>
    </row>
    <row r="17" spans="11:11">
      <c r="K17" s="10" t="s">
        <v>37</v>
      </c>
    </row>
    <row r="18" spans="11:11">
      <c r="K18" s="5"/>
    </row>
    <row r="19" spans="11:11">
      <c r="K19" s="10" t="s">
        <v>38</v>
      </c>
    </row>
  </sheetData>
  <mergeCells count="1">
    <mergeCell ref="K7:R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E06F-15B2-4AF9-A989-B1751BA055D1}">
  <dimension ref="A1:K31"/>
  <sheetViews>
    <sheetView workbookViewId="0">
      <selection activeCell="A2" sqref="A2:A10"/>
    </sheetView>
  </sheetViews>
  <sheetFormatPr defaultRowHeight="15"/>
  <cols>
    <col min="1" max="1" width="12" customWidth="1"/>
    <col min="2" max="2" width="13.42578125" customWidth="1"/>
    <col min="5" max="5" width="11.140625" customWidth="1"/>
    <col min="6" max="6" width="19.28515625" customWidth="1"/>
  </cols>
  <sheetData>
    <row r="1" spans="1:11" ht="30">
      <c r="A1" s="14" t="s">
        <v>49</v>
      </c>
      <c r="B1" s="14" t="s">
        <v>40</v>
      </c>
      <c r="C1" s="14" t="s">
        <v>43</v>
      </c>
      <c r="E1" s="24" t="s">
        <v>3</v>
      </c>
      <c r="F1" s="24" t="s">
        <v>88</v>
      </c>
      <c r="G1" s="24" t="s">
        <v>43</v>
      </c>
    </row>
    <row r="2" spans="1:11">
      <c r="A2" s="15" t="s">
        <v>44</v>
      </c>
      <c r="B2" s="15" t="s">
        <v>32</v>
      </c>
      <c r="C2" s="17">
        <v>50000</v>
      </c>
      <c r="E2" s="25" t="str" cm="1">
        <f t="array" ref="E2:G5">_xlfn._xlws.FILTER(A:C, B:B="Sales")</f>
        <v>Planck</v>
      </c>
      <c r="F2" s="25" t="str">
        <v>Sales</v>
      </c>
      <c r="G2" s="25">
        <v>50000</v>
      </c>
    </row>
    <row r="3" spans="1:11" ht="21.6" customHeight="1">
      <c r="A3" s="15" t="s">
        <v>9</v>
      </c>
      <c r="B3" s="15" t="s">
        <v>41</v>
      </c>
      <c r="C3" s="17">
        <v>48000</v>
      </c>
      <c r="E3" s="25" t="str">
        <v>de Broglie</v>
      </c>
      <c r="F3" s="25" t="str">
        <v>Sales</v>
      </c>
      <c r="G3" s="25">
        <v>52000</v>
      </c>
    </row>
    <row r="4" spans="1:11">
      <c r="A4" s="16" t="s">
        <v>45</v>
      </c>
      <c r="B4" s="15" t="s">
        <v>32</v>
      </c>
      <c r="C4" s="17">
        <v>52000</v>
      </c>
      <c r="E4" s="25" t="str">
        <v>Dirac</v>
      </c>
      <c r="F4" s="25" t="str">
        <v>Sales</v>
      </c>
      <c r="G4" s="25">
        <v>55000</v>
      </c>
    </row>
    <row r="5" spans="1:11">
      <c r="A5" s="16" t="s">
        <v>46</v>
      </c>
      <c r="B5" s="15" t="s">
        <v>42</v>
      </c>
      <c r="C5" s="17">
        <v>45000</v>
      </c>
      <c r="E5" s="25" t="str">
        <v>Eisentein</v>
      </c>
      <c r="F5" s="25" t="str">
        <v>Sales</v>
      </c>
      <c r="G5" s="25">
        <v>45000</v>
      </c>
    </row>
    <row r="6" spans="1:11">
      <c r="A6" s="16" t="s">
        <v>47</v>
      </c>
      <c r="B6" s="15" t="s">
        <v>32</v>
      </c>
      <c r="C6" s="17">
        <v>55000</v>
      </c>
    </row>
    <row r="7" spans="1:11">
      <c r="A7" s="16" t="s">
        <v>48</v>
      </c>
      <c r="B7" s="15" t="s">
        <v>41</v>
      </c>
      <c r="C7" s="17">
        <v>47000</v>
      </c>
    </row>
    <row r="8" spans="1:11">
      <c r="A8" s="16" t="s">
        <v>50</v>
      </c>
      <c r="B8" s="15" t="s">
        <v>41</v>
      </c>
      <c r="C8" s="17">
        <v>44000</v>
      </c>
    </row>
    <row r="9" spans="1:11">
      <c r="A9" s="16" t="s">
        <v>95</v>
      </c>
      <c r="B9" s="15" t="s">
        <v>41</v>
      </c>
      <c r="C9" s="17">
        <v>45000</v>
      </c>
    </row>
    <row r="10" spans="1:11" ht="23.25">
      <c r="A10" s="16" t="s">
        <v>96</v>
      </c>
      <c r="B10" s="15" t="s">
        <v>32</v>
      </c>
      <c r="C10" s="17">
        <v>45000</v>
      </c>
      <c r="K10" s="1" t="s">
        <v>99</v>
      </c>
    </row>
    <row r="12" spans="1:11">
      <c r="K12" s="11" t="s">
        <v>51</v>
      </c>
    </row>
    <row r="14" spans="1:11">
      <c r="K14" t="s">
        <v>52</v>
      </c>
    </row>
    <row r="15" spans="1:11">
      <c r="K15" t="s">
        <v>53</v>
      </c>
    </row>
    <row r="18" spans="11:11" ht="23.25">
      <c r="K18" s="1" t="s">
        <v>16</v>
      </c>
    </row>
    <row r="19" spans="11:11">
      <c r="K19" s="5"/>
    </row>
    <row r="20" spans="11:11">
      <c r="K20" s="10" t="s">
        <v>54</v>
      </c>
    </row>
    <row r="21" spans="11:11">
      <c r="K21" s="10" t="s">
        <v>55</v>
      </c>
    </row>
    <row r="24" spans="11:11" ht="18">
      <c r="K24" s="7" t="s">
        <v>56</v>
      </c>
    </row>
    <row r="25" spans="11:11">
      <c r="K25" s="5"/>
    </row>
    <row r="26" spans="11:11">
      <c r="K26" s="8" t="s">
        <v>57</v>
      </c>
    </row>
    <row r="27" spans="11:11">
      <c r="K27" s="5" t="s">
        <v>58</v>
      </c>
    </row>
    <row r="28" spans="11:11">
      <c r="K28" s="5" t="s">
        <v>59</v>
      </c>
    </row>
    <row r="29" spans="11:11">
      <c r="K29" s="5" t="s">
        <v>60</v>
      </c>
    </row>
    <row r="31" spans="11:11">
      <c r="K3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A0A7-AB2F-4FEF-A689-5830AE836EFF}">
  <dimension ref="A1:K32"/>
  <sheetViews>
    <sheetView workbookViewId="0">
      <selection activeCell="N6" sqref="N6"/>
    </sheetView>
  </sheetViews>
  <sheetFormatPr defaultRowHeight="15"/>
  <cols>
    <col min="1" max="1" width="12" customWidth="1"/>
    <col min="2" max="2" width="13.42578125" customWidth="1"/>
    <col min="6" max="6" width="12.5703125" customWidth="1"/>
    <col min="10" max="10" width="18.7109375" customWidth="1"/>
  </cols>
  <sheetData>
    <row r="1" spans="1:11" ht="30">
      <c r="A1" s="14" t="s">
        <v>49</v>
      </c>
      <c r="B1" s="14" t="s">
        <v>40</v>
      </c>
      <c r="C1" s="14" t="s">
        <v>43</v>
      </c>
      <c r="E1" s="33" t="s">
        <v>62</v>
      </c>
      <c r="F1" s="33" t="s">
        <v>63</v>
      </c>
      <c r="G1" s="33" t="s">
        <v>64</v>
      </c>
      <c r="I1" s="35" t="s">
        <v>105</v>
      </c>
      <c r="J1" s="35" t="s">
        <v>106</v>
      </c>
      <c r="K1" s="35" t="s">
        <v>64</v>
      </c>
    </row>
    <row r="2" spans="1:11">
      <c r="A2" s="30" t="s">
        <v>44</v>
      </c>
      <c r="B2" s="30" t="s">
        <v>32</v>
      </c>
      <c r="C2" s="31">
        <v>50000</v>
      </c>
      <c r="E2" s="34" t="str" cm="1">
        <f t="array" ref="E2:G3">_xlfn._xlws.FILTER(A:C, (B:B="Sales")*(C:C&gt;51000))</f>
        <v>de Broglie</v>
      </c>
      <c r="F2" s="34" t="str">
        <v>Sales</v>
      </c>
      <c r="G2" s="34">
        <v>52000</v>
      </c>
      <c r="I2" s="36" t="str" cm="1">
        <f t="array" ref="I2:K5">_xlfn._xlws.FILTER(A:C, (B:B = "HR") + (B:B = "Sales"))</f>
        <v>Planck</v>
      </c>
      <c r="J2" s="36" t="str">
        <v>Sales</v>
      </c>
      <c r="K2" s="36">
        <v>50000</v>
      </c>
    </row>
    <row r="3" spans="1:11" ht="21.6" customHeight="1">
      <c r="A3" s="30" t="s">
        <v>9</v>
      </c>
      <c r="B3" s="30" t="s">
        <v>41</v>
      </c>
      <c r="C3" s="31">
        <v>48000</v>
      </c>
      <c r="E3" s="34" t="str">
        <v>Dirac</v>
      </c>
      <c r="F3" s="34" t="str">
        <v>Sales</v>
      </c>
      <c r="G3" s="34">
        <v>55000</v>
      </c>
      <c r="I3" s="36" t="str">
        <v>de Broglie</v>
      </c>
      <c r="J3" s="36" t="str">
        <v>Sales</v>
      </c>
      <c r="K3" s="36">
        <v>52000</v>
      </c>
    </row>
    <row r="4" spans="1:11">
      <c r="A4" s="32" t="s">
        <v>45</v>
      </c>
      <c r="B4" s="30" t="s">
        <v>32</v>
      </c>
      <c r="C4" s="31">
        <v>52000</v>
      </c>
      <c r="I4" s="36" t="str">
        <v>Born</v>
      </c>
      <c r="J4" s="36" t="str">
        <v>HR</v>
      </c>
      <c r="K4" s="36">
        <v>45000</v>
      </c>
    </row>
    <row r="5" spans="1:11">
      <c r="A5" s="32" t="s">
        <v>46</v>
      </c>
      <c r="B5" s="30" t="s">
        <v>42</v>
      </c>
      <c r="C5" s="31">
        <v>45000</v>
      </c>
      <c r="I5" s="36" t="str">
        <v>Dirac</v>
      </c>
      <c r="J5" s="36" t="str">
        <v>Sales</v>
      </c>
      <c r="K5" s="36">
        <v>55000</v>
      </c>
    </row>
    <row r="6" spans="1:11" ht="23.25">
      <c r="A6" s="32" t="s">
        <v>47</v>
      </c>
      <c r="B6" s="30" t="s">
        <v>32</v>
      </c>
      <c r="C6" s="31">
        <v>55000</v>
      </c>
      <c r="K6" s="1"/>
    </row>
    <row r="7" spans="1:11">
      <c r="A7" s="32" t="s">
        <v>48</v>
      </c>
      <c r="B7" s="30" t="s">
        <v>41</v>
      </c>
      <c r="C7" s="31">
        <v>47000</v>
      </c>
    </row>
    <row r="8" spans="1:11">
      <c r="A8" s="32" t="s">
        <v>50</v>
      </c>
      <c r="B8" s="30" t="s">
        <v>41</v>
      </c>
      <c r="C8" s="31">
        <v>44000</v>
      </c>
    </row>
    <row r="11" spans="1:11" ht="23.25">
      <c r="I11" s="1" t="s">
        <v>61</v>
      </c>
    </row>
    <row r="13" spans="1:11" ht="23.25">
      <c r="E13" t="s">
        <v>62</v>
      </c>
      <c r="F13" t="s">
        <v>100</v>
      </c>
      <c r="G13" t="s">
        <v>64</v>
      </c>
      <c r="I13" s="18" t="s">
        <v>101</v>
      </c>
      <c r="K13" s="11"/>
    </row>
    <row r="14" spans="1:11" ht="26.25">
      <c r="E14" t="str" cm="1">
        <f t="array" ref="E14:G15" xml:space="preserve"> _xlfn._xlws.FILTER(A:C,(B:B="Sales") * (C:C&gt;51000))</f>
        <v>de Broglie</v>
      </c>
      <c r="F14" t="str">
        <v>Sales</v>
      </c>
      <c r="G14">
        <v>52000</v>
      </c>
      <c r="I14" s="19" t="s">
        <v>89</v>
      </c>
    </row>
    <row r="15" spans="1:11" ht="26.25">
      <c r="E15" t="str">
        <v>Dirac</v>
      </c>
      <c r="F15" t="str">
        <v>Sales</v>
      </c>
      <c r="G15">
        <v>55000</v>
      </c>
      <c r="I15" s="19" t="s">
        <v>90</v>
      </c>
    </row>
    <row r="19" spans="9:11" ht="23.25">
      <c r="I19" s="18" t="s">
        <v>102</v>
      </c>
      <c r="K19" s="1"/>
    </row>
    <row r="20" spans="9:11" ht="26.25">
      <c r="I20" s="19" t="s">
        <v>103</v>
      </c>
      <c r="K20" s="5"/>
    </row>
    <row r="21" spans="9:11" ht="26.25">
      <c r="I21" s="19" t="s">
        <v>104</v>
      </c>
      <c r="K21" s="10"/>
    </row>
    <row r="22" spans="9:11">
      <c r="K22" s="10"/>
    </row>
    <row r="25" spans="9:11" ht="18">
      <c r="K25" s="7"/>
    </row>
    <row r="26" spans="9:11">
      <c r="K26" s="5"/>
    </row>
    <row r="27" spans="9:11">
      <c r="K27" s="5"/>
    </row>
    <row r="28" spans="9:11">
      <c r="K28" s="5"/>
    </row>
    <row r="29" spans="9:11">
      <c r="K29" s="5"/>
    </row>
    <row r="30" spans="9:11">
      <c r="K30" s="5"/>
    </row>
    <row r="32" spans="9:11">
      <c r="K3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739F-9880-443F-AFB9-F64DEB1B928B}">
  <dimension ref="A1:L45"/>
  <sheetViews>
    <sheetView tabSelected="1" workbookViewId="0">
      <selection activeCell="I8" sqref="I8"/>
    </sheetView>
  </sheetViews>
  <sheetFormatPr defaultRowHeight="15"/>
  <cols>
    <col min="1" max="1" width="8.85546875" customWidth="1"/>
    <col min="5" max="5" width="11.7109375" customWidth="1"/>
    <col min="7" max="7" width="12.42578125" style="12" customWidth="1"/>
  </cols>
  <sheetData>
    <row r="1" spans="1:12">
      <c r="A1" s="25" cm="1">
        <f t="array" ref="A1:A10" xml:space="preserve"> _xlfn.SEQUENCE(10,1,1,1)</f>
        <v>1</v>
      </c>
      <c r="C1" s="25" cm="1">
        <f t="array" ref="C1:C10" xml:space="preserve"> _xlfn.SEQUENCE(10,1,3,2)</f>
        <v>3</v>
      </c>
      <c r="E1" s="25" t="str" cm="1">
        <f t="array" ref="E1:E10">"INV-" &amp; TEXT(_xlfn.SEQUENCE(10,1,1,1),"000")</f>
        <v>INV-001</v>
      </c>
      <c r="G1" s="27" cm="1">
        <f t="array" ref="G1:G12">_xlfn.SEQUENCE(12,1,DATE(2025,1,1),8)</f>
        <v>45658</v>
      </c>
    </row>
    <row r="2" spans="1:12">
      <c r="A2" s="25">
        <v>2</v>
      </c>
      <c r="C2" s="25">
        <v>5</v>
      </c>
      <c r="E2" s="25" t="str">
        <v>INV-002</v>
      </c>
      <c r="G2" s="27">
        <v>45666</v>
      </c>
    </row>
    <row r="3" spans="1:12">
      <c r="A3" s="25">
        <v>3</v>
      </c>
      <c r="C3" s="25">
        <v>7</v>
      </c>
      <c r="E3" s="25" t="str">
        <v>INV-003</v>
      </c>
      <c r="G3" s="27">
        <v>45674</v>
      </c>
    </row>
    <row r="4" spans="1:12">
      <c r="A4" s="25">
        <v>4</v>
      </c>
      <c r="C4" s="25">
        <v>9</v>
      </c>
      <c r="E4" s="25" t="str">
        <v>INV-004</v>
      </c>
      <c r="G4" s="27">
        <v>45682</v>
      </c>
    </row>
    <row r="5" spans="1:12">
      <c r="A5" s="25">
        <v>5</v>
      </c>
      <c r="C5" s="25">
        <v>11</v>
      </c>
      <c r="E5" s="25" t="str">
        <v>INV-005</v>
      </c>
      <c r="G5" s="27">
        <v>45690</v>
      </c>
      <c r="L5" t="s">
        <v>67</v>
      </c>
    </row>
    <row r="6" spans="1:12">
      <c r="A6" s="25">
        <v>6</v>
      </c>
      <c r="C6" s="25">
        <v>13</v>
      </c>
      <c r="E6" s="25" t="str">
        <v>INV-006</v>
      </c>
      <c r="G6" s="27">
        <v>45698</v>
      </c>
      <c r="L6" s="9" t="s">
        <v>65</v>
      </c>
    </row>
    <row r="7" spans="1:12">
      <c r="A7" s="25">
        <v>7</v>
      </c>
      <c r="C7" s="25">
        <v>15</v>
      </c>
      <c r="E7" s="25" t="str">
        <v>INV-007</v>
      </c>
      <c r="G7" s="27">
        <v>45706</v>
      </c>
      <c r="L7" s="5"/>
    </row>
    <row r="8" spans="1:12">
      <c r="A8" s="25">
        <v>8</v>
      </c>
      <c r="C8" s="25">
        <v>17</v>
      </c>
      <c r="E8" s="25" t="str">
        <v>INV-008</v>
      </c>
      <c r="G8" s="27">
        <v>45714</v>
      </c>
      <c r="L8" s="5" t="s">
        <v>66</v>
      </c>
    </row>
    <row r="9" spans="1:12">
      <c r="A9" s="25">
        <v>9</v>
      </c>
      <c r="C9" s="25">
        <v>19</v>
      </c>
      <c r="E9" s="25" t="str">
        <v>INV-009</v>
      </c>
      <c r="G9" s="27">
        <v>45722</v>
      </c>
    </row>
    <row r="10" spans="1:12">
      <c r="A10" s="25">
        <v>10</v>
      </c>
      <c r="C10" s="25">
        <v>21</v>
      </c>
      <c r="E10" s="25" t="str">
        <v>INV-010</v>
      </c>
      <c r="G10" s="27">
        <v>45730</v>
      </c>
    </row>
    <row r="11" spans="1:12">
      <c r="G11" s="27">
        <v>45738</v>
      </c>
      <c r="L11" t="s">
        <v>91</v>
      </c>
    </row>
    <row r="12" spans="1:12">
      <c r="G12" s="27">
        <v>45746</v>
      </c>
    </row>
    <row r="14" spans="1:12" ht="23.25">
      <c r="L14" s="1" t="s">
        <v>68</v>
      </c>
    </row>
    <row r="15" spans="1:12">
      <c r="H15" s="25" cm="1">
        <f t="array" ref="H15:I19" xml:space="preserve"> _xlfn.SEQUENCE(5,2,1,1)</f>
        <v>1</v>
      </c>
      <c r="I15" s="25">
        <v>2</v>
      </c>
    </row>
    <row r="16" spans="1:12">
      <c r="A16" s="39" t="s">
        <v>107</v>
      </c>
      <c r="B16" s="39">
        <v>200</v>
      </c>
      <c r="C16" s="25" t="str" cm="1">
        <f t="array" ref="C16:C45">"INV-" &amp; _xlfn.SEQUENCE(30,1,1,1)</f>
        <v>INV-1</v>
      </c>
      <c r="D16" s="25" t="str" cm="1">
        <f t="array" ref="D16:D45">"INV-" &amp; TEXT(_xlfn.SEQUENCE(30,1,1,1),"000")</f>
        <v>INV-001</v>
      </c>
      <c r="H16" s="25">
        <v>3</v>
      </c>
      <c r="I16" s="25">
        <v>4</v>
      </c>
      <c r="L16" t="s">
        <v>69</v>
      </c>
    </row>
    <row r="17" spans="1:12">
      <c r="A17" s="39" t="s">
        <v>108</v>
      </c>
      <c r="B17" s="39">
        <v>300</v>
      </c>
      <c r="C17" s="25" t="str">
        <v>INV-2</v>
      </c>
      <c r="D17" s="25" t="str">
        <v>INV-002</v>
      </c>
      <c r="H17" s="25">
        <v>5</v>
      </c>
      <c r="I17" s="25">
        <v>6</v>
      </c>
    </row>
    <row r="18" spans="1:12">
      <c r="A18" s="39" t="s">
        <v>109</v>
      </c>
      <c r="B18" s="39">
        <v>400</v>
      </c>
      <c r="C18" s="25" t="str">
        <v>INV-3</v>
      </c>
      <c r="D18" s="25" t="str">
        <v>INV-003</v>
      </c>
      <c r="H18" s="25">
        <v>7</v>
      </c>
      <c r="I18" s="25">
        <v>8</v>
      </c>
    </row>
    <row r="19" spans="1:12" ht="23.25">
      <c r="A19" s="39" t="s">
        <v>110</v>
      </c>
      <c r="B19" s="39">
        <v>200</v>
      </c>
      <c r="C19" s="25" t="str">
        <v>INV-4</v>
      </c>
      <c r="D19" s="25" t="str">
        <v>INV-004</v>
      </c>
      <c r="H19" s="25">
        <v>9</v>
      </c>
      <c r="I19" s="25">
        <v>10</v>
      </c>
      <c r="L19" s="1" t="s">
        <v>70</v>
      </c>
    </row>
    <row r="20" spans="1:12">
      <c r="A20" s="39" t="s">
        <v>110</v>
      </c>
      <c r="B20" s="39">
        <v>201</v>
      </c>
      <c r="C20" s="25" t="str">
        <v>INV-5</v>
      </c>
      <c r="D20" s="25" t="str">
        <v>INV-005</v>
      </c>
    </row>
    <row r="21" spans="1:12">
      <c r="A21" s="39" t="s">
        <v>114</v>
      </c>
      <c r="B21" s="39">
        <v>202</v>
      </c>
      <c r="C21" s="25" t="str">
        <v>INV-6</v>
      </c>
      <c r="D21" s="25" t="str">
        <v>INV-006</v>
      </c>
      <c r="H21" s="25" cm="1">
        <f t="array" ref="H21:H40" xml:space="preserve"> _xlfn.SEQUENCE(20,1,4,6)</f>
        <v>4</v>
      </c>
      <c r="L21" s="4" t="s">
        <v>71</v>
      </c>
    </row>
    <row r="22" spans="1:12">
      <c r="A22" s="39" t="s">
        <v>110</v>
      </c>
      <c r="B22" s="39">
        <v>203</v>
      </c>
      <c r="C22" s="25" t="str">
        <v>INV-7</v>
      </c>
      <c r="D22" s="25" t="str">
        <v>INV-007</v>
      </c>
      <c r="H22" s="25">
        <v>10</v>
      </c>
    </row>
    <row r="23" spans="1:12" ht="18">
      <c r="A23" s="39" t="s">
        <v>110</v>
      </c>
      <c r="B23" s="39">
        <v>204</v>
      </c>
      <c r="C23" s="25" t="str">
        <v>INV-8</v>
      </c>
      <c r="D23" s="25" t="str">
        <v>INV-008</v>
      </c>
      <c r="H23" s="25">
        <v>16</v>
      </c>
      <c r="L23" s="7" t="s">
        <v>72</v>
      </c>
    </row>
    <row r="24" spans="1:12">
      <c r="A24" s="39" t="s">
        <v>44</v>
      </c>
      <c r="B24" s="39">
        <v>205</v>
      </c>
      <c r="C24" s="25" t="str">
        <v>INV-9</v>
      </c>
      <c r="D24" s="25" t="str">
        <v>INV-009</v>
      </c>
      <c r="H24" s="25">
        <v>22</v>
      </c>
    </row>
    <row r="25" spans="1:12">
      <c r="A25" s="39" t="s">
        <v>9</v>
      </c>
      <c r="B25" s="39">
        <v>206</v>
      </c>
      <c r="C25" s="25" t="str">
        <v>INV-10</v>
      </c>
      <c r="D25" s="25" t="str">
        <v>INV-010</v>
      </c>
      <c r="H25" s="25">
        <v>28</v>
      </c>
      <c r="L25" t="s">
        <v>73</v>
      </c>
    </row>
    <row r="26" spans="1:12">
      <c r="A26" s="39" t="s">
        <v>45</v>
      </c>
      <c r="B26" s="39">
        <v>207</v>
      </c>
      <c r="C26" s="25" t="str">
        <v>INV-11</v>
      </c>
      <c r="D26" s="25" t="str">
        <v>INV-011</v>
      </c>
      <c r="H26" s="25">
        <v>34</v>
      </c>
    </row>
    <row r="27" spans="1:12">
      <c r="A27" s="39" t="s">
        <v>46</v>
      </c>
      <c r="B27" s="39">
        <v>208</v>
      </c>
      <c r="C27" s="25" t="str">
        <v>INV-12</v>
      </c>
      <c r="D27" s="25" t="str">
        <v>INV-012</v>
      </c>
      <c r="H27" s="25">
        <v>40</v>
      </c>
    </row>
    <row r="28" spans="1:12" ht="23.25">
      <c r="A28" s="39" t="s">
        <v>47</v>
      </c>
      <c r="B28" s="39">
        <v>209</v>
      </c>
      <c r="C28" s="25" t="str">
        <v>INV-13</v>
      </c>
      <c r="D28" s="25" t="str">
        <v>INV-013</v>
      </c>
      <c r="H28" s="25">
        <v>46</v>
      </c>
      <c r="L28" s="1" t="s">
        <v>74</v>
      </c>
    </row>
    <row r="29" spans="1:12">
      <c r="A29" s="39" t="s">
        <v>48</v>
      </c>
      <c r="B29" s="39">
        <v>210</v>
      </c>
      <c r="C29" s="25" t="str">
        <v>INV-14</v>
      </c>
      <c r="D29" s="25" t="str">
        <v>INV-014</v>
      </c>
      <c r="H29" s="25">
        <v>52</v>
      </c>
    </row>
    <row r="30" spans="1:12">
      <c r="A30" s="39" t="s">
        <v>50</v>
      </c>
      <c r="B30" s="39">
        <v>211</v>
      </c>
      <c r="C30" s="25" t="str">
        <v>INV-15</v>
      </c>
      <c r="D30" s="25" t="str">
        <v>INV-015</v>
      </c>
      <c r="H30" s="25">
        <v>58</v>
      </c>
      <c r="L30" s="4" t="s">
        <v>111</v>
      </c>
    </row>
    <row r="31" spans="1:12">
      <c r="A31" s="39" t="s">
        <v>95</v>
      </c>
      <c r="B31" s="39">
        <v>212</v>
      </c>
      <c r="C31" s="25" t="str">
        <v>INV-16</v>
      </c>
      <c r="D31" s="25" t="str">
        <v>INV-016</v>
      </c>
      <c r="H31" s="25">
        <v>64</v>
      </c>
    </row>
    <row r="32" spans="1:12" ht="18">
      <c r="A32" s="39" t="s">
        <v>96</v>
      </c>
      <c r="B32" s="39">
        <v>213</v>
      </c>
      <c r="C32" s="25" t="str">
        <v>INV-17</v>
      </c>
      <c r="D32" s="25" t="str">
        <v>INV-017</v>
      </c>
      <c r="H32" s="25">
        <v>70</v>
      </c>
      <c r="L32" s="7" t="s">
        <v>72</v>
      </c>
    </row>
    <row r="33" spans="1:12">
      <c r="A33" s="39" t="s">
        <v>110</v>
      </c>
      <c r="B33" s="39">
        <v>214</v>
      </c>
      <c r="C33" s="25" t="str">
        <v>INV-18</v>
      </c>
      <c r="D33" s="25" t="str">
        <v>INV-018</v>
      </c>
      <c r="H33" s="25">
        <v>76</v>
      </c>
    </row>
    <row r="34" spans="1:12">
      <c r="A34" s="39" t="s">
        <v>24</v>
      </c>
      <c r="B34" s="39">
        <v>215</v>
      </c>
      <c r="C34" s="25" t="str">
        <v>INV-19</v>
      </c>
      <c r="D34" s="25" t="str">
        <v>INV-019</v>
      </c>
      <c r="H34" s="25">
        <v>82</v>
      </c>
      <c r="L34" t="s">
        <v>75</v>
      </c>
    </row>
    <row r="35" spans="1:12">
      <c r="A35" s="39" t="s">
        <v>26</v>
      </c>
      <c r="B35" s="39">
        <v>216</v>
      </c>
      <c r="C35" s="25" t="str">
        <v>INV-20</v>
      </c>
      <c r="D35" s="25" t="str">
        <v>INV-020</v>
      </c>
      <c r="H35" s="25">
        <v>88</v>
      </c>
      <c r="L35" t="s">
        <v>76</v>
      </c>
    </row>
    <row r="36" spans="1:12">
      <c r="A36" s="39" t="s">
        <v>27</v>
      </c>
      <c r="B36" s="39">
        <v>217</v>
      </c>
      <c r="C36" s="25" t="str">
        <v>INV-21</v>
      </c>
      <c r="D36" s="25" t="str">
        <v>INV-021</v>
      </c>
      <c r="H36" s="25">
        <v>94</v>
      </c>
    </row>
    <row r="37" spans="1:12">
      <c r="A37" s="39" t="s">
        <v>28</v>
      </c>
      <c r="B37" s="39">
        <v>218</v>
      </c>
      <c r="C37" s="25" t="str">
        <v>INV-22</v>
      </c>
      <c r="D37" s="25" t="str">
        <v>INV-022</v>
      </c>
      <c r="H37" s="25">
        <v>100</v>
      </c>
    </row>
    <row r="38" spans="1:12" ht="23.25">
      <c r="A38" s="39" t="s">
        <v>29</v>
      </c>
      <c r="B38" s="39">
        <v>219</v>
      </c>
      <c r="C38" s="25" t="str">
        <v>INV-23</v>
      </c>
      <c r="D38" s="25" t="str">
        <v>INV-023</v>
      </c>
      <c r="H38" s="25">
        <v>106</v>
      </c>
      <c r="L38" s="1" t="s">
        <v>77</v>
      </c>
    </row>
    <row r="39" spans="1:12">
      <c r="A39" s="39" t="s">
        <v>30</v>
      </c>
      <c r="B39" s="39">
        <v>220</v>
      </c>
      <c r="C39" s="25" t="str">
        <v>INV-24</v>
      </c>
      <c r="D39" s="25" t="str">
        <v>INV-024</v>
      </c>
      <c r="H39" s="25">
        <v>112</v>
      </c>
      <c r="L39" s="5"/>
    </row>
    <row r="40" spans="1:12">
      <c r="A40" s="39" t="s">
        <v>31</v>
      </c>
      <c r="B40" s="39">
        <v>221</v>
      </c>
      <c r="C40" s="25" t="str">
        <v>INV-25</v>
      </c>
      <c r="D40" s="25" t="str">
        <v>INV-025</v>
      </c>
      <c r="H40" s="25">
        <v>118</v>
      </c>
      <c r="L40" s="5" t="s">
        <v>78</v>
      </c>
    </row>
    <row r="41" spans="1:12">
      <c r="A41" s="39" t="s">
        <v>110</v>
      </c>
      <c r="B41" s="39">
        <v>222</v>
      </c>
      <c r="C41" s="25" t="str">
        <v>INV-26</v>
      </c>
      <c r="D41" s="25" t="str">
        <v>INV-026</v>
      </c>
      <c r="L41" s="5" t="s">
        <v>79</v>
      </c>
    </row>
    <row r="42" spans="1:12">
      <c r="A42" s="39" t="s">
        <v>110</v>
      </c>
      <c r="B42" s="39">
        <v>223</v>
      </c>
      <c r="C42" s="25" t="str">
        <v>INV-27</v>
      </c>
      <c r="D42" s="25" t="str">
        <v>INV-027</v>
      </c>
      <c r="L42" s="5" t="s">
        <v>80</v>
      </c>
    </row>
    <row r="43" spans="1:12">
      <c r="A43" s="39" t="s">
        <v>110</v>
      </c>
      <c r="B43" s="39">
        <v>224</v>
      </c>
      <c r="C43" s="25" t="str">
        <v>INV-28</v>
      </c>
      <c r="D43" s="25" t="str">
        <v>INV-028</v>
      </c>
      <c r="L43" s="5" t="s">
        <v>81</v>
      </c>
    </row>
    <row r="44" spans="1:12">
      <c r="A44" s="39" t="s">
        <v>110</v>
      </c>
      <c r="B44" s="39">
        <v>225</v>
      </c>
      <c r="C44" s="25" t="str">
        <v>INV-29</v>
      </c>
      <c r="D44" s="25" t="str">
        <v>INV-029</v>
      </c>
    </row>
    <row r="45" spans="1:12">
      <c r="A45" s="39" t="s">
        <v>110</v>
      </c>
      <c r="B45" s="39">
        <v>226</v>
      </c>
      <c r="C45" s="25" t="str">
        <v>INV-30</v>
      </c>
      <c r="D45" s="25" t="str">
        <v>INV-030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D9B4-A832-47D9-B5A9-36B4E3571E12}">
  <dimension ref="A1:J18"/>
  <sheetViews>
    <sheetView workbookViewId="0">
      <selection activeCell="D14" sqref="D14"/>
    </sheetView>
  </sheetViews>
  <sheetFormatPr defaultRowHeight="15"/>
  <cols>
    <col min="6" max="6" width="12.42578125" customWidth="1"/>
    <col min="10" max="10" width="27.28515625" customWidth="1"/>
  </cols>
  <sheetData>
    <row r="1" spans="1:10">
      <c r="A1" s="14" t="s">
        <v>3</v>
      </c>
      <c r="B1" s="14" t="s">
        <v>20</v>
      </c>
      <c r="C1" s="14" t="s">
        <v>32</v>
      </c>
      <c r="E1" s="24" t="s">
        <v>83</v>
      </c>
      <c r="F1" s="24" t="s">
        <v>3</v>
      </c>
      <c r="G1" s="24" t="s">
        <v>32</v>
      </c>
    </row>
    <row r="2" spans="1:10">
      <c r="A2" s="15" t="s">
        <v>44</v>
      </c>
      <c r="B2" s="15" t="s">
        <v>21</v>
      </c>
      <c r="C2" s="17">
        <v>5000</v>
      </c>
      <c r="E2" s="25" cm="1">
        <f t="array" ref="E2:E4">_xlfn.SEQUENCE(3)</f>
        <v>1</v>
      </c>
      <c r="F2" s="25" t="str" cm="1">
        <f t="array" ref="F2:F4">INDEX(
   _xlfn._xlws.SORT(A2:C8, 3, -1),
   _xlfn.SEQUENCE(3),
   1
)</f>
        <v>Born</v>
      </c>
      <c r="G2" s="25" cm="1">
        <f t="array" ref="G2:G4">INDEX(
   _xlfn._xlws.SORT(A2:C8, 3, -1),
   _xlfn.SEQUENCE(3),
   3
)</f>
        <v>9200</v>
      </c>
    </row>
    <row r="3" spans="1:10">
      <c r="A3" s="15" t="s">
        <v>9</v>
      </c>
      <c r="B3" s="15" t="s">
        <v>22</v>
      </c>
      <c r="C3" s="17">
        <v>8000</v>
      </c>
      <c r="E3" s="25">
        <v>2</v>
      </c>
      <c r="F3" s="25" t="str">
        <v>Bohr</v>
      </c>
      <c r="G3" s="25">
        <v>8000</v>
      </c>
    </row>
    <row r="4" spans="1:10">
      <c r="A4" s="16" t="s">
        <v>45</v>
      </c>
      <c r="B4" s="15" t="s">
        <v>21</v>
      </c>
      <c r="C4" s="17">
        <v>6500</v>
      </c>
      <c r="E4" s="25">
        <v>3</v>
      </c>
      <c r="F4" s="25" t="str">
        <v>Schrödinger</v>
      </c>
      <c r="G4" s="25">
        <v>7500</v>
      </c>
    </row>
    <row r="5" spans="1:10">
      <c r="A5" s="16" t="s">
        <v>46</v>
      </c>
      <c r="B5" s="15" t="s">
        <v>22</v>
      </c>
      <c r="C5" s="17">
        <v>9200</v>
      </c>
    </row>
    <row r="6" spans="1:10">
      <c r="A6" s="16" t="s">
        <v>47</v>
      </c>
      <c r="B6" s="15" t="s">
        <v>21</v>
      </c>
      <c r="C6" s="17">
        <v>7100</v>
      </c>
    </row>
    <row r="7" spans="1:10" ht="23.25">
      <c r="A7" s="16" t="s">
        <v>48</v>
      </c>
      <c r="B7" s="15" t="s">
        <v>23</v>
      </c>
      <c r="C7" s="17">
        <v>5800</v>
      </c>
      <c r="J7" s="1" t="s">
        <v>68</v>
      </c>
    </row>
    <row r="8" spans="1:10">
      <c r="A8" s="16" t="s">
        <v>50</v>
      </c>
      <c r="B8" s="15" t="s">
        <v>23</v>
      </c>
      <c r="C8" s="17">
        <v>7500</v>
      </c>
    </row>
    <row r="9" spans="1:10" ht="18.75">
      <c r="J9" s="37" t="s">
        <v>112</v>
      </c>
    </row>
    <row r="10" spans="1:10" ht="18.75">
      <c r="J10" s="37" t="s">
        <v>113</v>
      </c>
    </row>
    <row r="12" spans="1:10" ht="23.25">
      <c r="J12" s="1" t="s">
        <v>82</v>
      </c>
    </row>
    <row r="14" spans="1:10">
      <c r="J14" t="s">
        <v>92</v>
      </c>
    </row>
    <row r="16" spans="1:10">
      <c r="J16" t="s">
        <v>93</v>
      </c>
    </row>
    <row r="17" spans="10:10" ht="82.15" customHeight="1">
      <c r="J17" s="13" t="s">
        <v>84</v>
      </c>
    </row>
    <row r="18" spans="10:10" ht="79.150000000000006" customHeight="1">
      <c r="J18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UNIQUE</vt:lpstr>
      <vt:lpstr>SORT_SingleLevel</vt:lpstr>
      <vt:lpstr>SORT_MultiLevel</vt:lpstr>
      <vt:lpstr>FILTER_1Condition</vt:lpstr>
      <vt:lpstr>FILTER_2Condition</vt:lpstr>
      <vt:lpstr>SEQUENCE</vt:lpstr>
      <vt:lpstr>ADV_SEQUENCE_SORT_FILTER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2025-07-27T10:44:32Z</dcterms:modified>
</cp:coreProperties>
</file>