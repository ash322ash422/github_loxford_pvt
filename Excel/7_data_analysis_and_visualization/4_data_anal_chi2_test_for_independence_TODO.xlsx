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DA_DS\DA\tut_excel\7_data_analysis_and_visualization\"/>
    </mc:Choice>
  </mc:AlternateContent>
  <xr:revisionPtr revIDLastSave="0" documentId="13_ncr:1_{D7396795-D3B3-4057-AFA1-3C1BF3C54D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_raw_data" sheetId="1" r:id="rId1"/>
    <sheet name="1_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I22" i="2"/>
  <c r="K16" i="2"/>
  <c r="K15" i="2"/>
  <c r="J16" i="2"/>
  <c r="J15" i="2"/>
  <c r="J8" i="2"/>
  <c r="K8" i="2"/>
  <c r="J9" i="2"/>
  <c r="K9" i="2"/>
  <c r="C4" i="2"/>
  <c r="B4" i="2"/>
  <c r="D3" i="2"/>
  <c r="D2" i="2"/>
  <c r="D4" i="2" s="1"/>
</calcChain>
</file>

<file path=xl/sharedStrings.xml><?xml version="1.0" encoding="utf-8"?>
<sst xmlns="http://schemas.openxmlformats.org/spreadsheetml/2006/main" count="21" uniqueCount="15">
  <si>
    <t>Likes</t>
  </si>
  <si>
    <t>Doesn’t Like</t>
  </si>
  <si>
    <t>Row Total</t>
  </si>
  <si>
    <t>Male</t>
  </si>
  <si>
    <t>Female</t>
  </si>
  <si>
    <t>Col Total</t>
  </si>
  <si>
    <t>Likes (Expected)</t>
  </si>
  <si>
    <t>Doesn’t Like (Expected)</t>
  </si>
  <si>
    <t>1) Calculate expected frequencies:</t>
  </si>
  <si>
    <t>2) Calculate Chi-Square Components: calculate (O-E)^2 / E</t>
  </si>
  <si>
    <t>3) Sum All Components</t>
  </si>
  <si>
    <t>4) Get the P-Value in Excel</t>
  </si>
  <si>
    <t>5) This will return the p-value. If it's less than 0.05, reject the null hypothesis.</t>
  </si>
  <si>
    <t>0.000044557090604056 &lt; 0.05….so rejet the null hypothesis</t>
  </si>
  <si>
    <t>NOTE: For detailed explanation, see power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</si>
</sst>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H1" sqref="H1"/>
    </sheetView>
  </sheetViews>
  <sheetFormatPr defaultRowHeight="15"/>
  <cols>
    <col min="9" max="10" width="9.140625" customWidth="1"/>
  </cols>
  <sheetData>
    <row r="1" spans="1:4" ht="30">
      <c r="A1" s="1"/>
      <c r="B1" s="1" t="s">
        <v>0</v>
      </c>
      <c r="C1" s="1" t="s">
        <v>1</v>
      </c>
      <c r="D1" s="9"/>
    </row>
    <row r="2" spans="1:4">
      <c r="A2" s="6" t="s">
        <v>3</v>
      </c>
      <c r="B2" s="2">
        <v>30</v>
      </c>
      <c r="C2" s="2">
        <v>20</v>
      </c>
      <c r="D2" s="8"/>
    </row>
    <row r="3" spans="1:4">
      <c r="A3" s="6" t="s">
        <v>4</v>
      </c>
      <c r="B3" s="2">
        <v>10</v>
      </c>
      <c r="C3" s="2">
        <v>40</v>
      </c>
      <c r="D3" s="8"/>
    </row>
    <row r="4" spans="1:4">
      <c r="A4" s="7"/>
      <c r="B4" s="8"/>
      <c r="C4" s="8"/>
      <c r="D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C0AE-98D9-4B9C-9840-6C42C527B29B}">
  <dimension ref="A1:M31"/>
  <sheetViews>
    <sheetView tabSelected="1" workbookViewId="0">
      <selection activeCell="M6" sqref="M6"/>
    </sheetView>
  </sheetViews>
  <sheetFormatPr defaultRowHeight="15"/>
  <cols>
    <col min="9" max="9" width="12" bestFit="1" customWidth="1"/>
    <col min="10" max="10" width="14.85546875" customWidth="1"/>
    <col min="11" max="11" width="17.85546875" customWidth="1"/>
  </cols>
  <sheetData>
    <row r="1" spans="1:13" ht="30">
      <c r="A1" s="1"/>
      <c r="B1" s="1" t="s">
        <v>0</v>
      </c>
      <c r="C1" s="1" t="s">
        <v>1</v>
      </c>
      <c r="D1" s="3" t="s">
        <v>2</v>
      </c>
    </row>
    <row r="2" spans="1:13">
      <c r="A2" s="6" t="s">
        <v>3</v>
      </c>
      <c r="B2" s="2">
        <v>30</v>
      </c>
      <c r="C2" s="2">
        <v>20</v>
      </c>
      <c r="D2" s="4">
        <f>SUM(B2:C2)</f>
        <v>50</v>
      </c>
    </row>
    <row r="3" spans="1:13">
      <c r="A3" s="6" t="s">
        <v>4</v>
      </c>
      <c r="B3" s="2">
        <v>10</v>
      </c>
      <c r="C3" s="2">
        <v>40</v>
      </c>
      <c r="D3" s="4">
        <f>SUM(B3:C3)</f>
        <v>50</v>
      </c>
    </row>
    <row r="4" spans="1:13">
      <c r="A4" s="5" t="s">
        <v>5</v>
      </c>
      <c r="B4" s="4">
        <f>SUM(B2:B3)</f>
        <v>40</v>
      </c>
      <c r="C4" s="4">
        <f>SUM(C2:C3)</f>
        <v>60</v>
      </c>
      <c r="D4" s="4">
        <f>SUM(D2:D3)</f>
        <v>100</v>
      </c>
    </row>
    <row r="5" spans="1:13">
      <c r="M5" t="s">
        <v>14</v>
      </c>
    </row>
    <row r="6" spans="1:13">
      <c r="I6" t="s">
        <v>8</v>
      </c>
    </row>
    <row r="7" spans="1:13" ht="30">
      <c r="I7" s="3"/>
      <c r="J7" s="3" t="s">
        <v>6</v>
      </c>
      <c r="K7" s="3" t="s">
        <v>7</v>
      </c>
    </row>
    <row r="8" spans="1:13">
      <c r="I8" s="4" t="s">
        <v>3</v>
      </c>
      <c r="J8" s="10">
        <f>D2*B4/D4</f>
        <v>20</v>
      </c>
      <c r="K8" s="10">
        <f>D2*C4/D4</f>
        <v>30</v>
      </c>
    </row>
    <row r="9" spans="1:13">
      <c r="I9" s="4" t="s">
        <v>4</v>
      </c>
      <c r="J9" s="10">
        <f>D3*B4/D4</f>
        <v>20</v>
      </c>
      <c r="K9" s="10">
        <f>D3*C4/D4</f>
        <v>30</v>
      </c>
    </row>
    <row r="13" spans="1:13">
      <c r="I13" t="s">
        <v>9</v>
      </c>
    </row>
    <row r="15" spans="1:13">
      <c r="J15" s="11">
        <f>(B2 - J8)^2 / J8</f>
        <v>5</v>
      </c>
      <c r="K15" s="11">
        <f>(C2 - K8)^2 / K8</f>
        <v>3.3333333333333335</v>
      </c>
    </row>
    <row r="16" spans="1:13">
      <c r="J16" s="11">
        <f>(B3 - J9)^2 / J9</f>
        <v>5</v>
      </c>
      <c r="K16" s="11">
        <f>(C3 - K9)^2 / K9</f>
        <v>3.3333333333333335</v>
      </c>
    </row>
    <row r="20" spans="9:9">
      <c r="I20" t="s">
        <v>10</v>
      </c>
    </row>
    <row r="22" spans="9:9">
      <c r="I22" s="11">
        <f xml:space="preserve"> SUM(J15:K16)</f>
        <v>16.666666666666668</v>
      </c>
    </row>
    <row r="25" spans="9:9">
      <c r="I25" t="s">
        <v>11</v>
      </c>
    </row>
    <row r="27" spans="9:9">
      <c r="I27" s="11">
        <f>_xlfn.CHISQ.TEST(B2:C3,J8:K9)</f>
        <v>4.4557090604056044E-5</v>
      </c>
    </row>
    <row r="30" spans="9:9">
      <c r="I30" t="s">
        <v>12</v>
      </c>
    </row>
    <row r="31" spans="9:9">
      <c r="I31" s="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1_raw_data</vt:lpstr>
      <vt:lpstr>1_FINAL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2025-07-26T20:21:50Z</dcterms:modified>
</cp:coreProperties>
</file>