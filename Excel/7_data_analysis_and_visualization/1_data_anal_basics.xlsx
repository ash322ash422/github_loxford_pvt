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834F565C-2AC4-4F61-A40A-FBA8EE6FD7A7}" xr6:coauthVersionLast="47" xr6:coauthVersionMax="47" xr10:uidLastSave="{00000000-0000-0000-0000-000000000000}"/>
  <bookViews>
    <workbookView xWindow="-120" yWindow="-120" windowWidth="29040" windowHeight="15720" tabRatio="808" activeTab="1" xr2:uid="{00000000-000D-0000-FFFF-FFFF00000000}"/>
  </bookViews>
  <sheets>
    <sheet name="1_sum_max_min_large_small_etc" sheetId="5" r:id="rId1"/>
    <sheet name="2_variance_stdDev_IQR_Q1_Q2_etc" sheetId="13" r:id="rId2"/>
  </sheets>
  <definedNames>
    <definedName name="Tax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13" l="1"/>
  <c r="N24" i="13"/>
  <c r="O18" i="13"/>
  <c r="N31" i="13"/>
  <c r="N23" i="13"/>
  <c r="N8" i="13"/>
  <c r="I3" i="13"/>
  <c r="I4" i="13"/>
  <c r="I5" i="13"/>
  <c r="I6" i="13"/>
  <c r="I7" i="13"/>
  <c r="I8" i="13"/>
  <c r="I9" i="13"/>
  <c r="I10" i="13"/>
  <c r="I11" i="13"/>
  <c r="I2" i="13"/>
  <c r="H2" i="13"/>
  <c r="N35" i="13"/>
  <c r="N32" i="13"/>
  <c r="N29" i="13"/>
  <c r="N21" i="13"/>
  <c r="O17" i="13"/>
  <c r="O16" i="13"/>
  <c r="N19" i="13"/>
  <c r="N18" i="13"/>
  <c r="N17" i="13"/>
  <c r="N16" i="13"/>
  <c r="N12" i="13"/>
  <c r="N11" i="13"/>
  <c r="N9" i="13"/>
  <c r="N27" i="13"/>
  <c r="N26" i="13"/>
  <c r="H8" i="5"/>
  <c r="H14" i="5"/>
  <c r="H15" i="5"/>
  <c r="H5" i="5"/>
  <c r="I5" i="5"/>
  <c r="I8" i="5"/>
  <c r="H3" i="13" l="1"/>
  <c r="H4" i="13"/>
  <c r="H5" i="13"/>
  <c r="H6" i="13"/>
  <c r="H7" i="13"/>
  <c r="H8" i="13"/>
  <c r="H9" i="13"/>
  <c r="H10" i="13"/>
  <c r="H11" i="13"/>
  <c r="H17" i="5"/>
  <c r="H12" i="5"/>
  <c r="H3" i="5"/>
  <c r="H19" i="5" l="1"/>
  <c r="H18" i="5"/>
  <c r="H13" i="5"/>
  <c r="H10" i="5"/>
  <c r="H9" i="5"/>
  <c r="H6" i="5"/>
  <c r="I3" i="5"/>
</calcChain>
</file>

<file path=xl/sharedStrings.xml><?xml version="1.0" encoding="utf-8"?>
<sst xmlns="http://schemas.openxmlformats.org/spreadsheetml/2006/main" count="65" uniqueCount="64">
  <si>
    <t>2nd most sold</t>
  </si>
  <si>
    <t>2nd least sold</t>
  </si>
  <si>
    <t>Sales</t>
  </si>
  <si>
    <t>3nd most sold</t>
  </si>
  <si>
    <t># of products sold (WRONG)</t>
  </si>
  <si>
    <t>This gives me the count of numeric data</t>
  </si>
  <si>
    <t># of products sold (RIGHT)</t>
  </si>
  <si>
    <t>This gives me the count of non empty cells</t>
  </si>
  <si>
    <t>Average sold</t>
  </si>
  <si>
    <t>What is the median of Sales</t>
  </si>
  <si>
    <t>Name</t>
  </si>
  <si>
    <t>Which agent_id appears most often (MODE)</t>
  </si>
  <si>
    <t>Q3 (75th percentile)</t>
  </si>
  <si>
    <t>Interquartile Range (IQR)</t>
  </si>
  <si>
    <t>danny</t>
  </si>
  <si>
    <t>carlos</t>
  </si>
  <si>
    <t>ash</t>
  </si>
  <si>
    <t>happy</t>
  </si>
  <si>
    <t>Rosie</t>
  </si>
  <si>
    <t>samantha</t>
  </si>
  <si>
    <t>riya</t>
  </si>
  <si>
    <t>shivangi</t>
  </si>
  <si>
    <t>rekha</t>
  </si>
  <si>
    <t>dept_id</t>
  </si>
  <si>
    <t>age</t>
  </si>
  <si>
    <t>what is sample variance of age</t>
  </si>
  <si>
    <t>what is population  variance of age</t>
  </si>
  <si>
    <t>what is sample std dev of age</t>
  </si>
  <si>
    <t>what is population  std dev of age</t>
  </si>
  <si>
    <t>90th percentile</t>
  </si>
  <si>
    <t>income</t>
  </si>
  <si>
    <t>savita</t>
  </si>
  <si>
    <t>correlation between age and income</t>
  </si>
  <si>
    <t>covariance between age and income</t>
  </si>
  <si>
    <t>skewness of Age</t>
  </si>
  <si>
    <t>skewness of Income</t>
  </si>
  <si>
    <t>Skewness of the distribution</t>
  </si>
  <si>
    <t>Kurtosis of Age</t>
  </si>
  <si>
    <t>Peakedness (kurtosis)</t>
  </si>
  <si>
    <t>z-score of age</t>
  </si>
  <si>
    <t>sales_agent_id</t>
  </si>
  <si>
    <t>products</t>
  </si>
  <si>
    <r>
      <t xml:space="preserve">This gives me the count of </t>
    </r>
    <r>
      <rPr>
        <b/>
        <sz val="11"/>
        <color theme="1"/>
        <rFont val="Calibri"/>
        <family val="2"/>
        <scheme val="minor"/>
      </rPr>
      <t>numeric</t>
    </r>
    <r>
      <rPr>
        <sz val="11"/>
        <color theme="1"/>
        <rFont val="Calibri"/>
        <family val="2"/>
        <scheme val="minor"/>
      </rPr>
      <t xml:space="preserve"> data</t>
    </r>
  </si>
  <si>
    <t>laptop</t>
  </si>
  <si>
    <t>phone</t>
  </si>
  <si>
    <t>charger</t>
  </si>
  <si>
    <t>wires</t>
  </si>
  <si>
    <t>bulb</t>
  </si>
  <si>
    <t>clean liquid</t>
  </si>
  <si>
    <t>battery</t>
  </si>
  <si>
    <t>Sales of least number of products sold</t>
  </si>
  <si>
    <t>Sales of most product sold</t>
  </si>
  <si>
    <t>Q2 (50th percentile)</t>
  </si>
  <si>
    <t>pushups</t>
  </si>
  <si>
    <t>correlation between age and pushups</t>
  </si>
  <si>
    <t>covariance between age and pushups</t>
  </si>
  <si>
    <t>work_distance</t>
  </si>
  <si>
    <t>correlation between age and work_distance</t>
  </si>
  <si>
    <t>Kurtosis of Income</t>
  </si>
  <si>
    <t>z-score of income</t>
  </si>
  <si>
    <t>How many products sold</t>
  </si>
  <si>
    <t>Count of blanks in whole table</t>
  </si>
  <si>
    <t>count of products in column A</t>
  </si>
  <si>
    <t>Q1 (25th percentile) for age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</si>
</sst>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212481</xdr:colOff>
      <xdr:row>0</xdr:row>
      <xdr:rowOff>117230</xdr:rowOff>
    </xdr:from>
    <xdr:to>
      <xdr:col>13</xdr:col>
      <xdr:colOff>637640</xdr:colOff>
      <xdr:row>6</xdr:row>
      <xdr:rowOff>143762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5404" y="117230"/>
          <a:ext cx="4528236" cy="1169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zoomScale="140" zoomScaleNormal="140" workbookViewId="0">
      <selection activeCell="H19" sqref="H19"/>
    </sheetView>
  </sheetViews>
  <sheetFormatPr defaultRowHeight="15" x14ac:dyDescent="0.25"/>
  <cols>
    <col min="1" max="1" width="17.28515625" customWidth="1"/>
    <col min="2" max="2" width="9.7109375" customWidth="1"/>
    <col min="3" max="3" width="16.5703125" customWidth="1"/>
    <col min="4" max="4" width="7.85546875" customWidth="1"/>
    <col min="5" max="5" width="32.85546875" customWidth="1"/>
    <col min="6" max="6" width="12" bestFit="1" customWidth="1"/>
    <col min="9" max="9" width="13.140625" customWidth="1"/>
    <col min="10" max="10" width="17.42578125" customWidth="1"/>
  </cols>
  <sheetData>
    <row r="1" spans="1:12" x14ac:dyDescent="0.25">
      <c r="A1" s="5" t="s">
        <v>41</v>
      </c>
      <c r="B1" s="5" t="s">
        <v>2</v>
      </c>
      <c r="C1" s="5" t="s">
        <v>40</v>
      </c>
      <c r="D1" s="1"/>
    </row>
    <row r="2" spans="1:12" x14ac:dyDescent="0.25">
      <c r="A2" s="6" t="s">
        <v>43</v>
      </c>
      <c r="B2" s="6">
        <v>97</v>
      </c>
      <c r="C2" s="6">
        <v>3</v>
      </c>
    </row>
    <row r="3" spans="1:12" x14ac:dyDescent="0.25">
      <c r="A3" s="6" t="s">
        <v>44</v>
      </c>
      <c r="B3" s="6">
        <v>77</v>
      </c>
      <c r="C3" s="6">
        <v>1</v>
      </c>
      <c r="E3" s="13" t="s">
        <v>60</v>
      </c>
      <c r="F3" s="13"/>
      <c r="G3" s="13"/>
      <c r="H3" s="4">
        <f xml:space="preserve"> SUM(B:B)</f>
        <v>315</v>
      </c>
      <c r="I3" t="str">
        <f ca="1">_xlfn.FORMULATEXT(H3)</f>
        <v>= SUM(B:B)</v>
      </c>
    </row>
    <row r="4" spans="1:12" x14ac:dyDescent="0.25">
      <c r="A4" s="6" t="s">
        <v>45</v>
      </c>
      <c r="B4" s="6">
        <v>53</v>
      </c>
      <c r="C4" s="6">
        <v>1</v>
      </c>
      <c r="E4" s="1"/>
      <c r="F4" s="1"/>
      <c r="G4" s="1"/>
      <c r="H4" s="4"/>
    </row>
    <row r="5" spans="1:12" x14ac:dyDescent="0.25">
      <c r="A5" s="6" t="s">
        <v>46</v>
      </c>
      <c r="B5" s="6">
        <v>53</v>
      </c>
      <c r="C5" s="6">
        <v>1</v>
      </c>
      <c r="E5" s="13" t="s">
        <v>51</v>
      </c>
      <c r="F5" s="13"/>
      <c r="G5" s="13"/>
      <c r="H5" s="4">
        <f xml:space="preserve"> MAX(B:B)</f>
        <v>97</v>
      </c>
      <c r="I5" t="str">
        <f ca="1" xml:space="preserve"> _xlfn.FORMULATEXT(H5)</f>
        <v>= MAX(B:B)</v>
      </c>
    </row>
    <row r="6" spans="1:12" x14ac:dyDescent="0.25">
      <c r="A6" s="6" t="s">
        <v>47</v>
      </c>
      <c r="B6" s="6">
        <v>12</v>
      </c>
      <c r="C6" s="6">
        <v>2</v>
      </c>
      <c r="E6" s="13" t="s">
        <v>50</v>
      </c>
      <c r="F6" s="13"/>
      <c r="G6" s="13"/>
      <c r="H6" s="4">
        <f xml:space="preserve"> MIN(B:B)</f>
        <v>12</v>
      </c>
    </row>
    <row r="7" spans="1:12" x14ac:dyDescent="0.25">
      <c r="A7" s="6"/>
      <c r="B7" s="6"/>
      <c r="C7" s="6"/>
      <c r="E7" s="1"/>
      <c r="F7" s="1"/>
      <c r="G7" s="1"/>
      <c r="H7" s="4"/>
    </row>
    <row r="8" spans="1:12" x14ac:dyDescent="0.25">
      <c r="A8" s="6" t="s">
        <v>48</v>
      </c>
      <c r="B8" s="6"/>
      <c r="C8" s="6"/>
      <c r="E8" s="13" t="s">
        <v>0</v>
      </c>
      <c r="F8" s="13"/>
      <c r="G8" s="13"/>
      <c r="H8" s="4">
        <f xml:space="preserve"> LARGE(B:B,2)</f>
        <v>77</v>
      </c>
      <c r="I8" t="str">
        <f ca="1">_xlfn.FORMULATEXT(H8)</f>
        <v>= LARGE(B:B,2)</v>
      </c>
    </row>
    <row r="9" spans="1:12" x14ac:dyDescent="0.25">
      <c r="A9" s="6" t="s">
        <v>49</v>
      </c>
      <c r="B9" s="6">
        <v>23</v>
      </c>
      <c r="C9" s="6">
        <v>3</v>
      </c>
      <c r="E9" s="13" t="s">
        <v>3</v>
      </c>
      <c r="F9" s="13"/>
      <c r="G9" s="13"/>
      <c r="H9" s="4">
        <f xml:space="preserve"> LARGE(B:B,3)</f>
        <v>53</v>
      </c>
    </row>
    <row r="10" spans="1:12" x14ac:dyDescent="0.25">
      <c r="E10" s="13" t="s">
        <v>1</v>
      </c>
      <c r="F10" s="13"/>
      <c r="G10" s="13"/>
      <c r="H10" s="4">
        <f xml:space="preserve"> SMALL(B:B,2)</f>
        <v>23</v>
      </c>
    </row>
    <row r="11" spans="1:12" x14ac:dyDescent="0.25">
      <c r="E11" s="1"/>
      <c r="F11" s="1"/>
      <c r="G11" s="1"/>
      <c r="H11" s="4"/>
    </row>
    <row r="12" spans="1:12" x14ac:dyDescent="0.25">
      <c r="E12" s="13" t="s">
        <v>4</v>
      </c>
      <c r="F12" s="13"/>
      <c r="G12" s="13"/>
      <c r="H12" s="4">
        <f xml:space="preserve"> COUNT(A:A)</f>
        <v>0</v>
      </c>
      <c r="I12" s="12" t="s">
        <v>42</v>
      </c>
      <c r="J12" s="12"/>
      <c r="K12" s="12"/>
      <c r="L12" s="12"/>
    </row>
    <row r="13" spans="1:12" x14ac:dyDescent="0.25">
      <c r="E13" s="13" t="s">
        <v>6</v>
      </c>
      <c r="F13" s="13"/>
      <c r="G13" s="13"/>
      <c r="H13" s="4">
        <f xml:space="preserve"> COUNT(B:B)</f>
        <v>6</v>
      </c>
      <c r="I13" t="s">
        <v>5</v>
      </c>
    </row>
    <row r="14" spans="1:12" x14ac:dyDescent="0.25">
      <c r="E14" s="13" t="s">
        <v>62</v>
      </c>
      <c r="F14" s="13"/>
      <c r="G14" s="13"/>
      <c r="H14" s="4">
        <f xml:space="preserve"> COUNTA(A:A)-1</f>
        <v>7</v>
      </c>
      <c r="I14" t="s">
        <v>7</v>
      </c>
    </row>
    <row r="15" spans="1:12" x14ac:dyDescent="0.25">
      <c r="E15" s="11" t="s">
        <v>61</v>
      </c>
      <c r="F15" s="11"/>
      <c r="G15" s="11"/>
      <c r="H15" s="4">
        <f xml:space="preserve"> COUNTBLANK(A2:C9)</f>
        <v>5</v>
      </c>
    </row>
    <row r="16" spans="1:12" x14ac:dyDescent="0.25">
      <c r="E16" s="2"/>
      <c r="F16" s="2"/>
      <c r="G16" s="2"/>
      <c r="H16" s="4"/>
    </row>
    <row r="17" spans="5:8" x14ac:dyDescent="0.25">
      <c r="E17" s="11" t="s">
        <v>8</v>
      </c>
      <c r="F17" s="11"/>
      <c r="G17" s="11"/>
      <c r="H17" s="4">
        <f xml:space="preserve"> AVERAGE(B:B)</f>
        <v>52.5</v>
      </c>
    </row>
    <row r="18" spans="5:8" x14ac:dyDescent="0.25">
      <c r="E18" s="11" t="s">
        <v>9</v>
      </c>
      <c r="F18" s="11"/>
      <c r="G18" s="11"/>
      <c r="H18" s="4">
        <f xml:space="preserve"> MEDIAN(B:B)</f>
        <v>53</v>
      </c>
    </row>
    <row r="19" spans="5:8" x14ac:dyDescent="0.25">
      <c r="E19" s="11" t="s">
        <v>11</v>
      </c>
      <c r="F19" s="11"/>
      <c r="G19" s="11"/>
      <c r="H19" s="4">
        <f xml:space="preserve"> MODE(C:C)</f>
        <v>1</v>
      </c>
    </row>
    <row r="22" spans="5:8" x14ac:dyDescent="0.25">
      <c r="E22" s="1"/>
      <c r="F22" s="1"/>
      <c r="G22" s="1"/>
      <c r="H22" s="1"/>
    </row>
    <row r="23" spans="5:8" x14ac:dyDescent="0.25">
      <c r="E23" s="1"/>
      <c r="F23" s="1"/>
      <c r="G23" s="1"/>
      <c r="H23" s="1"/>
    </row>
    <row r="24" spans="5:8" x14ac:dyDescent="0.25">
      <c r="E24" s="1"/>
      <c r="F24" s="1"/>
      <c r="G24" s="1"/>
      <c r="H24" s="1"/>
    </row>
    <row r="25" spans="5:8" x14ac:dyDescent="0.25">
      <c r="E25" s="1"/>
      <c r="F25" s="1"/>
      <c r="G25" s="1"/>
      <c r="H25" s="1"/>
    </row>
    <row r="26" spans="5:8" x14ac:dyDescent="0.25">
      <c r="E26" s="1"/>
      <c r="F26" s="1"/>
      <c r="G26" s="1"/>
      <c r="H26" s="1"/>
    </row>
  </sheetData>
  <sortState xmlns:xlrd2="http://schemas.microsoft.com/office/spreadsheetml/2017/richdata2" ref="A2:B8">
    <sortCondition descending="1" ref="B1:B8"/>
  </sortState>
  <mergeCells count="14">
    <mergeCell ref="E19:G19"/>
    <mergeCell ref="E17:G17"/>
    <mergeCell ref="E18:G18"/>
    <mergeCell ref="E10:G10"/>
    <mergeCell ref="E12:G12"/>
    <mergeCell ref="I12:L12"/>
    <mergeCell ref="E13:G13"/>
    <mergeCell ref="E14:G14"/>
    <mergeCell ref="E15:G15"/>
    <mergeCell ref="E3:G3"/>
    <mergeCell ref="E5:G5"/>
    <mergeCell ref="E6:G6"/>
    <mergeCell ref="E8:G8"/>
    <mergeCell ref="E9:G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tabSelected="1" topLeftCell="B1" zoomScale="130" zoomScaleNormal="130" workbookViewId="0">
      <selection activeCell="K23" sqref="K23"/>
    </sheetView>
  </sheetViews>
  <sheetFormatPr defaultRowHeight="15" x14ac:dyDescent="0.25"/>
  <cols>
    <col min="1" max="1" width="17.28515625" customWidth="1"/>
    <col min="2" max="3" width="9.7109375" customWidth="1"/>
    <col min="4" max="4" width="7.85546875" customWidth="1"/>
    <col min="5" max="5" width="10.140625" customWidth="1"/>
    <col min="6" max="6" width="13.42578125" customWidth="1"/>
    <col min="7" max="7" width="7.85546875" customWidth="1"/>
    <col min="8" max="8" width="15.28515625" customWidth="1"/>
    <col min="9" max="9" width="16.5703125" customWidth="1"/>
    <col min="10" max="10" width="7.85546875" customWidth="1"/>
    <col min="11" max="11" width="40.42578125" customWidth="1"/>
    <col min="12" max="12" width="12" bestFit="1" customWidth="1"/>
    <col min="14" max="14" width="12.140625" style="3" customWidth="1"/>
    <col min="15" max="15" width="13.140625" customWidth="1"/>
  </cols>
  <sheetData>
    <row r="1" spans="1:16" x14ac:dyDescent="0.25">
      <c r="A1" s="5" t="s">
        <v>10</v>
      </c>
      <c r="B1" s="5" t="s">
        <v>24</v>
      </c>
      <c r="C1" s="5" t="s">
        <v>30</v>
      </c>
      <c r="D1" s="5" t="s">
        <v>23</v>
      </c>
      <c r="E1" s="5" t="s">
        <v>53</v>
      </c>
      <c r="F1" s="5" t="s">
        <v>56</v>
      </c>
      <c r="G1" s="1"/>
      <c r="H1" s="9" t="s">
        <v>39</v>
      </c>
      <c r="I1" s="9" t="s">
        <v>59</v>
      </c>
      <c r="J1" s="1"/>
    </row>
    <row r="2" spans="1:16" x14ac:dyDescent="0.25">
      <c r="A2" s="6" t="s">
        <v>18</v>
      </c>
      <c r="B2" s="6">
        <v>22</v>
      </c>
      <c r="C2" s="6">
        <v>20000</v>
      </c>
      <c r="D2" s="6">
        <v>2</v>
      </c>
      <c r="E2" s="6">
        <v>50</v>
      </c>
      <c r="F2" s="6">
        <v>67</v>
      </c>
      <c r="H2" s="10">
        <f xml:space="preserve"> (B2 - AVERAGE(B:B)) / _xlfn.STDEV.S(B:B)</f>
        <v>-1.4488864153756824</v>
      </c>
      <c r="I2" s="9">
        <f xml:space="preserve"> (C2 - AVERAGE(C:C)) / _xlfn.STDEV.S(C:C)</f>
        <v>-0.32731135382183096</v>
      </c>
      <c r="K2" s="13"/>
      <c r="L2" s="13"/>
      <c r="M2" s="13"/>
      <c r="N2" s="7"/>
      <c r="O2" s="12"/>
      <c r="P2" s="12"/>
    </row>
    <row r="3" spans="1:16" x14ac:dyDescent="0.25">
      <c r="A3" s="6" t="s">
        <v>31</v>
      </c>
      <c r="B3" s="6">
        <v>30</v>
      </c>
      <c r="C3" s="6">
        <v>32000</v>
      </c>
      <c r="D3" s="6">
        <v>2</v>
      </c>
      <c r="E3" s="6">
        <v>43</v>
      </c>
      <c r="F3" s="6">
        <v>65</v>
      </c>
      <c r="H3" s="10">
        <f t="shared" ref="H3:H11" si="0" xml:space="preserve"> (B3 - AVERAGE(B:B)) / _xlfn.STDEV.S(B:B)</f>
        <v>-1.0749802436658289</v>
      </c>
      <c r="I3" s="9">
        <f t="shared" ref="I3:I11" si="1" xml:space="preserve"> (C3 - AVERAGE(C:C)) / _xlfn.STDEV.S(C:C)</f>
        <v>-0.32253947161327551</v>
      </c>
      <c r="K3" s="13"/>
      <c r="L3" s="13"/>
      <c r="M3" s="13"/>
      <c r="N3" s="7"/>
    </row>
    <row r="4" spans="1:16" x14ac:dyDescent="0.25">
      <c r="A4" s="6" t="s">
        <v>20</v>
      </c>
      <c r="B4" s="6">
        <v>43</v>
      </c>
      <c r="C4" s="6">
        <v>40000</v>
      </c>
      <c r="D4" s="6">
        <v>3</v>
      </c>
      <c r="E4" s="6">
        <v>27</v>
      </c>
      <c r="F4" s="6">
        <v>29</v>
      </c>
      <c r="H4" s="10">
        <f t="shared" si="0"/>
        <v>-0.4673827146373169</v>
      </c>
      <c r="I4" s="9">
        <f t="shared" si="1"/>
        <v>-0.31935821680757193</v>
      </c>
      <c r="K4" s="13"/>
      <c r="L4" s="13"/>
      <c r="M4" s="13"/>
      <c r="N4" s="7"/>
    </row>
    <row r="5" spans="1:16" x14ac:dyDescent="0.25">
      <c r="A5" s="6" t="s">
        <v>22</v>
      </c>
      <c r="B5" s="6">
        <v>49</v>
      </c>
      <c r="C5" s="6">
        <v>45000</v>
      </c>
      <c r="D5" s="6">
        <v>2</v>
      </c>
      <c r="E5" s="6">
        <v>25</v>
      </c>
      <c r="F5" s="6">
        <v>76</v>
      </c>
      <c r="H5" s="10">
        <f t="shared" si="0"/>
        <v>-0.18695308585492676</v>
      </c>
      <c r="I5" s="9">
        <f t="shared" si="1"/>
        <v>-0.31736993255400714</v>
      </c>
      <c r="K5" s="13"/>
      <c r="L5" s="13"/>
      <c r="M5" s="13"/>
      <c r="N5" s="7"/>
    </row>
    <row r="6" spans="1:16" x14ac:dyDescent="0.25">
      <c r="A6" s="6" t="s">
        <v>21</v>
      </c>
      <c r="B6" s="6">
        <v>52</v>
      </c>
      <c r="C6" s="6">
        <v>50000</v>
      </c>
      <c r="D6" s="6">
        <v>2</v>
      </c>
      <c r="E6" s="6">
        <v>12</v>
      </c>
      <c r="F6" s="6">
        <v>11</v>
      </c>
      <c r="H6" s="10">
        <f t="shared" si="0"/>
        <v>-4.673827146373169E-2</v>
      </c>
      <c r="I6" s="9">
        <f t="shared" si="1"/>
        <v>-0.31538164830044235</v>
      </c>
      <c r="K6" s="13"/>
      <c r="L6" s="13"/>
      <c r="M6" s="13"/>
      <c r="N6" s="7"/>
    </row>
    <row r="7" spans="1:16" x14ac:dyDescent="0.25">
      <c r="A7" s="6" t="s">
        <v>16</v>
      </c>
      <c r="B7" s="6">
        <v>53</v>
      </c>
      <c r="C7" s="6">
        <v>54000</v>
      </c>
      <c r="D7" s="6">
        <v>3</v>
      </c>
      <c r="E7" s="6">
        <v>15</v>
      </c>
      <c r="F7" s="6">
        <v>65</v>
      </c>
      <c r="H7" s="10">
        <f t="shared" si="0"/>
        <v>0</v>
      </c>
      <c r="I7" s="9">
        <f t="shared" si="1"/>
        <v>-0.31379102089759059</v>
      </c>
      <c r="K7" s="13"/>
      <c r="L7" s="13"/>
      <c r="M7" s="13"/>
      <c r="N7" s="7"/>
    </row>
    <row r="8" spans="1:16" x14ac:dyDescent="0.25">
      <c r="A8" s="6" t="s">
        <v>17</v>
      </c>
      <c r="B8" s="6">
        <v>53</v>
      </c>
      <c r="C8" s="6">
        <v>55000</v>
      </c>
      <c r="D8" s="6">
        <v>1</v>
      </c>
      <c r="E8" s="6">
        <v>13</v>
      </c>
      <c r="F8" s="6">
        <v>56</v>
      </c>
      <c r="H8" s="10">
        <f t="shared" si="0"/>
        <v>0</v>
      </c>
      <c r="I8" s="9">
        <f t="shared" si="1"/>
        <v>-0.31339336404687762</v>
      </c>
      <c r="K8" s="1" t="s">
        <v>25</v>
      </c>
      <c r="L8" s="1"/>
      <c r="M8" s="1"/>
      <c r="N8" s="8">
        <f xml:space="preserve"> _xlfn.VAR.S(B:B)</f>
        <v>457.77777777777777</v>
      </c>
    </row>
    <row r="9" spans="1:16" x14ac:dyDescent="0.25">
      <c r="A9" s="6" t="s">
        <v>19</v>
      </c>
      <c r="B9" s="6">
        <v>54</v>
      </c>
      <c r="C9" s="6">
        <v>53000</v>
      </c>
      <c r="D9" s="6">
        <v>2</v>
      </c>
      <c r="E9" s="6">
        <v>15</v>
      </c>
      <c r="F9" s="6">
        <v>11</v>
      </c>
      <c r="H9" s="10">
        <f t="shared" si="0"/>
        <v>4.673827146373169E-2</v>
      </c>
      <c r="I9" s="9">
        <f t="shared" si="1"/>
        <v>-0.3141886777483035</v>
      </c>
      <c r="K9" s="1" t="s">
        <v>26</v>
      </c>
      <c r="L9" s="1"/>
      <c r="M9" s="1"/>
      <c r="N9" s="8">
        <f xml:space="preserve"> _xlfn.VAR.P(B:B)</f>
        <v>412</v>
      </c>
    </row>
    <row r="10" spans="1:16" x14ac:dyDescent="0.25">
      <c r="A10" s="6" t="s">
        <v>15</v>
      </c>
      <c r="B10" s="6">
        <v>77</v>
      </c>
      <c r="C10" s="6">
        <v>82000</v>
      </c>
      <c r="D10" s="6">
        <v>3</v>
      </c>
      <c r="E10" s="6">
        <v>8</v>
      </c>
      <c r="F10" s="6">
        <v>65</v>
      </c>
      <c r="H10" s="10">
        <f t="shared" si="0"/>
        <v>1.1217185151295606</v>
      </c>
      <c r="I10" s="9">
        <f t="shared" si="1"/>
        <v>-0.30265662907762791</v>
      </c>
      <c r="K10" s="1"/>
      <c r="L10" s="1"/>
      <c r="M10" s="1"/>
      <c r="N10" s="7"/>
    </row>
    <row r="11" spans="1:16" x14ac:dyDescent="0.25">
      <c r="A11" s="6" t="s">
        <v>14</v>
      </c>
      <c r="B11" s="6">
        <v>97</v>
      </c>
      <c r="C11" s="6">
        <v>8000000</v>
      </c>
      <c r="D11" s="6">
        <v>3</v>
      </c>
      <c r="E11" s="6">
        <v>6</v>
      </c>
      <c r="F11" s="6">
        <v>55</v>
      </c>
      <c r="H11" s="10">
        <f t="shared" si="0"/>
        <v>2.0564839444041945</v>
      </c>
      <c r="I11" s="9">
        <f t="shared" si="1"/>
        <v>2.8459903148675276</v>
      </c>
      <c r="K11" s="1" t="s">
        <v>27</v>
      </c>
      <c r="L11" s="1"/>
      <c r="M11" s="1"/>
      <c r="N11" s="8">
        <f xml:space="preserve"> _xlfn.STDEV.S(B:B)</f>
        <v>21.395742047841615</v>
      </c>
    </row>
    <row r="12" spans="1:16" x14ac:dyDescent="0.25">
      <c r="K12" s="1" t="s">
        <v>28</v>
      </c>
      <c r="L12" s="1"/>
      <c r="M12" s="1"/>
      <c r="N12" s="8">
        <f xml:space="preserve"> _xlfn.STDEV.P(B:B)</f>
        <v>20.297783130184438</v>
      </c>
    </row>
    <row r="16" spans="1:16" x14ac:dyDescent="0.25">
      <c r="K16" s="1" t="s">
        <v>63</v>
      </c>
      <c r="L16" s="1"/>
      <c r="M16" s="1"/>
      <c r="N16" s="8">
        <f xml:space="preserve"> _xlfn.QUARTILE.EXC(B:B,1)</f>
        <v>39.75</v>
      </c>
      <c r="O16" s="8">
        <f xml:space="preserve"> _xlfn.PERCENTILE.EXC(B:B, 0.25)</f>
        <v>39.75</v>
      </c>
    </row>
    <row r="17" spans="11:15" x14ac:dyDescent="0.25">
      <c r="K17" s="1" t="s">
        <v>52</v>
      </c>
      <c r="L17" s="1"/>
      <c r="M17" s="1"/>
      <c r="N17" s="8">
        <f xml:space="preserve"> _xlfn.QUARTILE.EXC(B:B, 2)</f>
        <v>52.5</v>
      </c>
      <c r="O17" s="8">
        <f xml:space="preserve"> _xlfn.PERCENTILE.EXC(B:B, 0.5)</f>
        <v>52.5</v>
      </c>
    </row>
    <row r="18" spans="11:15" x14ac:dyDescent="0.25">
      <c r="K18" s="1" t="s">
        <v>12</v>
      </c>
      <c r="L18" s="1"/>
      <c r="M18" s="1"/>
      <c r="N18" s="8">
        <f xml:space="preserve"> _xlfn.QUARTILE.EXC(B:B, 3)</f>
        <v>59.75</v>
      </c>
      <c r="O18" s="8">
        <f xml:space="preserve"> _xlfn.PERCENTILE.EXC(B:B, 0.75)</f>
        <v>59.75</v>
      </c>
    </row>
    <row r="19" spans="11:15" x14ac:dyDescent="0.25">
      <c r="K19" s="1" t="s">
        <v>29</v>
      </c>
      <c r="L19" s="1"/>
      <c r="M19" s="1"/>
      <c r="N19" s="8">
        <f xml:space="preserve">  _xlfn.PERCENTILE.EXC(B:B, 0.9)</f>
        <v>95</v>
      </c>
    </row>
    <row r="20" spans="11:15" x14ac:dyDescent="0.25">
      <c r="K20" s="1"/>
      <c r="L20" s="1"/>
      <c r="M20" s="1"/>
      <c r="N20" s="7"/>
    </row>
    <row r="21" spans="11:15" x14ac:dyDescent="0.25">
      <c r="K21" s="1" t="s">
        <v>13</v>
      </c>
      <c r="L21" s="1"/>
      <c r="M21" s="1"/>
      <c r="N21" s="8">
        <f xml:space="preserve"> _xlfn.QUARTILE.EXC(B:B,3) - _xlfn.QUARTILE.EXC(B:B,1)</f>
        <v>20</v>
      </c>
    </row>
    <row r="22" spans="11:15" x14ac:dyDescent="0.25">
      <c r="K22" s="1"/>
      <c r="L22" s="1"/>
      <c r="M22" s="1"/>
      <c r="N22" s="7"/>
    </row>
    <row r="23" spans="11:15" x14ac:dyDescent="0.25">
      <c r="K23" s="1" t="s">
        <v>32</v>
      </c>
      <c r="L23" s="1"/>
      <c r="M23" s="1"/>
      <c r="N23" s="8">
        <f xml:space="preserve"> CORREL(B:B, C:C)</f>
        <v>0.72698332597472282</v>
      </c>
    </row>
    <row r="24" spans="11:15" x14ac:dyDescent="0.25">
      <c r="K24" s="1" t="s">
        <v>33</v>
      </c>
      <c r="L24" s="1"/>
      <c r="M24" s="1"/>
      <c r="N24" s="8">
        <f xml:space="preserve"> _xlfn.COVARIANCE.S(B:B, C:C)</f>
        <v>39115000</v>
      </c>
    </row>
    <row r="25" spans="11:15" x14ac:dyDescent="0.25">
      <c r="K25" s="1"/>
      <c r="L25" s="1"/>
      <c r="M25" s="1"/>
      <c r="N25" s="7"/>
    </row>
    <row r="26" spans="11:15" x14ac:dyDescent="0.25">
      <c r="K26" s="1" t="s">
        <v>54</v>
      </c>
      <c r="L26" s="1"/>
      <c r="M26" s="1"/>
      <c r="N26" s="8">
        <f xml:space="preserve">  CORREL(B:B,E:E)</f>
        <v>-0.85641471953285508</v>
      </c>
    </row>
    <row r="27" spans="11:15" x14ac:dyDescent="0.25">
      <c r="K27" s="1" t="s">
        <v>55</v>
      </c>
      <c r="L27" s="1"/>
      <c r="M27" s="1"/>
      <c r="N27" s="8">
        <f>_xlfn.COVARIANCE.S(B:B, E:E)</f>
        <v>-272.22222222222223</v>
      </c>
    </row>
    <row r="28" spans="11:15" x14ac:dyDescent="0.25">
      <c r="K28" s="1"/>
      <c r="L28" s="1"/>
      <c r="M28" s="1"/>
      <c r="N28" s="7"/>
    </row>
    <row r="29" spans="11:15" x14ac:dyDescent="0.25">
      <c r="K29" s="1" t="s">
        <v>57</v>
      </c>
      <c r="L29" s="1"/>
      <c r="M29" s="1"/>
      <c r="N29" s="8">
        <f xml:space="preserve"> CORREL(B:B, F:F)</f>
        <v>-4.0246844871546734E-2</v>
      </c>
    </row>
    <row r="30" spans="11:15" x14ac:dyDescent="0.25">
      <c r="K30" s="1"/>
      <c r="L30" s="1"/>
      <c r="M30" s="1"/>
      <c r="N30" s="7"/>
    </row>
    <row r="31" spans="11:15" x14ac:dyDescent="0.25">
      <c r="K31" s="1" t="s">
        <v>34</v>
      </c>
      <c r="L31" s="1"/>
      <c r="M31" s="1"/>
      <c r="N31" s="8">
        <f xml:space="preserve"> SKEW(B:B)</f>
        <v>0.79389832104626301</v>
      </c>
      <c r="O31" t="s">
        <v>36</v>
      </c>
    </row>
    <row r="32" spans="11:15" x14ac:dyDescent="0.25">
      <c r="K32" s="1" t="s">
        <v>35</v>
      </c>
      <c r="L32" s="1"/>
      <c r="M32" s="1"/>
      <c r="N32" s="8">
        <f xml:space="preserve"> SKEW(C:C)</f>
        <v>3.1620295429140111</v>
      </c>
    </row>
    <row r="33" spans="11:15" x14ac:dyDescent="0.25">
      <c r="K33" s="1"/>
      <c r="L33" s="1"/>
      <c r="M33" s="1"/>
      <c r="N33" s="7"/>
    </row>
    <row r="34" spans="11:15" x14ac:dyDescent="0.25">
      <c r="K34" s="1" t="s">
        <v>37</v>
      </c>
      <c r="L34" s="1"/>
      <c r="M34" s="1"/>
      <c r="N34" s="8">
        <f>KURT(B:B)</f>
        <v>1.1738031977566239</v>
      </c>
      <c r="O34" t="s">
        <v>38</v>
      </c>
    </row>
    <row r="35" spans="11:15" x14ac:dyDescent="0.25">
      <c r="K35" s="1" t="s">
        <v>58</v>
      </c>
      <c r="N35" s="8">
        <f xml:space="preserve"> KURT(C:C)</f>
        <v>9.9988484281833614</v>
      </c>
      <c r="O35" t="s">
        <v>38</v>
      </c>
    </row>
  </sheetData>
  <sortState xmlns:xlrd2="http://schemas.microsoft.com/office/spreadsheetml/2017/richdata2" ref="A2:D34">
    <sortCondition ref="B1:B34"/>
  </sortState>
  <mergeCells count="7">
    <mergeCell ref="K6:M6"/>
    <mergeCell ref="K7:M7"/>
    <mergeCell ref="K2:M2"/>
    <mergeCell ref="O2:P2"/>
    <mergeCell ref="K3:M3"/>
    <mergeCell ref="K4:M4"/>
    <mergeCell ref="K5:M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1_sum_max_min_large_small_etc</vt:lpstr>
      <vt:lpstr>2_variance_stdDev_IQR_Q1_Q2_etc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Ashwani Kumar</cp:lastModifiedBy>
  <cp:revision/>
  <dcterms:created xsi:type="dcterms:W3CDTF">2022-05-10T22:30:35Z</dcterms:created>
  <dcterms:modified xsi:type="dcterms:W3CDTF">2026-01-31T08:28:06Z</dcterms:modified>
  <cp:category/>
  <cp:contentStatus/>
</cp:coreProperties>
</file>