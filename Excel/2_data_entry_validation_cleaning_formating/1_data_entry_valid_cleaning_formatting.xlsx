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\excel\2_data_entry_validation_cleaning_formating\"/>
    </mc:Choice>
  </mc:AlternateContent>
  <xr:revisionPtr revIDLastSave="0" documentId="13_ncr:1_{744B806B-C7B1-4B13-9C84-D77685CA6A1A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1_1_data_valid" sheetId="1" r:id="rId1"/>
    <sheet name="2_duplicates_COUNTIFS" sheetId="2" r:id="rId2"/>
    <sheet name="3_text_functions" sheetId="5" r:id="rId3"/>
    <sheet name="3_text_functions_Application" sheetId="6" r:id="rId4"/>
    <sheet name="4_conditional_formatting" sheetId="3" r:id="rId5"/>
    <sheet name="5_Find_Replace" sheetId="7" r:id="rId6"/>
    <sheet name="6_go_to_special" sheetId="4" r:id="rId7"/>
  </sheets>
  <definedNames>
    <definedName name="_0X_SampleData" localSheetId="0">'1_1_data_valid'!$A$1:$G$5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6" l="1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B64" i="5"/>
  <c r="D60" i="5"/>
  <c r="B28" i="5"/>
  <c r="B27" i="5"/>
  <c r="B26" i="5"/>
  <c r="A20" i="5"/>
  <c r="A16" i="5"/>
  <c r="A11" i="5"/>
  <c r="A3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Q2" i="6"/>
  <c r="P2" i="6"/>
  <c r="B25" i="5"/>
  <c r="N2" i="6"/>
  <c r="K3" i="6"/>
  <c r="M3" i="6" s="1"/>
  <c r="N3" i="6" s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D48" i="5"/>
  <c r="C48" i="5"/>
  <c r="B48" i="5"/>
  <c r="B40" i="5"/>
  <c r="B35" i="5"/>
  <c r="B34" i="5"/>
  <c r="J7" i="4"/>
  <c r="K7" i="4"/>
  <c r="L7" i="4"/>
  <c r="M7" i="4"/>
  <c r="N7" i="4"/>
  <c r="O7" i="4"/>
  <c r="J8" i="4"/>
  <c r="K8" i="4"/>
  <c r="L8" i="4"/>
  <c r="M8" i="4"/>
  <c r="N8" i="4"/>
  <c r="O8" i="4"/>
  <c r="J9" i="4"/>
  <c r="K9" i="4"/>
  <c r="L9" i="4"/>
  <c r="M9" i="4"/>
  <c r="N9" i="4"/>
  <c r="O9" i="4"/>
  <c r="J10" i="4"/>
  <c r="K10" i="4"/>
  <c r="L10" i="4"/>
  <c r="M10" i="4"/>
  <c r="N10" i="4"/>
  <c r="O10" i="4"/>
  <c r="J11" i="4"/>
  <c r="K11" i="4"/>
  <c r="L11" i="4"/>
  <c r="M11" i="4"/>
  <c r="N11" i="4"/>
  <c r="O11" i="4"/>
  <c r="J12" i="4"/>
  <c r="K12" i="4"/>
  <c r="L12" i="4"/>
  <c r="M12" i="4"/>
  <c r="N12" i="4"/>
  <c r="O12" i="4"/>
  <c r="J13" i="4"/>
  <c r="K13" i="4"/>
  <c r="L13" i="4"/>
  <c r="M13" i="4"/>
  <c r="N13" i="4"/>
  <c r="O13" i="4"/>
  <c r="J14" i="4"/>
  <c r="K14" i="4"/>
  <c r="L14" i="4"/>
  <c r="M14" i="4"/>
  <c r="N14" i="4"/>
  <c r="O14" i="4"/>
  <c r="J15" i="4"/>
  <c r="K15" i="4"/>
  <c r="L15" i="4"/>
  <c r="M15" i="4"/>
  <c r="N15" i="4"/>
  <c r="O15" i="4"/>
  <c r="V7" i="6"/>
  <c r="V8" i="6"/>
  <c r="V9" i="6"/>
  <c r="V10" i="6"/>
  <c r="V11" i="6"/>
  <c r="V12" i="6"/>
  <c r="V13" i="6"/>
  <c r="V14" i="6"/>
  <c r="V15" i="6"/>
  <c r="V16" i="6"/>
  <c r="V17" i="6"/>
  <c r="R7" i="6"/>
  <c r="T7" i="6"/>
  <c r="R8" i="6"/>
  <c r="T8" i="6"/>
  <c r="R9" i="6"/>
  <c r="T9" i="6"/>
  <c r="R10" i="6"/>
  <c r="T10" i="6"/>
  <c r="R11" i="6"/>
  <c r="T11" i="6"/>
  <c r="R12" i="6"/>
  <c r="T12" i="6"/>
  <c r="R13" i="6"/>
  <c r="T13" i="6"/>
  <c r="R14" i="6"/>
  <c r="T14" i="6"/>
  <c r="R15" i="6"/>
  <c r="T15" i="6"/>
  <c r="R16" i="6"/>
  <c r="T16" i="6"/>
  <c r="R17" i="6"/>
  <c r="T17" i="6"/>
  <c r="L7" i="6"/>
  <c r="L8" i="6"/>
  <c r="L9" i="6"/>
  <c r="L10" i="6"/>
  <c r="L11" i="6"/>
  <c r="L12" i="6"/>
  <c r="L13" i="6"/>
  <c r="L14" i="6"/>
  <c r="L15" i="6"/>
  <c r="L16" i="6"/>
  <c r="L17" i="6"/>
  <c r="M4" i="6"/>
  <c r="N4" i="6" s="1"/>
  <c r="L4" i="6"/>
  <c r="M5" i="6"/>
  <c r="N5" i="6" s="1"/>
  <c r="M6" i="6"/>
  <c r="N6" i="6" s="1"/>
  <c r="L6" i="6"/>
  <c r="K2" i="6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M17" i="6" l="1"/>
  <c r="N17" i="6" s="1"/>
  <c r="M16" i="6"/>
  <c r="N16" i="6" s="1"/>
  <c r="M15" i="6"/>
  <c r="N15" i="6" s="1"/>
  <c r="M14" i="6"/>
  <c r="N14" i="6" s="1"/>
  <c r="M13" i="6"/>
  <c r="N13" i="6" s="1"/>
  <c r="M12" i="6"/>
  <c r="N12" i="6" s="1"/>
  <c r="M11" i="6"/>
  <c r="N11" i="6" s="1"/>
  <c r="M10" i="6"/>
  <c r="N10" i="6" s="1"/>
  <c r="M9" i="6"/>
  <c r="N9" i="6" s="1"/>
  <c r="M8" i="6"/>
  <c r="N8" i="6" s="1"/>
  <c r="M7" i="6"/>
  <c r="N7" i="6" s="1"/>
  <c r="L5" i="6"/>
  <c r="L3" i="6"/>
  <c r="V3" i="6"/>
  <c r="V4" i="6"/>
  <c r="V5" i="6"/>
  <c r="V6" i="6"/>
  <c r="R3" i="6"/>
  <c r="R4" i="6"/>
  <c r="R5" i="6"/>
  <c r="R6" i="6"/>
  <c r="B41" i="5"/>
  <c r="H2" i="2"/>
  <c r="G2" i="2"/>
  <c r="T3" i="6"/>
  <c r="T4" i="6"/>
  <c r="T5" i="6"/>
  <c r="T6" i="6"/>
  <c r="B53" i="5"/>
  <c r="B52" i="5"/>
  <c r="O3" i="4"/>
  <c r="O4" i="4"/>
  <c r="O5" i="4"/>
  <c r="O6" i="4"/>
  <c r="O2" i="4"/>
  <c r="N3" i="4"/>
  <c r="N4" i="4"/>
  <c r="N5" i="4"/>
  <c r="N6" i="4"/>
  <c r="N2" i="4"/>
  <c r="M6" i="4"/>
  <c r="L6" i="4"/>
  <c r="K6" i="4"/>
  <c r="J6" i="4"/>
  <c r="M5" i="4"/>
  <c r="L5" i="4"/>
  <c r="K5" i="4"/>
  <c r="J5" i="4"/>
  <c r="M4" i="4"/>
  <c r="L4" i="4"/>
  <c r="K4" i="4"/>
  <c r="J4" i="4"/>
  <c r="M3" i="4"/>
  <c r="L3" i="4"/>
  <c r="K3" i="4"/>
  <c r="J3" i="4"/>
  <c r="M2" i="4"/>
  <c r="L2" i="4"/>
  <c r="K2" i="4"/>
  <c r="J2" i="4"/>
  <c r="D59" i="5"/>
  <c r="R2" i="6"/>
  <c r="L2" i="6"/>
  <c r="B55" i="5"/>
  <c r="B54" i="5"/>
  <c r="B51" i="5"/>
  <c r="B36" i="5"/>
  <c r="D34" i="5"/>
  <c r="A15" i="5"/>
  <c r="A7" i="5"/>
  <c r="A6" i="5"/>
  <c r="M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</author>
    <author>tc={F0E6D114-1041-439C-84CB-60F8D818E552}</author>
    <author>UCT</author>
  </authors>
  <commentList>
    <comment ref="E7" authorId="0" shapeId="0" xr:uid="{7CF498FE-04CE-48EB-8B98-C0F0ED5810C3}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This address needs to be verified. Tell Kumar about this
</t>
        </r>
      </text>
    </comment>
    <comment ref="G9" authorId="0" shapeId="0" xr:uid="{D5AC180A-54B5-488F-AD99-3E4B73857710}">
      <text>
        <r>
          <rPr>
            <b/>
            <sz val="9"/>
            <color indexed="81"/>
            <rFont val="Tahoma"/>
            <family val="2"/>
          </rPr>
          <t>hi:</t>
        </r>
        <r>
          <rPr>
            <sz val="9"/>
            <color indexed="81"/>
            <rFont val="Tahoma"/>
            <family val="2"/>
          </rPr>
          <t xml:space="preserve">
This Date needs correction. Call Sandeep</t>
        </r>
      </text>
    </comment>
    <comment ref="E11" authorId="1" shapeId="0" xr:uid="{F0E6D114-1041-439C-84CB-60F8D818E5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address does not exist.</t>
      </text>
    </comment>
    <comment ref="D19" authorId="2" shapeId="0" xr:uid="{F699CC66-064F-4D32-8B08-963DD4C73368}">
      <text>
        <r>
          <rPr>
            <sz val="9"/>
            <color indexed="81"/>
            <rFont val="Tahoma"/>
            <family val="2"/>
          </rPr>
          <t xml:space="preserve">this is just a simple note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X_SampleData" type="6" refreshedVersion="6" background="1" saveData="1">
    <textPr codePage="437" sourceFile="C:\Users\hi\Desktop\projects\uniconverge\notes_DA_DS\DA\1_excel_basics\0X_SampleData.csv" tab="0" comma="1">
      <textFields count="7">
        <textField type="MDY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<sst xmlns="http://schemas.openxmlformats.org/spreadsheetml/2006/main" count="406" uniqueCount="221">
  <si>
    <t>Region</t>
  </si>
  <si>
    <t>East</t>
  </si>
  <si>
    <t>Pencil</t>
  </si>
  <si>
    <t>Binder</t>
  </si>
  <si>
    <t>West</t>
  </si>
  <si>
    <t>Age</t>
  </si>
  <si>
    <t>Date restriced to 1/1/2000 to today</t>
  </si>
  <si>
    <t>Name</t>
  </si>
  <si>
    <t>City</t>
  </si>
  <si>
    <t>Bob</t>
  </si>
  <si>
    <t>Seattle</t>
  </si>
  <si>
    <t>Carlos</t>
  </si>
  <si>
    <t>Mexico</t>
  </si>
  <si>
    <t>Daveed</t>
  </si>
  <si>
    <t>Moscow</t>
  </si>
  <si>
    <t>New Delhi</t>
  </si>
  <si>
    <t>Zena</t>
  </si>
  <si>
    <t>Toronto</t>
  </si>
  <si>
    <t>Salesperson</t>
  </si>
  <si>
    <t>Sales</t>
  </si>
  <si>
    <t>North</t>
  </si>
  <si>
    <t>South</t>
  </si>
  <si>
    <t>Frank</t>
  </si>
  <si>
    <t>Ram</t>
  </si>
  <si>
    <t>Jim</t>
  </si>
  <si>
    <t>Charlie</t>
  </si>
  <si>
    <t>Ash</t>
  </si>
  <si>
    <t>Monica</t>
  </si>
  <si>
    <t>eraser</t>
  </si>
  <si>
    <t>sharpner</t>
  </si>
  <si>
    <t>profit</t>
  </si>
  <si>
    <t>formula is =COUNTIFS(A:A, A2, B:B, B2, C:C, C2) &gt; 1</t>
  </si>
  <si>
    <t>How to Access "Go To Special"</t>
  </si>
  <si>
    <r>
      <t>1.</t>
    </r>
    <r>
      <rPr>
        <sz val="18"/>
        <color rgb="FF000000"/>
        <rFont val="Calibri"/>
        <family val="2"/>
        <scheme val="minor"/>
      </rPr>
      <t>Select a range or entire worksheet (optional)</t>
    </r>
  </si>
  <si>
    <r>
      <t>2.</t>
    </r>
    <r>
      <rPr>
        <sz val="18"/>
        <color rgb="FF000000"/>
        <rFont val="Calibri"/>
        <family val="2"/>
        <scheme val="minor"/>
      </rPr>
      <t xml:space="preserve">Go to the </t>
    </r>
    <r>
      <rPr>
        <b/>
        <sz val="18"/>
        <color rgb="FF000000"/>
        <rFont val="Calibri"/>
        <family val="2"/>
        <scheme val="minor"/>
      </rPr>
      <t>Home</t>
    </r>
    <r>
      <rPr>
        <sz val="18"/>
        <color rgb="FF000000"/>
        <rFont val="Calibri"/>
        <family val="2"/>
        <scheme val="minor"/>
      </rPr>
      <t xml:space="preserve"> tab → click </t>
    </r>
    <r>
      <rPr>
        <b/>
        <sz val="18"/>
        <color rgb="FF000000"/>
        <rFont val="Calibri"/>
        <family val="2"/>
        <scheme val="minor"/>
      </rPr>
      <t>Find &amp; Select</t>
    </r>
    <r>
      <rPr>
        <sz val="18"/>
        <color rgb="FF000000"/>
        <rFont val="Calibri"/>
        <family val="2"/>
        <scheme val="minor"/>
      </rPr>
      <t xml:space="preserve"> (in the Editing group)</t>
    </r>
  </si>
  <si>
    <r>
      <t>3.</t>
    </r>
    <r>
      <rPr>
        <sz val="18"/>
        <color rgb="FF000000"/>
        <rFont val="Calibri"/>
        <family val="2"/>
        <scheme val="minor"/>
      </rPr>
      <t xml:space="preserve">Choose </t>
    </r>
    <r>
      <rPr>
        <b/>
        <sz val="18"/>
        <color rgb="FF000000"/>
        <rFont val="Calibri"/>
        <family val="2"/>
        <scheme val="minor"/>
      </rPr>
      <t>Go To Special…</t>
    </r>
  </si>
  <si>
    <t>Option</t>
  </si>
  <si>
    <t>Use Case Example</t>
  </si>
  <si>
    <t>Formulas</t>
  </si>
  <si>
    <t>Select all formula cells to audit calculations</t>
  </si>
  <si>
    <t>Constants</t>
  </si>
  <si>
    <t>Highlight cells with fixed values (no formulas)</t>
  </si>
  <si>
    <t>Errors</t>
  </si>
  <si>
    <r>
      <t xml:space="preserve">Find all cells showing </t>
    </r>
    <r>
      <rPr>
        <sz val="10"/>
        <color theme="1"/>
        <rFont val="Arial Unicode MS"/>
      </rPr>
      <t>#DIV/0!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#VALUE!</t>
    </r>
    <r>
      <rPr>
        <sz val="11"/>
        <color theme="1"/>
        <rFont val="Calibri"/>
        <family val="2"/>
        <scheme val="minor"/>
      </rPr>
      <t>, etc.</t>
    </r>
  </si>
  <si>
    <t>Visible Cells</t>
  </si>
  <si>
    <t>Copy/paste only visible rows in a filtered table</t>
  </si>
  <si>
    <t>Data Validation</t>
  </si>
  <si>
    <t>Find cells with dropdowns or input restrictions</t>
  </si>
  <si>
    <t>Conditional Format</t>
  </si>
  <si>
    <t>Locate which cells have formatting rules applied</t>
  </si>
  <si>
    <t>rahim manufacturing CORPORATION</t>
  </si>
  <si>
    <t>Change to upper/lower case</t>
  </si>
  <si>
    <t>rahim</t>
  </si>
  <si>
    <t>manufacturing</t>
  </si>
  <si>
    <t>company</t>
  </si>
  <si>
    <t>&amp;</t>
  </si>
  <si>
    <t>Right, Left, Mid</t>
  </si>
  <si>
    <t>Length of text</t>
  </si>
  <si>
    <t>Find (case-sensitive)</t>
  </si>
  <si>
    <t xml:space="preserve"> search (not case-sensitive)</t>
  </si>
  <si>
    <t>find the index of @ from  a cell</t>
  </si>
  <si>
    <t>find the index of "com" from  a cell</t>
  </si>
  <si>
    <t>Text</t>
  </si>
  <si>
    <t>Format the date:</t>
  </si>
  <si>
    <t>Orignal number</t>
  </si>
  <si>
    <t>formatted value</t>
  </si>
  <si>
    <t>substitute</t>
  </si>
  <si>
    <t>fname</t>
  </si>
  <si>
    <t>lname</t>
  </si>
  <si>
    <t>age</t>
  </si>
  <si>
    <t>email</t>
  </si>
  <si>
    <t>address</t>
  </si>
  <si>
    <t>phone_number</t>
  </si>
  <si>
    <t>DOB</t>
  </si>
  <si>
    <t>income</t>
  </si>
  <si>
    <t>fullname</t>
  </si>
  <si>
    <t>name_PROPER</t>
  </si>
  <si>
    <t>name_upper</t>
  </si>
  <si>
    <t>name_trim</t>
  </si>
  <si>
    <t>username</t>
  </si>
  <si>
    <t>domain</t>
  </si>
  <si>
    <t>date_formatted</t>
  </si>
  <si>
    <t>is_over_30</t>
  </si>
  <si>
    <t>10% Tax</t>
  </si>
  <si>
    <t>john</t>
  </si>
  <si>
    <t>smith</t>
  </si>
  <si>
    <t>alice.smith@example.com</t>
  </si>
  <si>
    <t>123 Main St, Anytown, USA</t>
  </si>
  <si>
    <t>555-123-4567</t>
  </si>
  <si>
    <t xml:space="preserve">     bob</t>
  </si>
  <si>
    <t>Johnson</t>
  </si>
  <si>
    <t>bjohn322@google.com</t>
  </si>
  <si>
    <t>456 Oak Ave, Othertown, USA</t>
  </si>
  <si>
    <t>555-987-6543</t>
  </si>
  <si>
    <t>sameer</t>
  </si>
  <si>
    <t xml:space="preserve"> khanna</t>
  </si>
  <si>
    <t>charlie.brown@example.org</t>
  </si>
  <si>
    <t>789 Pine Ln, Sometown, USA</t>
  </si>
  <si>
    <t>555-111-2222</t>
  </si>
  <si>
    <t xml:space="preserve">  david   </t>
  </si>
  <si>
    <t>Lee</t>
  </si>
  <si>
    <t>s.khanna543@example.com</t>
  </si>
  <si>
    <t>555-333-4444</t>
  </si>
  <si>
    <t>emily</t>
  </si>
  <si>
    <t>davis</t>
  </si>
  <si>
    <t>emily.davis@example.net</t>
  </si>
  <si>
    <t>222 Birch Rd, Yetanothertown, USA</t>
  </si>
  <si>
    <t>555-555-6666</t>
  </si>
  <si>
    <t>Red Colour Shirt</t>
  </si>
  <si>
    <t>Blue Colour T-shirt</t>
  </si>
  <si>
    <t>Yellow Colour Cap</t>
  </si>
  <si>
    <t>product</t>
  </si>
  <si>
    <r>
      <t>Find what: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Colour</t>
    </r>
  </si>
  <si>
    <r>
      <t>Replace with: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Color</t>
    </r>
  </si>
  <si>
    <t>Other real-world uses</t>
  </si>
  <si>
    <t xml:space="preserve">  Green Colour Jacket</t>
  </si>
  <si>
    <t>Remove extra spaces: Find (2 space) ➜ Replace with nothing.</t>
  </si>
  <si>
    <t>1.2) Data_validation list from a column (L). This is linked to column L</t>
  </si>
  <si>
    <t>1.1) Data_validation list from values (Region)</t>
  </si>
  <si>
    <t>2.1) Restricted numbers (Age 10 to 150)</t>
  </si>
  <si>
    <t>5) Show input message  (between 10 and 100)</t>
  </si>
  <si>
    <t>101 Maple Ln, Anothertown, USA</t>
  </si>
  <si>
    <t>123, Pike Ln, Chicago, US 12345-3432</t>
  </si>
  <si>
    <t>substitute_Ln_Ave_St</t>
  </si>
  <si>
    <t>work_hrs</t>
  </si>
  <si>
    <t>rate</t>
  </si>
  <si>
    <t>is_hrs_GT_23</t>
  </si>
  <si>
    <t>222 Birch Rd, Yetanothertown, Australia</t>
  </si>
  <si>
    <t>is_from_australia</t>
  </si>
  <si>
    <t>tax</t>
  </si>
  <si>
    <t>Tax%</t>
  </si>
  <si>
    <t>Enter region</t>
  </si>
  <si>
    <t>wesst</t>
  </si>
  <si>
    <t>&lt;- this is not valid data</t>
  </si>
  <si>
    <t>Enter items</t>
  </si>
  <si>
    <t>Enter DOB:</t>
  </si>
  <si>
    <t>Enter age of employee</t>
  </si>
  <si>
    <t>3) Restricted length of characters should be &gt;= 5 (ZIP code)</t>
  </si>
  <si>
    <t>Enter zip code(&gt;5 digit)</t>
  </si>
  <si>
    <t>Enter age:</t>
  </si>
  <si>
    <t>is_duplicate_names</t>
  </si>
  <si>
    <t>is_duplicate_names_age</t>
  </si>
  <si>
    <t>is_duplicate_for_all_columns</t>
  </si>
  <si>
    <t>GOAL: Now I want to see which column/columns have duplicates:</t>
  </si>
  <si>
    <r>
      <t xml:space="preserve">Create a column </t>
    </r>
    <r>
      <rPr>
        <b/>
        <sz val="14"/>
        <color rgb="FF000000"/>
        <rFont val="Calibri"/>
        <family val="2"/>
        <scheme val="minor"/>
      </rPr>
      <t>Duplicates</t>
    </r>
    <r>
      <rPr>
        <sz val="14"/>
        <color rgb="FF000000"/>
        <rFont val="Calibri"/>
        <family val="2"/>
        <scheme val="minor"/>
      </rPr>
      <t xml:space="preserve"> and enter the formula</t>
    </r>
  </si>
  <si>
    <t>concat (concatenation) means combine text</t>
  </si>
  <si>
    <t>prints 1st 5 chars from RIGHT</t>
  </si>
  <si>
    <t>prints 1st 5 chars from LEFT</t>
  </si>
  <si>
    <t>find the index of . from  a cell</t>
  </si>
  <si>
    <t>&lt;- This is the first com</t>
  </si>
  <si>
    <t>substitute Ln with Lane(single subst)</t>
  </si>
  <si>
    <t>substitute Ln with Lane, US with USA, - with space( triple subs)</t>
  </si>
  <si>
    <t>DOB_date_formatted</t>
  </si>
  <si>
    <t>ISNUMBER</t>
  </si>
  <si>
    <t>harry</t>
  </si>
  <si>
    <t>How to use Find &amp; Replace</t>
  </si>
  <si>
    <r>
      <rPr>
        <b/>
        <sz val="11"/>
        <color theme="1"/>
        <rFont val="Calibri"/>
        <family val="2"/>
        <scheme val="minor"/>
      </rPr>
      <t>1. Select the range</t>
    </r>
    <r>
      <rPr>
        <sz val="11"/>
        <color theme="1"/>
        <rFont val="Calibri"/>
        <family val="2"/>
        <scheme val="minor"/>
      </rPr>
      <t xml:space="preserve"> (or leave unselected to search entire sheet).</t>
    </r>
  </si>
  <si>
    <r>
      <t xml:space="preserve">2.  Go to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tab ➜ </t>
    </r>
    <r>
      <rPr>
        <b/>
        <sz val="11"/>
        <color theme="1"/>
        <rFont val="Calibri"/>
        <family val="2"/>
        <scheme val="minor"/>
      </rPr>
      <t>Editing group</t>
    </r>
    <r>
      <rPr>
        <sz val="11"/>
        <color theme="1"/>
        <rFont val="Calibri"/>
        <family val="2"/>
        <scheme val="minor"/>
      </rPr>
      <t xml:space="preserve"> ➜ click </t>
    </r>
    <r>
      <rPr>
        <b/>
        <sz val="11"/>
        <color theme="1"/>
        <rFont val="Calibri"/>
        <family val="2"/>
        <scheme val="minor"/>
      </rPr>
      <t>Find &amp; Select</t>
    </r>
    <r>
      <rPr>
        <sz val="11"/>
        <color theme="1"/>
        <rFont val="Calibri"/>
        <family val="2"/>
        <scheme val="minor"/>
      </rPr>
      <t xml:space="preserve"> ➜ choose </t>
    </r>
    <r>
      <rPr>
        <b/>
        <sz val="11"/>
        <color theme="1"/>
        <rFont val="Calibri"/>
        <family val="2"/>
        <scheme val="minor"/>
      </rPr>
      <t>Replace...</t>
    </r>
  </si>
  <si>
    <t>Goal: Change “Colour” ➜ “Color” in all cells.</t>
  </si>
  <si>
    <r>
      <t xml:space="preserve">3. Then </t>
    </r>
    <r>
      <rPr>
        <b/>
        <sz val="11"/>
        <color theme="1"/>
        <rFont val="Calibri"/>
        <family val="2"/>
        <scheme val="minor"/>
      </rPr>
      <t>Find and Replace</t>
    </r>
    <r>
      <rPr>
        <sz val="11"/>
        <color theme="1"/>
        <rFont val="Calibri"/>
        <family val="2"/>
        <scheme val="minor"/>
      </rPr>
      <t xml:space="preserve"> dialog box appears: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</si>
  <si>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Replace All</t>
    </r>
  </si>
  <si>
    <r>
      <t xml:space="preserve">Fix product codes: </t>
    </r>
    <r>
      <rPr>
        <b/>
        <sz val="10"/>
        <color theme="1"/>
        <rFont val="Arial Unicode MS"/>
      </rPr>
      <t>ABC-</t>
    </r>
    <r>
      <rPr>
        <b/>
        <sz val="11"/>
        <color theme="1"/>
        <rFont val="Calibri"/>
        <family val="2"/>
        <scheme val="minor"/>
      </rPr>
      <t xml:space="preserve"> ➜ </t>
    </r>
    <r>
      <rPr>
        <b/>
        <sz val="10"/>
        <color theme="1"/>
        <rFont val="Arial Unicode MS"/>
      </rPr>
      <t>XYZ-</t>
    </r>
  </si>
  <si>
    <r>
      <t xml:space="preserve">Replace outdated year: Find </t>
    </r>
    <r>
      <rPr>
        <b/>
        <sz val="10"/>
        <color theme="1"/>
        <rFont val="Arial Unicode MS"/>
      </rPr>
      <t>2023</t>
    </r>
    <r>
      <rPr>
        <b/>
        <sz val="11"/>
        <color theme="1"/>
        <rFont val="Calibri"/>
        <family val="2"/>
        <scheme val="minor"/>
      </rPr>
      <t xml:space="preserve"> ➜ Replace with </t>
    </r>
    <r>
      <rPr>
        <b/>
        <sz val="10"/>
        <color theme="1"/>
        <rFont val="Arial Unicode MS"/>
      </rPr>
      <t>2024</t>
    </r>
  </si>
  <si>
    <r>
      <t xml:space="preserve">Change names: Find </t>
    </r>
    <r>
      <rPr>
        <b/>
        <sz val="10"/>
        <color theme="1"/>
        <rFont val="Arial Unicode MS"/>
      </rPr>
      <t>Ltd</t>
    </r>
    <r>
      <rPr>
        <b/>
        <sz val="11"/>
        <color theme="1"/>
        <rFont val="Calibri"/>
        <family val="2"/>
        <scheme val="minor"/>
      </rPr>
      <t xml:space="preserve"> ➜ Replace with </t>
    </r>
    <r>
      <rPr>
        <b/>
        <sz val="10"/>
        <color theme="1"/>
        <rFont val="Arial Unicode MS"/>
      </rPr>
      <t>Limited</t>
    </r>
  </si>
  <si>
    <t>Excel will instantly find every instance of “Colour” and replace it with “Color”.</t>
  </si>
  <si>
    <r>
      <t>2) Add data bars for column profit: select</t>
    </r>
    <r>
      <rPr>
        <b/>
        <sz val="14"/>
        <color theme="1"/>
        <rFont val="Calibri"/>
        <family val="2"/>
        <scheme val="minor"/>
      </rPr>
      <t xml:space="preserve"> profit column...Home-&gt; conditional formatting -&gt; Data bars -&gt; choose any one</t>
    </r>
  </si>
  <si>
    <t>Proper (makes first letter of words in a sentence uppercase)</t>
  </si>
  <si>
    <t>extract text starting from idx=7 upto 8 chars</t>
  </si>
  <si>
    <t>Find the username from email: (LEFT+FIND)</t>
  </si>
  <si>
    <t>Find domain name from email:(MID+SEARCH)</t>
  </si>
  <si>
    <t>APPLICATION:</t>
  </si>
  <si>
    <t xml:space="preserve">            rahim       manufacturing corporation    </t>
  </si>
  <si>
    <t>Trim(Remove before/in-between/after white space)</t>
  </si>
  <si>
    <t>Ramu</t>
  </si>
  <si>
    <t>Sandeep</t>
  </si>
  <si>
    <t>Gurddep</t>
  </si>
  <si>
    <t>fundeep</t>
  </si>
  <si>
    <t>sandeep</t>
  </si>
  <si>
    <t>Harry</t>
  </si>
  <si>
    <t>Rodriguez</t>
  </si>
  <si>
    <t>Khan</t>
  </si>
  <si>
    <t>Kinu</t>
  </si>
  <si>
    <t>James</t>
  </si>
  <si>
    <t>Smith</t>
  </si>
  <si>
    <t>JamesSmith@gmail.com</t>
  </si>
  <si>
    <t>Anderson</t>
  </si>
  <si>
    <t>Ronald</t>
  </si>
  <si>
    <t>Clark</t>
  </si>
  <si>
    <t>RonaldClark@gmail.com</t>
  </si>
  <si>
    <t>Mary</t>
  </si>
  <si>
    <t>Wright</t>
  </si>
  <si>
    <t>MaryWright@gmail.com</t>
  </si>
  <si>
    <t>Mitchell</t>
  </si>
  <si>
    <t>LisaMitchell@gmail.com</t>
  </si>
  <si>
    <t>Michelle</t>
  </si>
  <si>
    <t>MichelleJohnson@gmail.com</t>
  </si>
  <si>
    <t>Thomas</t>
  </si>
  <si>
    <t>JohnThomas@gmail.com</t>
  </si>
  <si>
    <t>Daniel</t>
  </si>
  <si>
    <t>DanielRodriguez@gmail.com</t>
  </si>
  <si>
    <t>Anthony</t>
  </si>
  <si>
    <t>Lopez</t>
  </si>
  <si>
    <t>AnthonyLopez@gmail.com</t>
  </si>
  <si>
    <t>Perez</t>
  </si>
  <si>
    <t>PatriciaPerez@gmail.com</t>
  </si>
  <si>
    <t>Nancy</t>
  </si>
  <si>
    <t>Williams</t>
  </si>
  <si>
    <t>Nancy.Williams@hotmail.com</t>
  </si>
  <si>
    <t>Christopher.Anderson@gmail.com</t>
  </si>
  <si>
    <t xml:space="preserve">    Christopher</t>
  </si>
  <si>
    <t xml:space="preserve">   Lisa</t>
  </si>
  <si>
    <t xml:space="preserve">   John</t>
  </si>
  <si>
    <t xml:space="preserve">   Patricia</t>
  </si>
  <si>
    <r>
      <rPr>
        <b/>
        <sz val="14"/>
        <color theme="1"/>
        <rFont val="Calibri"/>
        <family val="2"/>
        <scheme val="minor"/>
      </rPr>
      <t xml:space="preserve">GOAL: </t>
    </r>
    <r>
      <rPr>
        <sz val="14"/>
        <color theme="1"/>
        <rFont val="Calibri"/>
        <family val="2"/>
        <scheme val="minor"/>
      </rPr>
      <t xml:space="preserve"> In this sheet, find </t>
    </r>
    <r>
      <rPr>
        <b/>
        <sz val="14"/>
        <color theme="1"/>
        <rFont val="Calibri"/>
        <family val="2"/>
        <scheme val="minor"/>
      </rPr>
      <t>notes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constant, formulas, blanks,errors, data validations,  conditional formatting,  logical formulas</t>
    </r>
  </si>
  <si>
    <r>
      <t xml:space="preserve">3) Color cells that contain text North: </t>
    </r>
    <r>
      <rPr>
        <b/>
        <sz val="14"/>
        <color theme="1"/>
        <rFont val="Calibri"/>
        <family val="2"/>
        <scheme val="minor"/>
      </rPr>
      <t>Select Region column…home -&gt; cond. Format. -&gt; highlight cell rules -&gt; Text that contains North</t>
    </r>
  </si>
  <si>
    <r>
      <t xml:space="preserve">NOTE: To clear rules: Home -&gt; cond. Format -&gt; </t>
    </r>
    <r>
      <rPr>
        <b/>
        <sz val="14"/>
        <color theme="1"/>
        <rFont val="Calibri"/>
        <family val="2"/>
        <scheme val="minor"/>
      </rPr>
      <t>Clear rules(for all rules</t>
    </r>
    <r>
      <rPr>
        <sz val="14"/>
        <color theme="1"/>
        <rFont val="Calibri"/>
        <family val="2"/>
        <scheme val="minor"/>
      </rPr>
      <t xml:space="preserve">) or </t>
    </r>
    <r>
      <rPr>
        <b/>
        <sz val="14"/>
        <color theme="1"/>
        <rFont val="Calibri"/>
        <family val="2"/>
        <scheme val="minor"/>
      </rPr>
      <t>Manage rules(for customized clearing)</t>
    </r>
  </si>
  <si>
    <t>ash@somecompany.com</t>
  </si>
  <si>
    <t>Enter Age</t>
  </si>
  <si>
    <t>4) Cutomized Error message (between 10 and 100)</t>
  </si>
  <si>
    <t>indexing starts from 1</t>
  </si>
  <si>
    <t>Ashwani, 12345 Main Street, 05486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</si>
</sst>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+mj-lt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6" fillId="5" borderId="0" applyNumberFormat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1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3" borderId="0" xfId="0" applyFill="1"/>
    <xf numFmtId="0" fontId="7" fillId="4" borderId="0" xfId="0" applyFont="1" applyFill="1"/>
    <xf numFmtId="14" fontId="1" fillId="4" borderId="0" xfId="0" applyNumberFormat="1" applyFont="1" applyFill="1"/>
    <xf numFmtId="0" fontId="0" fillId="4" borderId="0" xfId="0" applyFill="1"/>
    <xf numFmtId="0" fontId="1" fillId="3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horizontal="left" vertical="center" readingOrder="1"/>
    </xf>
    <xf numFmtId="0" fontId="1" fillId="3" borderId="0" xfId="0" applyFont="1" applyFill="1"/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/>
    </xf>
    <xf numFmtId="0" fontId="0" fillId="6" borderId="0" xfId="0" applyFill="1"/>
    <xf numFmtId="0" fontId="1" fillId="3" borderId="0" xfId="0" applyFont="1" applyFill="1" applyAlignment="1">
      <alignment horizontal="center"/>
    </xf>
    <xf numFmtId="0" fontId="6" fillId="3" borderId="0" xfId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6" fillId="5" borderId="0" xfId="2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4" borderId="0" xfId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3">
    <cellStyle name="Accent5" xfId="2" builtinId="45"/>
    <cellStyle name="Hyperlink" xfId="1" builtinId="8"/>
    <cellStyle name="Normal" xfId="0" builtinId="0"/>
  </cellStyles>
  <dxfs count="36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599945</xdr:colOff>
      <xdr:row>0</xdr:row>
      <xdr:rowOff>114300</xdr:rowOff>
    </xdr:from>
    <xdr:to>
      <xdr:col>19</xdr:col>
      <xdr:colOff>276385</xdr:colOff>
      <xdr:row>15</xdr:row>
      <xdr:rowOff>90777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267EE-FB1A-227E-E901-E795F8EB1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2995" y="114300"/>
          <a:ext cx="4115090" cy="2833977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16</xdr:row>
      <xdr:rowOff>142875</xdr:rowOff>
    </xdr:from>
    <xdr:to>
      <xdr:col>18</xdr:col>
      <xdr:colOff>447030</xdr:colOff>
      <xdr:row>31</xdr:row>
      <xdr:rowOff>137782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41EEF7-4394-E82C-6CBB-1F21ACA36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3190875"/>
          <a:ext cx="3609330" cy="2852407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571500</xdr:colOff>
      <xdr:row>0</xdr:row>
      <xdr:rowOff>0</xdr:rowOff>
    </xdr:from>
    <xdr:to>
      <xdr:col>27</xdr:col>
      <xdr:colOff>17311</xdr:colOff>
      <xdr:row>13</xdr:row>
      <xdr:rowOff>149086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56797F-47C0-07F3-CE0D-14BC888A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0"/>
          <a:ext cx="4322611" cy="2625586"/>
        </a:xfrm>
        <a:prstGeom prst="rect">
          <a:avLst/>
        </a:prstGeom>
      </xdr:spPr>
    </xdr:pic>
    <xdr:clientData/>
  </xdr:twoCellAnchor>
  <xdr:twoCellAnchor editAs="oneCell">
    <xdr:from>
      <xdr:col>19</xdr:col>
      <xdr:colOff>600075</xdr:colOff>
      <xdr:row>14</xdr:row>
      <xdr:rowOff>161925</xdr:rowOff>
    </xdr:from>
    <xdr:to>
      <xdr:col>27</xdr:col>
      <xdr:colOff>350447</xdr:colOff>
      <xdr:row>24</xdr:row>
      <xdr:rowOff>62651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686CFF-2A3F-C680-23A8-23574503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1775" y="2828925"/>
          <a:ext cx="4627172" cy="1805726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</xdr:colOff>
      <xdr:row>25</xdr:row>
      <xdr:rowOff>57150</xdr:rowOff>
    </xdr:from>
    <xdr:to>
      <xdr:col>26</xdr:col>
      <xdr:colOff>271940</xdr:colOff>
      <xdr:row>35</xdr:row>
      <xdr:rowOff>12610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CEDD2E-805A-BD4F-ACD1-14FB7CEF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9875" y="4819650"/>
          <a:ext cx="3900965" cy="1860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609599</xdr:colOff>
      <xdr:row>0</xdr:row>
      <xdr:rowOff>66675</xdr:rowOff>
    </xdr:from>
    <xdr:to>
      <xdr:col>20</xdr:col>
      <xdr:colOff>597458</xdr:colOff>
      <xdr:row>18</xdr:row>
      <xdr:rowOff>156916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4" y="66675"/>
          <a:ext cx="6693459" cy="35192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131445</xdr:colOff>
      <xdr:row>0</xdr:row>
      <xdr:rowOff>47625</xdr:rowOff>
    </xdr:from>
    <xdr:to>
      <xdr:col>17</xdr:col>
      <xdr:colOff>60284</xdr:colOff>
      <xdr:row>21</xdr:row>
      <xdr:rowOff>18416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5770" y="47625"/>
          <a:ext cx="6634439" cy="39712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wani Kumar" id="{BF294B09-C4B8-424F-B1A1-3E9BFA616D99}" userId="f9f709b085d43a47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X_SampleData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07-21T03:46:31.36" personId="{BF294B09-C4B8-424F-B1A1-3E9BFA616D99}" id="{F0E6D114-1041-439C-84CB-60F8D818E552}">
    <text>This address does not exist.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sh@somecompany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ichelleJohnson@gmail.com" TargetMode="External"/><Relationship Id="rId13" Type="http://schemas.openxmlformats.org/officeDocument/2006/relationships/hyperlink" Target="mailto:Nancy.Williams@hotmail.com" TargetMode="External"/><Relationship Id="rId3" Type="http://schemas.openxmlformats.org/officeDocument/2006/relationships/hyperlink" Target="mailto:JamesSmith@gmail.com" TargetMode="External"/><Relationship Id="rId7" Type="http://schemas.openxmlformats.org/officeDocument/2006/relationships/hyperlink" Target="mailto:LisaMitchell@gmail.com" TargetMode="External"/><Relationship Id="rId12" Type="http://schemas.openxmlformats.org/officeDocument/2006/relationships/hyperlink" Target="mailto:PatriciaPerez@gmail.com" TargetMode="External"/><Relationship Id="rId2" Type="http://schemas.openxmlformats.org/officeDocument/2006/relationships/hyperlink" Target="mailto:s.khanna543@example.com" TargetMode="External"/><Relationship Id="rId1" Type="http://schemas.openxmlformats.org/officeDocument/2006/relationships/hyperlink" Target="mailto:bjohn322@google.com" TargetMode="External"/><Relationship Id="rId6" Type="http://schemas.openxmlformats.org/officeDocument/2006/relationships/hyperlink" Target="mailto:MaryWright@gmail.com" TargetMode="External"/><Relationship Id="rId11" Type="http://schemas.openxmlformats.org/officeDocument/2006/relationships/hyperlink" Target="mailto:AnthonyLopez@gmail.com" TargetMode="External"/><Relationship Id="rId5" Type="http://schemas.openxmlformats.org/officeDocument/2006/relationships/hyperlink" Target="mailto:RonaldClark@gmail.com" TargetMode="External"/><Relationship Id="rId10" Type="http://schemas.openxmlformats.org/officeDocument/2006/relationships/hyperlink" Target="mailto:DanielRodriguez@gmail.com" TargetMode="External"/><Relationship Id="rId4" Type="http://schemas.openxmlformats.org/officeDocument/2006/relationships/hyperlink" Target="mailto:Christopher.Anderson@gmail.com" TargetMode="External"/><Relationship Id="rId9" Type="http://schemas.openxmlformats.org/officeDocument/2006/relationships/hyperlink" Target="mailto:JohnThomas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Rodriguez@gmail.com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RonaldClark@gmail.com" TargetMode="External"/><Relationship Id="rId7" Type="http://schemas.openxmlformats.org/officeDocument/2006/relationships/hyperlink" Target="mailto:JohnThomas@gmail.co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s.khanna543@example.com" TargetMode="External"/><Relationship Id="rId1" Type="http://schemas.openxmlformats.org/officeDocument/2006/relationships/hyperlink" Target="mailto:bjohn322@google.com" TargetMode="External"/><Relationship Id="rId6" Type="http://schemas.openxmlformats.org/officeDocument/2006/relationships/hyperlink" Target="mailto:MichelleJohnson@gmail.com" TargetMode="External"/><Relationship Id="rId11" Type="http://schemas.openxmlformats.org/officeDocument/2006/relationships/hyperlink" Target="mailto:Nancy.Williams@hotmail.com" TargetMode="External"/><Relationship Id="rId5" Type="http://schemas.openxmlformats.org/officeDocument/2006/relationships/hyperlink" Target="mailto:LisaMitchell@gmail.com" TargetMode="External"/><Relationship Id="rId10" Type="http://schemas.openxmlformats.org/officeDocument/2006/relationships/hyperlink" Target="mailto:PatriciaPerez@gmail.com" TargetMode="External"/><Relationship Id="rId4" Type="http://schemas.openxmlformats.org/officeDocument/2006/relationships/hyperlink" Target="mailto:MaryWright@gmail.com" TargetMode="External"/><Relationship Id="rId9" Type="http://schemas.openxmlformats.org/officeDocument/2006/relationships/hyperlink" Target="mailto:AnthonyLopez@gmail.com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25" zoomScale="130" zoomScaleNormal="130" workbookViewId="0">
      <selection activeCell="E39" sqref="E39"/>
    </sheetView>
  </sheetViews>
  <sheetFormatPr defaultRowHeight="15"/>
  <cols>
    <col min="1" max="1" width="21.7109375" customWidth="1"/>
    <col min="2" max="2" width="10" customWidth="1"/>
    <col min="3" max="3" width="10.28515625" bestFit="1" customWidth="1"/>
    <col min="4" max="4" width="7.7109375" bestFit="1" customWidth="1"/>
    <col min="5" max="5" width="11.85546875" customWidth="1"/>
    <col min="6" max="6" width="9" bestFit="1" customWidth="1"/>
    <col min="7" max="7" width="8" bestFit="1" customWidth="1"/>
    <col min="8" max="8" width="12" customWidth="1"/>
    <col min="9" max="9" width="19.140625" customWidth="1"/>
    <col min="11" max="11" width="15.7109375" customWidth="1"/>
    <col min="12" max="12" width="9.140625" style="13"/>
    <col min="16" max="16" width="11.7109375" customWidth="1"/>
  </cols>
  <sheetData>
    <row r="1" spans="1:12">
      <c r="L1" s="13" t="s">
        <v>2</v>
      </c>
    </row>
    <row r="2" spans="1:12">
      <c r="L2" s="13" t="s">
        <v>3</v>
      </c>
    </row>
    <row r="3" spans="1:12">
      <c r="L3" s="13" t="s">
        <v>28</v>
      </c>
    </row>
    <row r="4" spans="1:12">
      <c r="E4" t="s">
        <v>217</v>
      </c>
      <c r="F4" s="27">
        <v>45</v>
      </c>
      <c r="L4" s="13" t="s">
        <v>29</v>
      </c>
    </row>
    <row r="8" spans="1:12">
      <c r="I8" s="2" t="s">
        <v>6</v>
      </c>
    </row>
    <row r="9" spans="1:12">
      <c r="A9" s="37" t="s">
        <v>118</v>
      </c>
      <c r="B9" s="37"/>
      <c r="C9" s="37"/>
      <c r="H9" s="2" t="s">
        <v>135</v>
      </c>
      <c r="I9" s="15">
        <v>38253</v>
      </c>
    </row>
    <row r="10" spans="1:12">
      <c r="A10" s="2" t="s">
        <v>131</v>
      </c>
      <c r="B10" s="8" t="s">
        <v>132</v>
      </c>
      <c r="C10" t="s">
        <v>133</v>
      </c>
      <c r="I10" s="1"/>
    </row>
    <row r="11" spans="1:12">
      <c r="A11" s="2" t="s">
        <v>131</v>
      </c>
      <c r="B11" s="14"/>
      <c r="I11" s="1"/>
    </row>
    <row r="12" spans="1:12">
      <c r="H12" s="22"/>
    </row>
    <row r="14" spans="1:12">
      <c r="A14" s="2" t="s">
        <v>117</v>
      </c>
    </row>
    <row r="15" spans="1:12">
      <c r="A15" s="2" t="s">
        <v>134</v>
      </c>
      <c r="B15" s="14" t="s">
        <v>29</v>
      </c>
    </row>
    <row r="18" spans="1:11">
      <c r="A18" s="2" t="s">
        <v>119</v>
      </c>
    </row>
    <row r="20" spans="1:11">
      <c r="A20" t="s">
        <v>136</v>
      </c>
      <c r="B20" s="16">
        <v>12</v>
      </c>
      <c r="K20" s="22"/>
    </row>
    <row r="21" spans="1:11">
      <c r="A21" s="2"/>
    </row>
    <row r="24" spans="1:11">
      <c r="A24" s="2" t="s">
        <v>137</v>
      </c>
    </row>
    <row r="26" spans="1:11">
      <c r="A26" t="s">
        <v>138</v>
      </c>
      <c r="B26" s="16">
        <v>45378</v>
      </c>
    </row>
    <row r="30" spans="1:11">
      <c r="A30" s="2" t="s">
        <v>218</v>
      </c>
    </row>
    <row r="32" spans="1:11">
      <c r="A32" t="s">
        <v>139</v>
      </c>
      <c r="B32" s="16">
        <v>34</v>
      </c>
    </row>
    <row r="36" spans="1:2">
      <c r="A36" s="2" t="s">
        <v>120</v>
      </c>
    </row>
    <row r="38" spans="1:2">
      <c r="A38" t="s">
        <v>139</v>
      </c>
      <c r="B38" s="16">
        <v>23</v>
      </c>
    </row>
  </sheetData>
  <mergeCells count="1">
    <mergeCell ref="A9:C9"/>
  </mergeCells>
  <dataValidations count="9">
    <dataValidation type="list" allowBlank="1" showInputMessage="1" showErrorMessage="1" sqref="B11" xr:uid="{00000000-0002-0000-0000-000000000000}">
      <formula1>"East, West, Central, North"</formula1>
    </dataValidation>
    <dataValidation type="whole" allowBlank="1" showInputMessage="1" showErrorMessage="1" sqref="B20" xr:uid="{00000000-0002-0000-0000-000001000000}">
      <formula1>10</formula1>
      <formula2>150</formula2>
    </dataValidation>
    <dataValidation type="whole" allowBlank="1" showInputMessage="1" showErrorMessage="1" sqref="A22" xr:uid="{00000000-0002-0000-0000-000002000000}">
      <formula1>-3</formula1>
      <formula2>6</formula2>
    </dataValidation>
    <dataValidation type="custom" allowBlank="1" showInputMessage="1" showErrorMessage="1" sqref="B26" xr:uid="{00000000-0002-0000-0000-000003000000}">
      <formula1>LEN(B26) &gt;= 5</formula1>
    </dataValidation>
    <dataValidation type="whole" allowBlank="1" showInputMessage="1" showErrorMessage="1" errorTitle="Oops ...you entered wrong data" error="Please enter valid number between 10 and 100. _x000a_Thank you." sqref="B32" xr:uid="{00000000-0002-0000-0000-000004000000}">
      <formula1>10</formula1>
      <formula2>100</formula2>
    </dataValidation>
    <dataValidation type="whole" errorStyle="information" allowBlank="1" showInputMessage="1" showErrorMessage="1" promptTitle="Instructions for this cell" prompt="Please enter age between 10 and 100. Thank you" sqref="B38" xr:uid="{00000000-0002-0000-0000-000005000000}">
      <formula1>10</formula1>
      <formula2>100</formula2>
    </dataValidation>
    <dataValidation type="date" allowBlank="1" showInputMessage="1" showErrorMessage="1" sqref="I9:I11" xr:uid="{00000000-0002-0000-0000-000006000000}">
      <formula1>36526</formula1>
      <formula2>TODAY()</formula2>
    </dataValidation>
    <dataValidation type="list" allowBlank="1" showInputMessage="1" showErrorMessage="1" sqref="B15" xr:uid="{00000000-0002-0000-0000-000007000000}">
      <formula1>$L:$L</formula1>
    </dataValidation>
    <dataValidation type="whole" allowBlank="1" showInputMessage="1" showErrorMessage="1" sqref="F4" xr:uid="{32A825EE-2B44-4F0A-BE5F-9488E972E4BC}">
      <formula1>18</formula1>
      <formula2>100</formula2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7" zoomScale="120" zoomScaleNormal="120" workbookViewId="0">
      <selection activeCell="H18" sqref="H18"/>
    </sheetView>
  </sheetViews>
  <sheetFormatPr defaultRowHeight="15"/>
  <cols>
    <col min="3" max="3" width="13.5703125" customWidth="1"/>
    <col min="6" max="6" width="19.7109375" customWidth="1"/>
    <col min="7" max="7" width="23.7109375" customWidth="1"/>
    <col min="8" max="8" width="27.140625" customWidth="1"/>
  </cols>
  <sheetData>
    <row r="1" spans="1:8">
      <c r="A1" s="17" t="s">
        <v>7</v>
      </c>
      <c r="B1" s="17" t="s">
        <v>5</v>
      </c>
      <c r="C1" s="17" t="s">
        <v>8</v>
      </c>
      <c r="F1" s="8" t="s">
        <v>140</v>
      </c>
      <c r="G1" s="8" t="s">
        <v>141</v>
      </c>
      <c r="H1" s="8" t="s">
        <v>142</v>
      </c>
    </row>
    <row r="2" spans="1:8">
      <c r="A2" s="24" t="s">
        <v>11</v>
      </c>
      <c r="B2" s="24">
        <v>25</v>
      </c>
      <c r="C2" s="24" t="s">
        <v>12</v>
      </c>
      <c r="F2" s="8" t="b">
        <f xml:space="preserve"> COUNTIFS(A:A,A2) &gt; 1</f>
        <v>1</v>
      </c>
      <c r="G2" s="8" t="b">
        <f xml:space="preserve"> COUNTIFS(A:A,A2,B:B,B2) &gt;1</f>
        <v>1</v>
      </c>
      <c r="H2" s="8" t="b">
        <f xml:space="preserve"> COUNTIFS(A:A,A2,B:B,B2, C:C,C2) &gt;1</f>
        <v>1</v>
      </c>
    </row>
    <row r="3" spans="1:8">
      <c r="A3" s="24" t="s">
        <v>9</v>
      </c>
      <c r="B3" s="24">
        <v>30</v>
      </c>
      <c r="C3" s="24" t="s">
        <v>15</v>
      </c>
      <c r="F3" s="8" t="b">
        <f t="shared" ref="F3:F25" si="0" xml:space="preserve"> COUNTIFS(A:A,A3) &gt; 1</f>
        <v>0</v>
      </c>
      <c r="G3" s="8" t="b">
        <f t="shared" ref="G3:G25" si="1" xml:space="preserve"> COUNTIFS(A:A,A3,B:B,B3) &gt;1</f>
        <v>0</v>
      </c>
      <c r="H3" s="8" t="b">
        <f t="shared" ref="H3:H25" si="2" xml:space="preserve"> COUNTIFS(A:A,A3,B:B,B3, C:C,C3) &gt;1</f>
        <v>0</v>
      </c>
    </row>
    <row r="4" spans="1:8">
      <c r="A4" s="24" t="s">
        <v>11</v>
      </c>
      <c r="B4" s="24">
        <v>25</v>
      </c>
      <c r="C4" s="24" t="s">
        <v>12</v>
      </c>
      <c r="F4" s="8" t="b">
        <f t="shared" si="0"/>
        <v>1</v>
      </c>
      <c r="G4" s="8" t="b">
        <f t="shared" si="1"/>
        <v>1</v>
      </c>
      <c r="H4" s="8" t="b">
        <f t="shared" si="2"/>
        <v>1</v>
      </c>
    </row>
    <row r="5" spans="1:8">
      <c r="A5" s="24" t="s">
        <v>13</v>
      </c>
      <c r="B5" s="24">
        <v>22</v>
      </c>
      <c r="C5" s="24" t="s">
        <v>14</v>
      </c>
      <c r="F5" s="8" t="b">
        <f t="shared" si="0"/>
        <v>1</v>
      </c>
      <c r="G5" s="8" t="b">
        <f t="shared" si="1"/>
        <v>1</v>
      </c>
      <c r="H5" s="8" t="b">
        <f t="shared" si="2"/>
        <v>1</v>
      </c>
    </row>
    <row r="6" spans="1:8">
      <c r="A6" s="24" t="s">
        <v>13</v>
      </c>
      <c r="B6" s="24">
        <v>22</v>
      </c>
      <c r="C6" s="24" t="s">
        <v>10</v>
      </c>
      <c r="F6" s="8" t="b">
        <f t="shared" si="0"/>
        <v>1</v>
      </c>
      <c r="G6" s="8" t="b">
        <f t="shared" si="1"/>
        <v>1</v>
      </c>
      <c r="H6" s="8" t="b">
        <f t="shared" si="2"/>
        <v>0</v>
      </c>
    </row>
    <row r="7" spans="1:8">
      <c r="A7" s="24" t="s">
        <v>13</v>
      </c>
      <c r="B7" s="24">
        <v>22</v>
      </c>
      <c r="C7" s="24" t="s">
        <v>14</v>
      </c>
      <c r="F7" s="8" t="b">
        <f t="shared" si="0"/>
        <v>1</v>
      </c>
      <c r="G7" s="8" t="b">
        <f t="shared" si="1"/>
        <v>1</v>
      </c>
      <c r="H7" s="8" t="b">
        <f t="shared" si="2"/>
        <v>1</v>
      </c>
    </row>
    <row r="8" spans="1:8">
      <c r="A8" s="24" t="s">
        <v>13</v>
      </c>
      <c r="B8" s="24">
        <v>32</v>
      </c>
      <c r="C8" s="24" t="s">
        <v>14</v>
      </c>
      <c r="F8" s="8" t="b">
        <f t="shared" si="0"/>
        <v>1</v>
      </c>
      <c r="G8" s="8" t="b">
        <f t="shared" si="1"/>
        <v>0</v>
      </c>
      <c r="H8" s="8" t="b">
        <f t="shared" si="2"/>
        <v>0</v>
      </c>
    </row>
    <row r="9" spans="1:8">
      <c r="A9" s="13" t="s">
        <v>177</v>
      </c>
      <c r="B9" s="24">
        <v>22</v>
      </c>
      <c r="C9" s="24" t="s">
        <v>17</v>
      </c>
      <c r="F9" s="8" t="b">
        <f t="shared" si="0"/>
        <v>1</v>
      </c>
      <c r="G9" s="8" t="b">
        <f t="shared" si="1"/>
        <v>0</v>
      </c>
      <c r="H9" s="8" t="b">
        <f t="shared" si="2"/>
        <v>0</v>
      </c>
    </row>
    <row r="10" spans="1:8">
      <c r="A10" s="24" t="s">
        <v>181</v>
      </c>
      <c r="B10" s="23">
        <v>27</v>
      </c>
      <c r="C10" s="24" t="s">
        <v>15</v>
      </c>
      <c r="F10" s="8" t="b">
        <f t="shared" si="0"/>
        <v>0</v>
      </c>
      <c r="G10" s="8" t="b">
        <f t="shared" si="1"/>
        <v>0</v>
      </c>
      <c r="H10" s="8" t="b">
        <f t="shared" si="2"/>
        <v>0</v>
      </c>
    </row>
    <row r="11" spans="1:8">
      <c r="A11" s="24" t="s">
        <v>11</v>
      </c>
      <c r="B11" s="23">
        <v>21</v>
      </c>
      <c r="C11" s="24" t="s">
        <v>17</v>
      </c>
      <c r="F11" s="8" t="b">
        <f t="shared" si="0"/>
        <v>1</v>
      </c>
      <c r="G11" s="8" t="b">
        <f t="shared" si="1"/>
        <v>0</v>
      </c>
      <c r="H11" s="8" t="b">
        <f t="shared" si="2"/>
        <v>0</v>
      </c>
    </row>
    <row r="12" spans="1:8">
      <c r="A12" s="13" t="s">
        <v>177</v>
      </c>
      <c r="B12" s="23">
        <v>35</v>
      </c>
      <c r="C12" s="24" t="s">
        <v>17</v>
      </c>
      <c r="F12" s="8" t="b">
        <f t="shared" si="0"/>
        <v>1</v>
      </c>
      <c r="G12" s="8" t="b">
        <f t="shared" si="1"/>
        <v>0</v>
      </c>
      <c r="H12" s="8" t="b">
        <f t="shared" si="2"/>
        <v>0</v>
      </c>
    </row>
    <row r="13" spans="1:8">
      <c r="A13" s="13" t="s">
        <v>177</v>
      </c>
      <c r="B13" s="23">
        <v>32</v>
      </c>
      <c r="C13" s="24" t="s">
        <v>15</v>
      </c>
      <c r="F13" s="8" t="b">
        <f t="shared" si="0"/>
        <v>1</v>
      </c>
      <c r="G13" s="8" t="b">
        <f t="shared" si="1"/>
        <v>0</v>
      </c>
      <c r="H13" s="8" t="b">
        <f t="shared" si="2"/>
        <v>0</v>
      </c>
    </row>
    <row r="14" spans="1:8">
      <c r="A14" s="24" t="s">
        <v>178</v>
      </c>
      <c r="B14" s="23">
        <v>34</v>
      </c>
      <c r="C14" s="24" t="s">
        <v>17</v>
      </c>
      <c r="F14" s="8" t="b">
        <f t="shared" si="0"/>
        <v>0</v>
      </c>
      <c r="G14" s="8" t="b">
        <f t="shared" si="1"/>
        <v>0</v>
      </c>
      <c r="H14" s="8" t="b">
        <f t="shared" si="2"/>
        <v>0</v>
      </c>
    </row>
    <row r="15" spans="1:8">
      <c r="A15" s="24" t="s">
        <v>11</v>
      </c>
      <c r="B15" s="23">
        <v>53</v>
      </c>
      <c r="C15" s="24" t="s">
        <v>15</v>
      </c>
      <c r="F15" s="8" t="b">
        <f t="shared" si="0"/>
        <v>1</v>
      </c>
      <c r="G15" s="8" t="b">
        <f t="shared" si="1"/>
        <v>0</v>
      </c>
      <c r="H15" s="8" t="b">
        <f t="shared" si="2"/>
        <v>0</v>
      </c>
    </row>
    <row r="16" spans="1:8">
      <c r="A16" s="24" t="s">
        <v>13</v>
      </c>
      <c r="B16" s="23">
        <v>34</v>
      </c>
      <c r="C16" s="24" t="s">
        <v>17</v>
      </c>
      <c r="F16" s="8" t="b">
        <f t="shared" si="0"/>
        <v>1</v>
      </c>
      <c r="G16" s="8" t="b">
        <f t="shared" si="1"/>
        <v>0</v>
      </c>
      <c r="H16" s="8" t="b">
        <f t="shared" si="2"/>
        <v>0</v>
      </c>
    </row>
    <row r="17" spans="1:11">
      <c r="A17" s="24" t="s">
        <v>16</v>
      </c>
      <c r="B17" s="23">
        <v>50</v>
      </c>
      <c r="C17" s="24" t="s">
        <v>15</v>
      </c>
      <c r="F17" s="8" t="b">
        <f t="shared" si="0"/>
        <v>1</v>
      </c>
      <c r="G17" s="8" t="b">
        <f t="shared" si="1"/>
        <v>0</v>
      </c>
      <c r="H17" s="8" t="b">
        <f t="shared" si="2"/>
        <v>0</v>
      </c>
    </row>
    <row r="18" spans="1:11">
      <c r="A18" s="13" t="s">
        <v>177</v>
      </c>
      <c r="B18" s="23">
        <v>29</v>
      </c>
      <c r="C18" s="24" t="s">
        <v>15</v>
      </c>
      <c r="F18" s="8" t="b">
        <f t="shared" si="0"/>
        <v>1</v>
      </c>
      <c r="G18" s="8" t="b">
        <f t="shared" si="1"/>
        <v>1</v>
      </c>
      <c r="H18" s="8" t="b">
        <f t="shared" si="2"/>
        <v>1</v>
      </c>
    </row>
    <row r="19" spans="1:11">
      <c r="A19" s="24" t="s">
        <v>180</v>
      </c>
      <c r="B19" s="23">
        <v>31</v>
      </c>
      <c r="C19" s="24" t="s">
        <v>17</v>
      </c>
      <c r="F19" s="8" t="b">
        <f t="shared" si="0"/>
        <v>0</v>
      </c>
      <c r="G19" s="8" t="b">
        <f t="shared" si="1"/>
        <v>0</v>
      </c>
      <c r="H19" s="8" t="b">
        <f t="shared" si="2"/>
        <v>0</v>
      </c>
    </row>
    <row r="20" spans="1:11">
      <c r="A20" s="24" t="s">
        <v>13</v>
      </c>
      <c r="B20" s="23">
        <v>48</v>
      </c>
      <c r="C20" s="24" t="s">
        <v>17</v>
      </c>
      <c r="F20" s="8" t="b">
        <f t="shared" si="0"/>
        <v>1</v>
      </c>
      <c r="G20" s="8" t="b">
        <f t="shared" si="1"/>
        <v>0</v>
      </c>
      <c r="H20" s="8" t="b">
        <f t="shared" si="2"/>
        <v>0</v>
      </c>
    </row>
    <row r="21" spans="1:11">
      <c r="A21" s="24" t="s">
        <v>179</v>
      </c>
      <c r="B21" s="23">
        <v>28</v>
      </c>
      <c r="C21" s="24" t="s">
        <v>17</v>
      </c>
      <c r="F21" s="8" t="b">
        <f t="shared" si="0"/>
        <v>0</v>
      </c>
      <c r="G21" s="8" t="b">
        <f t="shared" si="1"/>
        <v>0</v>
      </c>
      <c r="H21" s="8" t="b">
        <f t="shared" si="2"/>
        <v>0</v>
      </c>
    </row>
    <row r="22" spans="1:11">
      <c r="A22" s="13" t="s">
        <v>177</v>
      </c>
      <c r="B22" s="23">
        <v>29</v>
      </c>
      <c r="C22" s="24" t="s">
        <v>15</v>
      </c>
      <c r="F22" s="8" t="b">
        <f t="shared" si="0"/>
        <v>1</v>
      </c>
      <c r="G22" s="8" t="b">
        <f t="shared" si="1"/>
        <v>1</v>
      </c>
      <c r="H22" s="8" t="b">
        <f t="shared" si="2"/>
        <v>1</v>
      </c>
    </row>
    <row r="23" spans="1:11">
      <c r="A23" s="24" t="s">
        <v>11</v>
      </c>
      <c r="B23" s="23">
        <v>19</v>
      </c>
      <c r="C23" s="24" t="s">
        <v>17</v>
      </c>
      <c r="F23" s="8" t="b">
        <f t="shared" si="0"/>
        <v>1</v>
      </c>
      <c r="G23" s="8" t="b">
        <f t="shared" si="1"/>
        <v>0</v>
      </c>
      <c r="H23" s="8" t="b">
        <f t="shared" si="2"/>
        <v>0</v>
      </c>
    </row>
    <row r="24" spans="1:11">
      <c r="A24" s="24" t="s">
        <v>16</v>
      </c>
      <c r="B24" s="24">
        <v>37</v>
      </c>
      <c r="C24" s="24" t="s">
        <v>15</v>
      </c>
      <c r="F24" s="8" t="b">
        <f t="shared" si="0"/>
        <v>1</v>
      </c>
      <c r="G24" s="8" t="b">
        <f t="shared" si="1"/>
        <v>0</v>
      </c>
      <c r="H24" s="8" t="b">
        <f t="shared" si="2"/>
        <v>0</v>
      </c>
    </row>
    <row r="25" spans="1:11">
      <c r="A25" s="24" t="s">
        <v>16</v>
      </c>
      <c r="B25" s="24">
        <v>38</v>
      </c>
      <c r="C25" s="24" t="s">
        <v>17</v>
      </c>
      <c r="F25" s="8" t="b">
        <f t="shared" si="0"/>
        <v>1</v>
      </c>
      <c r="G25" s="8" t="b">
        <f t="shared" si="1"/>
        <v>0</v>
      </c>
      <c r="H25" s="8" t="b">
        <f t="shared" si="2"/>
        <v>0</v>
      </c>
    </row>
    <row r="26" spans="1:11">
      <c r="F26" s="8"/>
    </row>
    <row r="27" spans="1:11" ht="23.25">
      <c r="K27" s="19" t="s">
        <v>143</v>
      </c>
    </row>
    <row r="28" spans="1:11" ht="18.75">
      <c r="K28" s="20" t="s">
        <v>144</v>
      </c>
    </row>
    <row r="29" spans="1:11" ht="18.75">
      <c r="K29" s="18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topLeftCell="A48" zoomScale="140" zoomScaleNormal="140" workbookViewId="0">
      <selection activeCell="B64" sqref="B64"/>
    </sheetView>
  </sheetViews>
  <sheetFormatPr defaultRowHeight="15"/>
  <cols>
    <col min="1" max="1" width="57.42578125" style="35" customWidth="1"/>
    <col min="2" max="2" width="35.5703125" style="35" customWidth="1"/>
    <col min="3" max="3" width="22.28515625" customWidth="1"/>
    <col min="4" max="4" width="40.5703125" customWidth="1"/>
  </cols>
  <sheetData>
    <row r="1" spans="1:4" ht="18.75">
      <c r="A1" s="38" t="s">
        <v>166</v>
      </c>
    </row>
    <row r="2" spans="1:4">
      <c r="A2" s="32" t="s">
        <v>50</v>
      </c>
    </row>
    <row r="3" spans="1:4">
      <c r="A3" s="23" t="str">
        <f xml:space="preserve"> PROPER(A2)</f>
        <v>Rahim Manufacturing Corporation</v>
      </c>
    </row>
    <row r="5" spans="1:4" ht="18.75">
      <c r="A5" s="38" t="s">
        <v>51</v>
      </c>
    </row>
    <row r="6" spans="1:4">
      <c r="A6" s="23" t="str">
        <f xml:space="preserve"> UPPER(A2)</f>
        <v>RAHIM MANUFACTURING CORPORATION</v>
      </c>
    </row>
    <row r="7" spans="1:4">
      <c r="A7" s="23" t="str">
        <f>LOWER(A2)</f>
        <v>rahim manufacturing corporation</v>
      </c>
    </row>
    <row r="9" spans="1:4" ht="18.75">
      <c r="A9" s="38" t="s">
        <v>172</v>
      </c>
    </row>
    <row r="10" spans="1:4">
      <c r="A10" s="32" t="s">
        <v>171</v>
      </c>
    </row>
    <row r="11" spans="1:4">
      <c r="A11" s="23" t="str">
        <f xml:space="preserve"> TRIM(A10)</f>
        <v>rahim manufacturing corporation</v>
      </c>
    </row>
    <row r="13" spans="1:4" ht="18.75">
      <c r="A13" s="38" t="s">
        <v>145</v>
      </c>
    </row>
    <row r="14" spans="1:4">
      <c r="A14" s="32" t="s">
        <v>52</v>
      </c>
      <c r="B14" s="32" t="s">
        <v>53</v>
      </c>
      <c r="C14" s="16" t="s">
        <v>54</v>
      </c>
    </row>
    <row r="15" spans="1:4">
      <c r="A15" s="24" t="str">
        <f xml:space="preserve"> CONCATENATE(A14,B14,C14)</f>
        <v>rahimmanufacturingcompany</v>
      </c>
      <c r="D15" s="26"/>
    </row>
    <row r="16" spans="1:4">
      <c r="A16" s="24" t="str">
        <f xml:space="preserve"> CONCATENATE(A14," ", B14, " ", C14)</f>
        <v>rahim manufacturing company</v>
      </c>
    </row>
    <row r="18" spans="1:4" ht="18.75">
      <c r="A18" s="38" t="s">
        <v>55</v>
      </c>
    </row>
    <row r="19" spans="1:4">
      <c r="A19" s="32" t="s">
        <v>52</v>
      </c>
      <c r="B19" s="32" t="s">
        <v>53</v>
      </c>
      <c r="C19" s="16" t="s">
        <v>54</v>
      </c>
    </row>
    <row r="20" spans="1:4">
      <c r="A20" s="23" t="str">
        <f>A19 &amp; " " &amp; B19 &amp; " " &amp; C19</f>
        <v>rahim manufacturing company</v>
      </c>
    </row>
    <row r="23" spans="1:4" ht="18.75">
      <c r="A23" s="38" t="s">
        <v>56</v>
      </c>
    </row>
    <row r="24" spans="1:4">
      <c r="A24" s="32" t="s">
        <v>220</v>
      </c>
    </row>
    <row r="25" spans="1:4">
      <c r="A25" s="36" t="s">
        <v>146</v>
      </c>
      <c r="B25" s="45" t="str">
        <f xml:space="preserve"> RIGHT(A24,5)</f>
        <v>05486</v>
      </c>
    </row>
    <row r="26" spans="1:4">
      <c r="A26" s="36" t="s">
        <v>147</v>
      </c>
      <c r="B26" s="45" t="str">
        <f xml:space="preserve"> LEFT(A24,5)</f>
        <v>Ashwa</v>
      </c>
    </row>
    <row r="27" spans="1:4">
      <c r="A27" s="36" t="s">
        <v>167</v>
      </c>
      <c r="B27" s="45" t="str">
        <f xml:space="preserve"> MID(A24, 7, 8)</f>
        <v>i, 12345</v>
      </c>
      <c r="C27" t="s">
        <v>219</v>
      </c>
    </row>
    <row r="28" spans="1:4">
      <c r="A28" s="36" t="s">
        <v>57</v>
      </c>
      <c r="B28" s="45">
        <f xml:space="preserve"> LEN(A24)</f>
        <v>33</v>
      </c>
    </row>
    <row r="29" spans="1:4">
      <c r="A29" s="36"/>
      <c r="B29" s="28"/>
    </row>
    <row r="32" spans="1:4" ht="18.75">
      <c r="A32" s="38" t="s">
        <v>58</v>
      </c>
      <c r="D32" s="2" t="s">
        <v>59</v>
      </c>
    </row>
    <row r="33" spans="1:4">
      <c r="A33" s="39" t="s">
        <v>216</v>
      </c>
    </row>
    <row r="34" spans="1:4">
      <c r="A34" s="36" t="s">
        <v>60</v>
      </c>
      <c r="B34" s="28">
        <f xml:space="preserve"> FIND("@",A33)</f>
        <v>4</v>
      </c>
      <c r="D34" s="2">
        <f>SEARCH("@",A33)</f>
        <v>4</v>
      </c>
    </row>
    <row r="35" spans="1:4">
      <c r="A35" s="36" t="s">
        <v>148</v>
      </c>
      <c r="B35" s="28">
        <f xml:space="preserve"> FIND(".",A33)</f>
        <v>16</v>
      </c>
      <c r="D35" s="2"/>
    </row>
    <row r="36" spans="1:4">
      <c r="A36" s="36" t="s">
        <v>61</v>
      </c>
      <c r="B36" s="28">
        <f>FIND("com",A33)</f>
        <v>9</v>
      </c>
      <c r="C36" t="s">
        <v>149</v>
      </c>
    </row>
    <row r="37" spans="1:4">
      <c r="A37" s="36"/>
      <c r="B37" s="28"/>
    </row>
    <row r="38" spans="1:4">
      <c r="A38" s="36"/>
      <c r="B38" s="28"/>
    </row>
    <row r="39" spans="1:4">
      <c r="A39" s="36" t="s">
        <v>170</v>
      </c>
      <c r="B39" s="28"/>
    </row>
    <row r="40" spans="1:4">
      <c r="A40" s="36" t="s">
        <v>168</v>
      </c>
      <c r="B40" s="28" t="str">
        <f>LEFT(A33,FIND("@",A33)-1)</f>
        <v>ash</v>
      </c>
    </row>
    <row r="41" spans="1:4">
      <c r="A41" s="36" t="s">
        <v>169</v>
      </c>
      <c r="B41" s="28" t="str">
        <f>MID(A33, SEARCH("@", A33) + 1, LEN(A33))</f>
        <v>somecompany.com</v>
      </c>
    </row>
    <row r="42" spans="1:4">
      <c r="A42" s="36"/>
      <c r="B42" s="36"/>
    </row>
    <row r="43" spans="1:4">
      <c r="A43" s="36"/>
      <c r="B43" s="36"/>
    </row>
    <row r="44" spans="1:4">
      <c r="A44" s="36"/>
      <c r="B44" s="36"/>
    </row>
    <row r="45" spans="1:4">
      <c r="A45" s="40"/>
      <c r="B45" s="40"/>
    </row>
    <row r="46" spans="1:4" ht="18.75">
      <c r="A46" s="38" t="s">
        <v>62</v>
      </c>
      <c r="B46" s="36"/>
    </row>
    <row r="47" spans="1:4">
      <c r="A47" s="41">
        <v>45831</v>
      </c>
      <c r="B47" s="36"/>
    </row>
    <row r="48" spans="1:4">
      <c r="A48" s="36" t="s">
        <v>63</v>
      </c>
      <c r="B48" s="28" t="str">
        <f xml:space="preserve"> TEXT(A47, "mmmm d, yyyy")</f>
        <v>June 23, 2025</v>
      </c>
      <c r="C48" s="21" t="str">
        <f>TEXT(A47, "dddd dd mmmm, yyyy")</f>
        <v>Monday 23 June, 2025</v>
      </c>
      <c r="D48" s="21" t="str">
        <f>TEXT(A47,"dddd")</f>
        <v>Monday</v>
      </c>
    </row>
    <row r="49" spans="1:4">
      <c r="A49" s="36"/>
      <c r="B49" s="40"/>
    </row>
    <row r="50" spans="1:4">
      <c r="A50" s="42" t="s">
        <v>64</v>
      </c>
      <c r="B50" s="42" t="s">
        <v>65</v>
      </c>
    </row>
    <row r="51" spans="1:4">
      <c r="A51" s="32">
        <v>5.7</v>
      </c>
      <c r="B51" s="28" t="str">
        <f>TEXT(A51, "0.00")</f>
        <v>5.70</v>
      </c>
    </row>
    <row r="52" spans="1:4">
      <c r="B52" s="28" t="str">
        <f>TEXT(A51,"#%")</f>
        <v>570%</v>
      </c>
    </row>
    <row r="53" spans="1:4">
      <c r="B53" s="28" t="str">
        <f>TEXT(A51, "0.00%")</f>
        <v>570.00%</v>
      </c>
    </row>
    <row r="54" spans="1:4">
      <c r="B54" s="28" t="str">
        <f>TEXT(A51, "$#,##0.00")</f>
        <v>$5.70</v>
      </c>
    </row>
    <row r="55" spans="1:4">
      <c r="B55" s="28" t="str">
        <f>TEXT(A51,"0.00E+00")</f>
        <v>5.70E+00</v>
      </c>
    </row>
    <row r="58" spans="1:4" ht="18.75">
      <c r="A58" s="38" t="s">
        <v>66</v>
      </c>
    </row>
    <row r="59" spans="1:4">
      <c r="A59" s="35" t="s">
        <v>150</v>
      </c>
      <c r="B59" s="43" t="s">
        <v>122</v>
      </c>
      <c r="D59" s="21" t="str">
        <f xml:space="preserve"> SUBSTITUTE(B59,"Ln","Lane")</f>
        <v>123, Pike Lane, Chicago, US 12345-3432</v>
      </c>
    </row>
    <row r="60" spans="1:4">
      <c r="A60" s="35" t="s">
        <v>151</v>
      </c>
      <c r="B60" s="43" t="s">
        <v>122</v>
      </c>
      <c r="D60" s="21" t="str">
        <f>SUBSTITUTE(SUBSTITUTE(SUBSTITUTE(B60, "Ln", "Lane"), "US", "USA"), "-", " ")</f>
        <v>123, Pike Lane, Chicago, USA 12345 3432</v>
      </c>
    </row>
    <row r="61" spans="1:4">
      <c r="A61" s="36"/>
    </row>
    <row r="62" spans="1:4">
      <c r="B62" s="36"/>
    </row>
    <row r="63" spans="1:4" ht="18.75">
      <c r="A63" s="38" t="s">
        <v>153</v>
      </c>
    </row>
    <row r="64" spans="1:4">
      <c r="A64" s="43" t="s">
        <v>154</v>
      </c>
      <c r="B64" s="23" t="b">
        <f xml:space="preserve"> ISNUMBER(A64)</f>
        <v>0</v>
      </c>
    </row>
    <row r="66" spans="1:1">
      <c r="A66" s="44"/>
    </row>
  </sheetData>
  <hyperlinks>
    <hyperlink ref="A33" r:id="rId1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"/>
  <sheetViews>
    <sheetView topLeftCell="F1" zoomScale="130" zoomScaleNormal="130" workbookViewId="0">
      <selection activeCell="V2" sqref="V2"/>
    </sheetView>
  </sheetViews>
  <sheetFormatPr defaultRowHeight="15"/>
  <cols>
    <col min="2" max="2" width="9.7109375" customWidth="1"/>
    <col min="3" max="3" width="6.42578125" customWidth="1"/>
    <col min="4" max="4" width="28.140625" customWidth="1"/>
    <col min="5" max="5" width="36.42578125" customWidth="1"/>
    <col min="6" max="6" width="15.42578125" customWidth="1"/>
    <col min="7" max="7" width="14.140625" customWidth="1"/>
    <col min="8" max="8" width="8.140625" customWidth="1"/>
    <col min="11" max="14" width="17.5703125" hidden="1" customWidth="1"/>
    <col min="15" max="15" width="17.5703125" customWidth="1"/>
    <col min="16" max="16" width="20" customWidth="1"/>
    <col min="17" max="17" width="13.140625" customWidth="1"/>
    <col min="18" max="18" width="23.42578125" customWidth="1"/>
    <col min="19" max="19" width="17.42578125" customWidth="1"/>
    <col min="20" max="20" width="8.85546875" customWidth="1"/>
    <col min="22" max="22" width="37.28515625" customWidth="1"/>
  </cols>
  <sheetData>
    <row r="1" spans="1:22">
      <c r="A1" s="28" t="s">
        <v>67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  <c r="G1" s="28" t="s">
        <v>73</v>
      </c>
      <c r="H1" s="28" t="s">
        <v>74</v>
      </c>
      <c r="I1" s="28" t="s">
        <v>129</v>
      </c>
      <c r="K1" s="14" t="s">
        <v>75</v>
      </c>
      <c r="L1" s="14" t="s">
        <v>76</v>
      </c>
      <c r="M1" s="14" t="s">
        <v>77</v>
      </c>
      <c r="N1" s="14" t="s">
        <v>78</v>
      </c>
      <c r="O1" s="8"/>
      <c r="P1" s="31" t="s">
        <v>79</v>
      </c>
      <c r="Q1" s="31" t="s">
        <v>80</v>
      </c>
      <c r="R1" s="31" t="s">
        <v>152</v>
      </c>
      <c r="S1" s="31" t="s">
        <v>128</v>
      </c>
      <c r="T1" s="31" t="s">
        <v>130</v>
      </c>
      <c r="V1" s="31" t="s">
        <v>123</v>
      </c>
    </row>
    <row r="2" spans="1:22">
      <c r="A2" s="23" t="s">
        <v>84</v>
      </c>
      <c r="B2" s="23" t="s">
        <v>85</v>
      </c>
      <c r="C2" s="23">
        <v>32</v>
      </c>
      <c r="D2" s="29" t="s">
        <v>86</v>
      </c>
      <c r="E2" s="23" t="s">
        <v>87</v>
      </c>
      <c r="F2" s="23" t="s">
        <v>88</v>
      </c>
      <c r="G2" s="30">
        <v>36540</v>
      </c>
      <c r="H2" s="23">
        <v>30000</v>
      </c>
      <c r="I2" s="23">
        <v>0.1</v>
      </c>
      <c r="K2" s="16" t="str">
        <f xml:space="preserve"> A2 &amp; " " &amp; B2</f>
        <v>john smith</v>
      </c>
      <c r="L2" s="16" t="str">
        <f xml:space="preserve"> PROPER(K2)</f>
        <v>John Smith</v>
      </c>
      <c r="M2" s="16" t="str">
        <f xml:space="preserve"> UPPER(K2)</f>
        <v>JOHN SMITH</v>
      </c>
      <c r="N2" s="16" t="str">
        <f xml:space="preserve"> TRIM(M2)</f>
        <v>JOHN SMITH</v>
      </c>
      <c r="P2" s="32" t="str">
        <f xml:space="preserve"> LEFT(D2,FIND("@",D2)-1)</f>
        <v>alice.smith</v>
      </c>
      <c r="Q2" s="32" t="str">
        <f>MID(D2, SEARCH("@", D2) + 1, LEN(D2))</f>
        <v>example.com</v>
      </c>
      <c r="R2" s="32" t="str">
        <f>TEXT(G2, "mmmm d, yyyy")</f>
        <v>January 15, 2000</v>
      </c>
      <c r="S2" s="32" t="b">
        <f xml:space="preserve"> ISNUMBER(SEARCH("Australia",E2))</f>
        <v>0</v>
      </c>
      <c r="T2" s="32" t="str">
        <f>TEXT(I2, "0.00%")</f>
        <v>10.00%</v>
      </c>
      <c r="V2" s="32" t="str">
        <f>SUBSTITUTE(SUBSTITUTE(SUBSTITUTE(E2, "Ln", "Lane"), "Ave", "Avenue"), "St", "Street")</f>
        <v>123 Main Street, Anytown, USA</v>
      </c>
    </row>
    <row r="3" spans="1:22">
      <c r="A3" s="23" t="s">
        <v>89</v>
      </c>
      <c r="B3" s="23" t="s">
        <v>90</v>
      </c>
      <c r="C3" s="23">
        <v>45</v>
      </c>
      <c r="D3" s="29" t="s">
        <v>91</v>
      </c>
      <c r="E3" s="23" t="s">
        <v>92</v>
      </c>
      <c r="F3" s="23" t="s">
        <v>93</v>
      </c>
      <c r="G3" s="30">
        <v>26748</v>
      </c>
      <c r="H3" s="23">
        <v>40000</v>
      </c>
      <c r="I3" s="23">
        <v>0.1</v>
      </c>
      <c r="K3" s="16" t="str">
        <f t="shared" ref="K3:K17" si="0" xml:space="preserve"> A3 &amp; " " &amp; B3</f>
        <v xml:space="preserve">     bob Johnson</v>
      </c>
      <c r="L3" s="16" t="str">
        <f t="shared" ref="L3:L5" si="1" xml:space="preserve"> PROPER(K3)</f>
        <v xml:space="preserve">     Bob Johnson</v>
      </c>
      <c r="M3" s="16" t="str">
        <f t="shared" ref="M3:M5" si="2" xml:space="preserve"> UPPER(K3)</f>
        <v xml:space="preserve">     BOB JOHNSON</v>
      </c>
      <c r="N3" s="16" t="str">
        <f t="shared" ref="N3:N17" si="3">TRIM(M3)</f>
        <v>BOB JOHNSON</v>
      </c>
      <c r="P3" s="32" t="str">
        <f t="shared" ref="P3:P17" si="4" xml:space="preserve"> LEFT(D3,FIND("@",D3)-1)</f>
        <v>bjohn322</v>
      </c>
      <c r="Q3" s="32" t="str">
        <f t="shared" ref="Q3:Q17" si="5">MID(D3, SEARCH("@", D3) + 1, LEN(D3))</f>
        <v>google.com</v>
      </c>
      <c r="R3" s="32" t="str">
        <f t="shared" ref="R3:R6" si="6">TEXT(G3, "mmmm d, yyyy")</f>
        <v>March 25, 1973</v>
      </c>
      <c r="S3" s="32" t="b">
        <f t="shared" ref="S3:S17" si="7" xml:space="preserve"> ISNUMBER(SEARCH("Australia",E3))</f>
        <v>0</v>
      </c>
      <c r="T3" s="32" t="str">
        <f t="shared" ref="T3:T6" si="8">TEXT(I3, "0.00%")</f>
        <v>10.00%</v>
      </c>
      <c r="V3" s="32" t="str">
        <f t="shared" ref="V3:V17" si="9">SUBSTITUTE(SUBSTITUTE(SUBSTITUTE(E3, "Ln", "Lane"), "Ave", "Avenue"), "St", "Street")</f>
        <v>456 Oak Avenue, Othertown, USA</v>
      </c>
    </row>
    <row r="4" spans="1:22">
      <c r="A4" s="23" t="s">
        <v>94</v>
      </c>
      <c r="B4" s="23" t="s">
        <v>95</v>
      </c>
      <c r="C4" s="23">
        <v>28</v>
      </c>
      <c r="D4" s="23" t="s">
        <v>96</v>
      </c>
      <c r="E4" s="23" t="s">
        <v>97</v>
      </c>
      <c r="F4" s="23" t="s">
        <v>98</v>
      </c>
      <c r="G4" s="30">
        <v>30748</v>
      </c>
      <c r="H4" s="23">
        <v>26000</v>
      </c>
      <c r="I4" s="23">
        <v>0.15</v>
      </c>
      <c r="K4" s="16" t="str">
        <f t="shared" si="0"/>
        <v>sameer  khanna</v>
      </c>
      <c r="L4" s="16" t="str">
        <f t="shared" si="1"/>
        <v>Sameer  Khanna</v>
      </c>
      <c r="M4" s="16" t="str">
        <f t="shared" si="2"/>
        <v>SAMEER  KHANNA</v>
      </c>
      <c r="N4" s="16" t="str">
        <f t="shared" si="3"/>
        <v>SAMEER KHANNA</v>
      </c>
      <c r="P4" s="32" t="str">
        <f t="shared" si="4"/>
        <v>charlie.brown</v>
      </c>
      <c r="Q4" s="32" t="str">
        <f t="shared" si="5"/>
        <v>example.org</v>
      </c>
      <c r="R4" s="32" t="str">
        <f t="shared" si="6"/>
        <v>March 7, 1984</v>
      </c>
      <c r="S4" s="32" t="b">
        <f t="shared" si="7"/>
        <v>0</v>
      </c>
      <c r="T4" s="32" t="str">
        <f t="shared" si="8"/>
        <v>15.00%</v>
      </c>
      <c r="V4" s="32" t="str">
        <f t="shared" si="9"/>
        <v>789 Pine Lane, Sometown, USA</v>
      </c>
    </row>
    <row r="5" spans="1:22">
      <c r="A5" s="23" t="s">
        <v>99</v>
      </c>
      <c r="B5" s="23" t="s">
        <v>100</v>
      </c>
      <c r="C5" s="23">
        <v>51</v>
      </c>
      <c r="D5" s="29" t="s">
        <v>101</v>
      </c>
      <c r="E5" s="23" t="s">
        <v>121</v>
      </c>
      <c r="F5" s="23" t="s">
        <v>102</v>
      </c>
      <c r="G5" s="30">
        <v>36349</v>
      </c>
      <c r="H5" s="23">
        <v>55000</v>
      </c>
      <c r="I5" s="23">
        <v>0.3</v>
      </c>
      <c r="K5" s="16" t="str">
        <f t="shared" si="0"/>
        <v xml:space="preserve">  david    Lee</v>
      </c>
      <c r="L5" s="16" t="str">
        <f t="shared" si="1"/>
        <v xml:space="preserve">  David    Lee</v>
      </c>
      <c r="M5" s="16" t="str">
        <f t="shared" si="2"/>
        <v xml:space="preserve">  DAVID    LEE</v>
      </c>
      <c r="N5" s="16" t="str">
        <f t="shared" si="3"/>
        <v>DAVID LEE</v>
      </c>
      <c r="P5" s="32" t="str">
        <f t="shared" si="4"/>
        <v>s.khanna543</v>
      </c>
      <c r="Q5" s="32" t="str">
        <f t="shared" si="5"/>
        <v>example.com</v>
      </c>
      <c r="R5" s="32" t="str">
        <f t="shared" si="6"/>
        <v>July 8, 1999</v>
      </c>
      <c r="S5" s="32" t="b">
        <f t="shared" si="7"/>
        <v>0</v>
      </c>
      <c r="T5" s="32" t="str">
        <f t="shared" si="8"/>
        <v>30.00%</v>
      </c>
      <c r="V5" s="32" t="str">
        <f t="shared" si="9"/>
        <v>101 Maple Lane, Anothertown, USA</v>
      </c>
    </row>
    <row r="6" spans="1:22">
      <c r="A6" s="23" t="s">
        <v>103</v>
      </c>
      <c r="B6" s="23" t="s">
        <v>104</v>
      </c>
      <c r="C6" s="23">
        <v>39</v>
      </c>
      <c r="D6" s="23" t="s">
        <v>105</v>
      </c>
      <c r="E6" s="23" t="s">
        <v>127</v>
      </c>
      <c r="F6" s="23" t="s">
        <v>107</v>
      </c>
      <c r="G6" s="30">
        <v>40950</v>
      </c>
      <c r="H6" s="23">
        <v>40000</v>
      </c>
      <c r="I6" s="23">
        <v>0.2</v>
      </c>
      <c r="K6" s="16" t="str">
        <f t="shared" si="0"/>
        <v>emily davis</v>
      </c>
      <c r="L6" s="16" t="str">
        <f xml:space="preserve"> PROPER(K6)</f>
        <v>Emily Davis</v>
      </c>
      <c r="M6" s="16" t="str">
        <f xml:space="preserve"> UPPER(K6)</f>
        <v>EMILY DAVIS</v>
      </c>
      <c r="N6" s="16" t="str">
        <f t="shared" si="3"/>
        <v>EMILY DAVIS</v>
      </c>
      <c r="P6" s="32" t="str">
        <f t="shared" si="4"/>
        <v>emily.davis</v>
      </c>
      <c r="Q6" s="32" t="str">
        <f t="shared" si="5"/>
        <v>example.net</v>
      </c>
      <c r="R6" s="32" t="str">
        <f t="shared" si="6"/>
        <v>February 11, 2012</v>
      </c>
      <c r="S6" s="32" t="b">
        <f t="shared" si="7"/>
        <v>1</v>
      </c>
      <c r="T6" s="32" t="str">
        <f t="shared" si="8"/>
        <v>20.00%</v>
      </c>
      <c r="V6" s="32" t="str">
        <f t="shared" si="9"/>
        <v>222 Birch Rd, Yetanothertown, Australia</v>
      </c>
    </row>
    <row r="7" spans="1:22">
      <c r="A7" s="23" t="s">
        <v>182</v>
      </c>
      <c r="B7" s="23" t="s">
        <v>183</v>
      </c>
      <c r="C7" s="23">
        <v>27</v>
      </c>
      <c r="D7" s="23" t="s">
        <v>184</v>
      </c>
      <c r="E7" s="23" t="s">
        <v>87</v>
      </c>
      <c r="F7" s="23" t="s">
        <v>88</v>
      </c>
      <c r="G7" s="30">
        <v>42430</v>
      </c>
      <c r="H7" s="23">
        <v>64955</v>
      </c>
      <c r="I7" s="23">
        <v>0.2</v>
      </c>
      <c r="K7" s="16" t="str">
        <f t="shared" si="0"/>
        <v>James Smith</v>
      </c>
      <c r="L7" s="16" t="str">
        <f t="shared" ref="L7:L17" si="10" xml:space="preserve"> PROPER(K7)</f>
        <v>James Smith</v>
      </c>
      <c r="M7" s="16" t="str">
        <f t="shared" ref="M7:M17" si="11" xml:space="preserve"> UPPER(K7)</f>
        <v>JAMES SMITH</v>
      </c>
      <c r="N7" s="16" t="str">
        <f t="shared" si="3"/>
        <v>JAMES SMITH</v>
      </c>
      <c r="P7" s="32" t="str">
        <f t="shared" si="4"/>
        <v>JamesSmith</v>
      </c>
      <c r="Q7" s="32" t="str">
        <f t="shared" si="5"/>
        <v>gmail.com</v>
      </c>
      <c r="R7" s="32" t="str">
        <f t="shared" ref="R7:R17" si="12">TEXT(G7, "mmmm d, yyyy")</f>
        <v>March 1, 2016</v>
      </c>
      <c r="S7" s="32" t="b">
        <f t="shared" si="7"/>
        <v>0</v>
      </c>
      <c r="T7" s="32" t="str">
        <f t="shared" ref="T7:T17" si="13">TEXT(I7, "0.00%")</f>
        <v>20.00%</v>
      </c>
      <c r="V7" s="32" t="str">
        <f t="shared" si="9"/>
        <v>123 Main Street, Anytown, USA</v>
      </c>
    </row>
    <row r="8" spans="1:22">
      <c r="A8" s="23" t="s">
        <v>209</v>
      </c>
      <c r="B8" s="23" t="s">
        <v>185</v>
      </c>
      <c r="C8" s="23">
        <v>21</v>
      </c>
      <c r="D8" s="29" t="s">
        <v>208</v>
      </c>
      <c r="E8" s="23" t="s">
        <v>92</v>
      </c>
      <c r="F8" s="23" t="s">
        <v>93</v>
      </c>
      <c r="G8" s="30">
        <v>41171</v>
      </c>
      <c r="H8" s="23">
        <v>64991</v>
      </c>
      <c r="I8" s="23">
        <v>0.2</v>
      </c>
      <c r="K8" s="16" t="str">
        <f t="shared" si="0"/>
        <v xml:space="preserve">    Christopher Anderson</v>
      </c>
      <c r="L8" s="16" t="str">
        <f t="shared" si="10"/>
        <v xml:space="preserve">    Christopher Anderson</v>
      </c>
      <c r="M8" s="16" t="str">
        <f t="shared" si="11"/>
        <v xml:space="preserve">    CHRISTOPHER ANDERSON</v>
      </c>
      <c r="N8" s="16" t="str">
        <f t="shared" si="3"/>
        <v>CHRISTOPHER ANDERSON</v>
      </c>
      <c r="P8" s="32" t="str">
        <f t="shared" si="4"/>
        <v>Christopher.Anderson</v>
      </c>
      <c r="Q8" s="32" t="str">
        <f t="shared" si="5"/>
        <v>gmail.com</v>
      </c>
      <c r="R8" s="32" t="str">
        <f t="shared" si="12"/>
        <v>September 19, 2012</v>
      </c>
      <c r="S8" s="32" t="b">
        <f t="shared" si="7"/>
        <v>0</v>
      </c>
      <c r="T8" s="32" t="str">
        <f t="shared" si="13"/>
        <v>20.00%</v>
      </c>
      <c r="V8" s="32" t="str">
        <f t="shared" si="9"/>
        <v>456 Oak Avenue, Othertown, USA</v>
      </c>
    </row>
    <row r="9" spans="1:22">
      <c r="A9" s="23" t="s">
        <v>186</v>
      </c>
      <c r="B9" s="23" t="s">
        <v>187</v>
      </c>
      <c r="C9" s="23">
        <v>35</v>
      </c>
      <c r="D9" s="23" t="s">
        <v>188</v>
      </c>
      <c r="E9" s="23" t="s">
        <v>97</v>
      </c>
      <c r="F9" s="23" t="s">
        <v>98</v>
      </c>
      <c r="G9" s="30">
        <v>42537</v>
      </c>
      <c r="H9" s="23">
        <v>50825</v>
      </c>
      <c r="I9" s="23">
        <v>0.2</v>
      </c>
      <c r="K9" s="16" t="str">
        <f t="shared" si="0"/>
        <v>Ronald Clark</v>
      </c>
      <c r="L9" s="16" t="str">
        <f t="shared" si="10"/>
        <v>Ronald Clark</v>
      </c>
      <c r="M9" s="16" t="str">
        <f t="shared" si="11"/>
        <v>RONALD CLARK</v>
      </c>
      <c r="N9" s="16" t="str">
        <f t="shared" si="3"/>
        <v>RONALD CLARK</v>
      </c>
      <c r="P9" s="32" t="str">
        <f t="shared" si="4"/>
        <v>RonaldClark</v>
      </c>
      <c r="Q9" s="32" t="str">
        <f t="shared" si="5"/>
        <v>gmail.com</v>
      </c>
      <c r="R9" s="32" t="str">
        <f t="shared" si="12"/>
        <v>June 16, 2016</v>
      </c>
      <c r="S9" s="32" t="b">
        <f t="shared" si="7"/>
        <v>0</v>
      </c>
      <c r="T9" s="32" t="str">
        <f t="shared" si="13"/>
        <v>20.00%</v>
      </c>
      <c r="V9" s="32" t="str">
        <f t="shared" si="9"/>
        <v>789 Pine Lane, Sometown, USA</v>
      </c>
    </row>
    <row r="10" spans="1:22">
      <c r="A10" s="23" t="s">
        <v>189</v>
      </c>
      <c r="B10" s="23" t="s">
        <v>190</v>
      </c>
      <c r="C10" s="23">
        <v>32</v>
      </c>
      <c r="D10" s="23" t="s">
        <v>191</v>
      </c>
      <c r="E10" s="23" t="s">
        <v>121</v>
      </c>
      <c r="F10" s="23" t="s">
        <v>102</v>
      </c>
      <c r="G10" s="30">
        <v>42543</v>
      </c>
      <c r="H10" s="23">
        <v>57568</v>
      </c>
      <c r="I10" s="23">
        <v>0.15</v>
      </c>
      <c r="K10" s="16" t="str">
        <f t="shared" si="0"/>
        <v>Mary Wright</v>
      </c>
      <c r="L10" s="16" t="str">
        <f t="shared" si="10"/>
        <v>Mary Wright</v>
      </c>
      <c r="M10" s="16" t="str">
        <f t="shared" si="11"/>
        <v>MARY WRIGHT</v>
      </c>
      <c r="N10" s="16" t="str">
        <f t="shared" si="3"/>
        <v>MARY WRIGHT</v>
      </c>
      <c r="P10" s="32" t="str">
        <f t="shared" si="4"/>
        <v>MaryWright</v>
      </c>
      <c r="Q10" s="32" t="str">
        <f t="shared" si="5"/>
        <v>gmail.com</v>
      </c>
      <c r="R10" s="32" t="str">
        <f t="shared" si="12"/>
        <v>June 22, 2016</v>
      </c>
      <c r="S10" s="32" t="b">
        <f t="shared" si="7"/>
        <v>0</v>
      </c>
      <c r="T10" s="32" t="str">
        <f t="shared" si="13"/>
        <v>15.00%</v>
      </c>
      <c r="V10" s="32" t="str">
        <f t="shared" si="9"/>
        <v>101 Maple Lane, Anothertown, USA</v>
      </c>
    </row>
    <row r="11" spans="1:22">
      <c r="A11" s="23" t="s">
        <v>210</v>
      </c>
      <c r="B11" s="23" t="s">
        <v>192</v>
      </c>
      <c r="C11" s="23">
        <v>34</v>
      </c>
      <c r="D11" s="23" t="s">
        <v>193</v>
      </c>
      <c r="E11" s="23" t="s">
        <v>127</v>
      </c>
      <c r="F11" s="23" t="s">
        <v>107</v>
      </c>
      <c r="G11" s="30">
        <v>41774</v>
      </c>
      <c r="H11" s="23">
        <v>95660</v>
      </c>
      <c r="I11" s="23">
        <v>0.1</v>
      </c>
      <c r="K11" s="16" t="str">
        <f t="shared" si="0"/>
        <v xml:space="preserve">   Lisa Mitchell</v>
      </c>
      <c r="L11" s="16" t="str">
        <f t="shared" si="10"/>
        <v xml:space="preserve">   Lisa Mitchell</v>
      </c>
      <c r="M11" s="16" t="str">
        <f t="shared" si="11"/>
        <v xml:space="preserve">   LISA MITCHELL</v>
      </c>
      <c r="N11" s="16" t="str">
        <f t="shared" si="3"/>
        <v>LISA MITCHELL</v>
      </c>
      <c r="P11" s="32" t="str">
        <f t="shared" si="4"/>
        <v>LisaMitchell</v>
      </c>
      <c r="Q11" s="32" t="str">
        <f t="shared" si="5"/>
        <v>gmail.com</v>
      </c>
      <c r="R11" s="32" t="str">
        <f t="shared" si="12"/>
        <v>May 15, 2014</v>
      </c>
      <c r="S11" s="32" t="b">
        <f t="shared" si="7"/>
        <v>1</v>
      </c>
      <c r="T11" s="32" t="str">
        <f t="shared" si="13"/>
        <v>10.00%</v>
      </c>
      <c r="V11" s="32" t="str">
        <f t="shared" si="9"/>
        <v>222 Birch Rd, Yetanothertown, Australia</v>
      </c>
    </row>
    <row r="12" spans="1:22">
      <c r="A12" s="23" t="s">
        <v>194</v>
      </c>
      <c r="B12" s="23" t="s">
        <v>90</v>
      </c>
      <c r="C12" s="23">
        <v>53</v>
      </c>
      <c r="D12" s="23" t="s">
        <v>195</v>
      </c>
      <c r="E12" s="23" t="s">
        <v>87</v>
      </c>
      <c r="F12" s="23" t="s">
        <v>88</v>
      </c>
      <c r="G12" s="30">
        <v>41425</v>
      </c>
      <c r="H12" s="23">
        <v>59365</v>
      </c>
      <c r="I12" s="23">
        <v>0.2</v>
      </c>
      <c r="K12" s="16" t="str">
        <f t="shared" si="0"/>
        <v>Michelle Johnson</v>
      </c>
      <c r="L12" s="16" t="str">
        <f t="shared" si="10"/>
        <v>Michelle Johnson</v>
      </c>
      <c r="M12" s="16" t="str">
        <f t="shared" si="11"/>
        <v>MICHELLE JOHNSON</v>
      </c>
      <c r="N12" s="16" t="str">
        <f t="shared" si="3"/>
        <v>MICHELLE JOHNSON</v>
      </c>
      <c r="P12" s="32" t="str">
        <f t="shared" si="4"/>
        <v>MichelleJohnson</v>
      </c>
      <c r="Q12" s="32" t="str">
        <f t="shared" si="5"/>
        <v>gmail.com</v>
      </c>
      <c r="R12" s="32" t="str">
        <f t="shared" si="12"/>
        <v>May 31, 2013</v>
      </c>
      <c r="S12" s="32" t="b">
        <f t="shared" si="7"/>
        <v>0</v>
      </c>
      <c r="T12" s="32" t="str">
        <f t="shared" si="13"/>
        <v>20.00%</v>
      </c>
      <c r="V12" s="32" t="str">
        <f t="shared" si="9"/>
        <v>123 Main Street, Anytown, USA</v>
      </c>
    </row>
    <row r="13" spans="1:22">
      <c r="A13" s="23" t="s">
        <v>211</v>
      </c>
      <c r="B13" s="23" t="s">
        <v>196</v>
      </c>
      <c r="C13" s="23">
        <v>34</v>
      </c>
      <c r="D13" s="23" t="s">
        <v>197</v>
      </c>
      <c r="E13" s="23" t="s">
        <v>92</v>
      </c>
      <c r="F13" s="23" t="s">
        <v>93</v>
      </c>
      <c r="G13" s="30">
        <v>41765</v>
      </c>
      <c r="H13" s="23">
        <v>47837</v>
      </c>
      <c r="I13" s="23">
        <v>0.2</v>
      </c>
      <c r="K13" s="16" t="str">
        <f t="shared" si="0"/>
        <v xml:space="preserve">   John Thomas</v>
      </c>
      <c r="L13" s="16" t="str">
        <f t="shared" si="10"/>
        <v xml:space="preserve">   John Thomas</v>
      </c>
      <c r="M13" s="16" t="str">
        <f t="shared" si="11"/>
        <v xml:space="preserve">   JOHN THOMAS</v>
      </c>
      <c r="N13" s="16" t="str">
        <f t="shared" si="3"/>
        <v>JOHN THOMAS</v>
      </c>
      <c r="P13" s="32" t="str">
        <f t="shared" si="4"/>
        <v>JohnThomas</v>
      </c>
      <c r="Q13" s="32" t="str">
        <f t="shared" si="5"/>
        <v>gmail.com</v>
      </c>
      <c r="R13" s="32" t="str">
        <f t="shared" si="12"/>
        <v>May 6, 2014</v>
      </c>
      <c r="S13" s="32" t="b">
        <f t="shared" si="7"/>
        <v>0</v>
      </c>
      <c r="T13" s="32" t="str">
        <f t="shared" si="13"/>
        <v>20.00%</v>
      </c>
      <c r="V13" s="32" t="str">
        <f t="shared" si="9"/>
        <v>456 Oak Avenue, Othertown, USA</v>
      </c>
    </row>
    <row r="14" spans="1:22">
      <c r="A14" s="23" t="s">
        <v>198</v>
      </c>
      <c r="B14" s="23" t="s">
        <v>179</v>
      </c>
      <c r="C14" s="23">
        <v>50</v>
      </c>
      <c r="D14" s="23" t="s">
        <v>199</v>
      </c>
      <c r="E14" s="23" t="s">
        <v>97</v>
      </c>
      <c r="F14" s="23" t="s">
        <v>98</v>
      </c>
      <c r="G14" s="30">
        <v>41627</v>
      </c>
      <c r="H14" s="23">
        <v>50178</v>
      </c>
      <c r="I14" s="23">
        <v>0.1</v>
      </c>
      <c r="K14" s="16" t="str">
        <f t="shared" si="0"/>
        <v>Daniel Rodriguez</v>
      </c>
      <c r="L14" s="16" t="str">
        <f t="shared" si="10"/>
        <v>Daniel Rodriguez</v>
      </c>
      <c r="M14" s="16" t="str">
        <f t="shared" si="11"/>
        <v>DANIEL RODRIGUEZ</v>
      </c>
      <c r="N14" s="16" t="str">
        <f t="shared" si="3"/>
        <v>DANIEL RODRIGUEZ</v>
      </c>
      <c r="P14" s="32" t="str">
        <f t="shared" si="4"/>
        <v>DanielRodriguez</v>
      </c>
      <c r="Q14" s="32" t="str">
        <f t="shared" si="5"/>
        <v>gmail.com</v>
      </c>
      <c r="R14" s="32" t="str">
        <f t="shared" si="12"/>
        <v>December 19, 2013</v>
      </c>
      <c r="S14" s="32" t="b">
        <f t="shared" si="7"/>
        <v>0</v>
      </c>
      <c r="T14" s="32" t="str">
        <f t="shared" si="13"/>
        <v>10.00%</v>
      </c>
      <c r="V14" s="32" t="str">
        <f t="shared" si="9"/>
        <v>789 Pine Lane, Sometown, USA</v>
      </c>
    </row>
    <row r="15" spans="1:22">
      <c r="A15" s="23" t="s">
        <v>200</v>
      </c>
      <c r="B15" s="23" t="s">
        <v>201</v>
      </c>
      <c r="C15" s="23">
        <v>33</v>
      </c>
      <c r="D15" s="23" t="s">
        <v>202</v>
      </c>
      <c r="E15" s="23" t="s">
        <v>121</v>
      </c>
      <c r="F15" s="23" t="s">
        <v>102</v>
      </c>
      <c r="G15" s="30">
        <v>41433</v>
      </c>
      <c r="H15" s="23">
        <v>54670</v>
      </c>
      <c r="I15" s="23">
        <v>0.2</v>
      </c>
      <c r="K15" s="16" t="str">
        <f t="shared" si="0"/>
        <v>Anthony Lopez</v>
      </c>
      <c r="L15" s="16" t="str">
        <f t="shared" si="10"/>
        <v>Anthony Lopez</v>
      </c>
      <c r="M15" s="16" t="str">
        <f t="shared" si="11"/>
        <v>ANTHONY LOPEZ</v>
      </c>
      <c r="N15" s="16" t="str">
        <f t="shared" si="3"/>
        <v>ANTHONY LOPEZ</v>
      </c>
      <c r="P15" s="32" t="str">
        <f t="shared" si="4"/>
        <v>AnthonyLopez</v>
      </c>
      <c r="Q15" s="32" t="str">
        <f t="shared" si="5"/>
        <v>gmail.com</v>
      </c>
      <c r="R15" s="32" t="str">
        <f t="shared" si="12"/>
        <v>June 8, 2013</v>
      </c>
      <c r="S15" s="32" t="b">
        <f t="shared" si="7"/>
        <v>0</v>
      </c>
      <c r="T15" s="32" t="str">
        <f t="shared" si="13"/>
        <v>20.00%</v>
      </c>
      <c r="V15" s="32" t="str">
        <f t="shared" si="9"/>
        <v>101 Maple Lane, Anothertown, USA</v>
      </c>
    </row>
    <row r="16" spans="1:22">
      <c r="A16" s="23" t="s">
        <v>212</v>
      </c>
      <c r="B16" s="23" t="s">
        <v>203</v>
      </c>
      <c r="C16" s="23">
        <v>31</v>
      </c>
      <c r="D16" s="23" t="s">
        <v>204</v>
      </c>
      <c r="E16" s="23" t="s">
        <v>127</v>
      </c>
      <c r="F16" s="23" t="s">
        <v>107</v>
      </c>
      <c r="G16" s="30">
        <v>41840</v>
      </c>
      <c r="H16" s="23">
        <v>47211</v>
      </c>
      <c r="I16" s="23">
        <v>0.2</v>
      </c>
      <c r="K16" s="16" t="str">
        <f t="shared" si="0"/>
        <v xml:space="preserve">   Patricia Perez</v>
      </c>
      <c r="L16" s="16" t="str">
        <f t="shared" si="10"/>
        <v xml:space="preserve">   Patricia Perez</v>
      </c>
      <c r="M16" s="16" t="str">
        <f t="shared" si="11"/>
        <v xml:space="preserve">   PATRICIA PEREZ</v>
      </c>
      <c r="N16" s="16" t="str">
        <f t="shared" si="3"/>
        <v>PATRICIA PEREZ</v>
      </c>
      <c r="P16" s="32" t="str">
        <f t="shared" si="4"/>
        <v>PatriciaPerez</v>
      </c>
      <c r="Q16" s="32" t="str">
        <f t="shared" si="5"/>
        <v>gmail.com</v>
      </c>
      <c r="R16" s="32" t="str">
        <f t="shared" si="12"/>
        <v>July 20, 2014</v>
      </c>
      <c r="S16" s="32" t="b">
        <f t="shared" si="7"/>
        <v>1</v>
      </c>
      <c r="T16" s="32" t="str">
        <f t="shared" si="13"/>
        <v>20.00%</v>
      </c>
      <c r="V16" s="32" t="str">
        <f t="shared" si="9"/>
        <v>222 Birch Rd, Yetanothertown, Australia</v>
      </c>
    </row>
    <row r="17" spans="1:22">
      <c r="A17" s="23" t="s">
        <v>205</v>
      </c>
      <c r="B17" s="23" t="s">
        <v>206</v>
      </c>
      <c r="C17" s="23">
        <v>48</v>
      </c>
      <c r="D17" s="29" t="s">
        <v>207</v>
      </c>
      <c r="E17" s="23" t="s">
        <v>87</v>
      </c>
      <c r="F17" s="23" t="s">
        <v>88</v>
      </c>
      <c r="G17" s="30">
        <v>41513</v>
      </c>
      <c r="H17" s="23">
        <v>92328</v>
      </c>
      <c r="I17" s="23">
        <v>0.2</v>
      </c>
      <c r="K17" s="16" t="str">
        <f t="shared" si="0"/>
        <v>Nancy Williams</v>
      </c>
      <c r="L17" s="16" t="str">
        <f t="shared" si="10"/>
        <v>Nancy Williams</v>
      </c>
      <c r="M17" s="16" t="str">
        <f t="shared" si="11"/>
        <v>NANCY WILLIAMS</v>
      </c>
      <c r="N17" s="16" t="str">
        <f t="shared" si="3"/>
        <v>NANCY WILLIAMS</v>
      </c>
      <c r="P17" s="32" t="str">
        <f t="shared" si="4"/>
        <v>Nancy.Williams</v>
      </c>
      <c r="Q17" s="32" t="str">
        <f t="shared" si="5"/>
        <v>hotmail.com</v>
      </c>
      <c r="R17" s="32" t="str">
        <f t="shared" si="12"/>
        <v>August 27, 2013</v>
      </c>
      <c r="S17" s="32" t="b">
        <f t="shared" si="7"/>
        <v>0</v>
      </c>
      <c r="T17" s="32" t="str">
        <f t="shared" si="13"/>
        <v>20.00%</v>
      </c>
      <c r="V17" s="32" t="str">
        <f t="shared" si="9"/>
        <v>123 Main Street, Anytown, USA</v>
      </c>
    </row>
  </sheetData>
  <hyperlinks>
    <hyperlink ref="D3" r:id="rId1" xr:uid="{00000000-0004-0000-0300-000000000000}"/>
    <hyperlink ref="D5" r:id="rId2" xr:uid="{00000000-0004-0000-0300-000001000000}"/>
    <hyperlink ref="D7" r:id="rId3" display="mailto:JamesSmith@gmail.com" xr:uid="{46DEB858-3234-4BD6-A6F5-80E13BBC0362}"/>
    <hyperlink ref="D8" r:id="rId4" xr:uid="{D8DE9D0D-C2DE-4B4E-B401-21FBD8B2F843}"/>
    <hyperlink ref="D9" r:id="rId5" display="mailto:RonaldClark@gmail.com" xr:uid="{7470C991-102C-4C14-AC56-F6CE42D59DE3}"/>
    <hyperlink ref="D10" r:id="rId6" display="mailto:MaryWright@gmail.com" xr:uid="{4CFAC3AC-32A5-4052-887B-D6AFA61C3CE1}"/>
    <hyperlink ref="D11" r:id="rId7" display="mailto:LisaMitchell@gmail.com" xr:uid="{2DACA2E7-2D1C-4EA1-AFCD-60D50F5B87BC}"/>
    <hyperlink ref="D12" r:id="rId8" display="mailto:MichelleJohnson@gmail.com" xr:uid="{F3D97FF5-FF72-4F8A-86B2-5140DB419E2A}"/>
    <hyperlink ref="D13" r:id="rId9" display="mailto:JohnThomas@gmail.com" xr:uid="{AEB8C656-EB76-4EB5-8276-651C9825331C}"/>
    <hyperlink ref="D14" r:id="rId10" display="mailto:DanielRodriguez@gmail.com" xr:uid="{4FD45D1D-CCE0-4D64-A7C8-57B1197883C7}"/>
    <hyperlink ref="D15" r:id="rId11" display="mailto:AnthonyLopez@gmail.com" xr:uid="{7F4EF38C-A12B-406E-ABB4-7E212E357B4C}"/>
    <hyperlink ref="D16" r:id="rId12" display="mailto:PatriciaPerez@gmail.com" xr:uid="{A3EBAA29-2B4B-408E-BAD8-4B9646DE162C}"/>
    <hyperlink ref="D17" r:id="rId13" xr:uid="{1DA7B484-A15E-4C8B-A19B-B76BAA4FF9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selection activeCell="E7" sqref="E7"/>
    </sheetView>
  </sheetViews>
  <sheetFormatPr defaultRowHeight="15"/>
  <cols>
    <col min="1" max="1" width="11.85546875" customWidth="1"/>
    <col min="3" max="3" width="13.42578125" customWidth="1"/>
    <col min="4" max="4" width="26.5703125" customWidth="1"/>
  </cols>
  <sheetData>
    <row r="1" spans="1:4">
      <c r="A1" s="33" t="s">
        <v>18</v>
      </c>
      <c r="B1" s="33" t="s">
        <v>0</v>
      </c>
      <c r="C1" s="33" t="s">
        <v>19</v>
      </c>
      <c r="D1" s="33" t="s">
        <v>30</v>
      </c>
    </row>
    <row r="2" spans="1:4">
      <c r="A2" s="34" t="s">
        <v>23</v>
      </c>
      <c r="B2" s="34" t="s">
        <v>20</v>
      </c>
      <c r="C2" s="34">
        <v>5000</v>
      </c>
      <c r="D2" s="35">
        <v>300</v>
      </c>
    </row>
    <row r="3" spans="1:4">
      <c r="A3" s="34" t="s">
        <v>24</v>
      </c>
      <c r="B3" s="34" t="s">
        <v>21</v>
      </c>
      <c r="C3" s="34">
        <v>3000</v>
      </c>
      <c r="D3" s="35">
        <v>500</v>
      </c>
    </row>
    <row r="4" spans="1:4">
      <c r="A4" s="34" t="s">
        <v>25</v>
      </c>
      <c r="B4" s="34" t="s">
        <v>1</v>
      </c>
      <c r="C4" s="34">
        <v>7000</v>
      </c>
      <c r="D4" s="35">
        <v>100</v>
      </c>
    </row>
    <row r="5" spans="1:4">
      <c r="A5" s="34" t="s">
        <v>26</v>
      </c>
      <c r="B5" s="34" t="s">
        <v>4</v>
      </c>
      <c r="C5" s="34">
        <v>2000</v>
      </c>
      <c r="D5" s="35">
        <v>300</v>
      </c>
    </row>
    <row r="6" spans="1:4">
      <c r="A6" s="34" t="s">
        <v>27</v>
      </c>
      <c r="B6" s="34" t="s">
        <v>20</v>
      </c>
      <c r="C6" s="34">
        <v>6000</v>
      </c>
      <c r="D6" s="35">
        <v>250</v>
      </c>
    </row>
    <row r="7" spans="1:4">
      <c r="A7" s="34" t="s">
        <v>22</v>
      </c>
      <c r="B7" s="34" t="s">
        <v>21</v>
      </c>
      <c r="C7" s="34">
        <v>4000</v>
      </c>
      <c r="D7" s="35">
        <v>600</v>
      </c>
    </row>
    <row r="8" spans="1:4">
      <c r="A8" s="34" t="s">
        <v>22</v>
      </c>
      <c r="B8" s="34" t="s">
        <v>21</v>
      </c>
      <c r="C8" s="34">
        <v>2000</v>
      </c>
      <c r="D8" s="35">
        <v>200</v>
      </c>
    </row>
    <row r="9" spans="1:4">
      <c r="A9" s="34" t="s">
        <v>22</v>
      </c>
      <c r="B9" s="34" t="s">
        <v>21</v>
      </c>
      <c r="C9" s="34">
        <v>2000</v>
      </c>
      <c r="D9" s="35">
        <v>200</v>
      </c>
    </row>
    <row r="10" spans="1:4">
      <c r="A10" s="34" t="s">
        <v>173</v>
      </c>
      <c r="B10" s="34" t="s">
        <v>21</v>
      </c>
      <c r="C10" s="34">
        <v>2000</v>
      </c>
      <c r="D10" s="35">
        <v>200</v>
      </c>
    </row>
    <row r="11" spans="1:4">
      <c r="A11" s="34" t="s">
        <v>174</v>
      </c>
      <c r="B11" s="34" t="s">
        <v>21</v>
      </c>
      <c r="C11" s="34">
        <v>6000</v>
      </c>
      <c r="D11" s="35">
        <v>230</v>
      </c>
    </row>
    <row r="12" spans="1:4">
      <c r="A12" s="34" t="s">
        <v>175</v>
      </c>
      <c r="B12" s="34" t="s">
        <v>20</v>
      </c>
      <c r="C12" s="34">
        <v>3000</v>
      </c>
      <c r="D12" s="35">
        <v>500</v>
      </c>
    </row>
    <row r="13" spans="1:4">
      <c r="A13" s="34" t="s">
        <v>176</v>
      </c>
      <c r="B13" s="34" t="s">
        <v>21</v>
      </c>
      <c r="C13" s="34">
        <v>2000</v>
      </c>
      <c r="D13" s="35">
        <v>200</v>
      </c>
    </row>
    <row r="14" spans="1:4">
      <c r="A14" s="34" t="s">
        <v>22</v>
      </c>
      <c r="B14" s="34" t="s">
        <v>21</v>
      </c>
      <c r="C14" s="34">
        <v>4000</v>
      </c>
      <c r="D14" s="35">
        <v>200</v>
      </c>
    </row>
    <row r="18" spans="1:7">
      <c r="A18" s="33" t="s">
        <v>18</v>
      </c>
      <c r="B18" s="33" t="s">
        <v>0</v>
      </c>
      <c r="C18" s="33" t="s">
        <v>19</v>
      </c>
      <c r="D18" s="33" t="s">
        <v>30</v>
      </c>
    </row>
    <row r="19" spans="1:7">
      <c r="A19" s="34" t="s">
        <v>23</v>
      </c>
      <c r="B19" s="34" t="s">
        <v>20</v>
      </c>
      <c r="C19" s="34">
        <v>5000</v>
      </c>
      <c r="D19" s="35">
        <v>300</v>
      </c>
    </row>
    <row r="20" spans="1:7">
      <c r="A20" s="34" t="s">
        <v>24</v>
      </c>
      <c r="B20" s="34" t="s">
        <v>21</v>
      </c>
      <c r="C20" s="34">
        <v>3000</v>
      </c>
      <c r="D20" s="35">
        <v>500</v>
      </c>
    </row>
    <row r="21" spans="1:7">
      <c r="A21" s="34" t="s">
        <v>25</v>
      </c>
      <c r="B21" s="34" t="s">
        <v>1</v>
      </c>
      <c r="C21" s="34">
        <v>7000</v>
      </c>
      <c r="D21" s="35">
        <v>100</v>
      </c>
    </row>
    <row r="22" spans="1:7">
      <c r="A22" s="34" t="s">
        <v>26</v>
      </c>
      <c r="B22" s="34" t="s">
        <v>4</v>
      </c>
      <c r="C22" s="34">
        <v>2000</v>
      </c>
      <c r="D22" s="35">
        <v>300</v>
      </c>
    </row>
    <row r="23" spans="1:7" ht="18.75">
      <c r="A23" s="34" t="s">
        <v>27</v>
      </c>
      <c r="B23" s="34" t="s">
        <v>20</v>
      </c>
      <c r="C23" s="34">
        <v>6000</v>
      </c>
      <c r="D23" s="35">
        <v>250</v>
      </c>
      <c r="G23" s="18" t="s">
        <v>165</v>
      </c>
    </row>
    <row r="24" spans="1:7" ht="18.75">
      <c r="A24" s="34" t="s">
        <v>22</v>
      </c>
      <c r="B24" s="34" t="s">
        <v>21</v>
      </c>
      <c r="C24" s="34">
        <v>4000</v>
      </c>
      <c r="D24" s="35">
        <v>600</v>
      </c>
      <c r="G24" s="18" t="s">
        <v>214</v>
      </c>
    </row>
    <row r="25" spans="1:7">
      <c r="A25" s="34" t="s">
        <v>22</v>
      </c>
      <c r="B25" s="34" t="s">
        <v>21</v>
      </c>
      <c r="C25" s="34">
        <v>2000</v>
      </c>
      <c r="D25" s="35">
        <v>200</v>
      </c>
    </row>
    <row r="26" spans="1:7" ht="18.75">
      <c r="A26" s="34" t="s">
        <v>22</v>
      </c>
      <c r="B26" s="34" t="s">
        <v>21</v>
      </c>
      <c r="C26" s="34">
        <v>2000</v>
      </c>
      <c r="D26" s="35">
        <v>200</v>
      </c>
      <c r="G26" s="18" t="s">
        <v>215</v>
      </c>
    </row>
    <row r="27" spans="1:7">
      <c r="A27" s="34" t="s">
        <v>173</v>
      </c>
      <c r="B27" s="34" t="s">
        <v>21</v>
      </c>
      <c r="C27" s="34">
        <v>2000</v>
      </c>
      <c r="D27" s="35">
        <v>200</v>
      </c>
    </row>
    <row r="28" spans="1:7">
      <c r="A28" s="34" t="s">
        <v>174</v>
      </c>
      <c r="B28" s="34" t="s">
        <v>21</v>
      </c>
      <c r="C28" s="34">
        <v>6000</v>
      </c>
      <c r="D28" s="35">
        <v>230</v>
      </c>
    </row>
    <row r="29" spans="1:7">
      <c r="A29" s="34" t="s">
        <v>175</v>
      </c>
      <c r="B29" s="34" t="s">
        <v>20</v>
      </c>
      <c r="C29" s="34">
        <v>3000</v>
      </c>
      <c r="D29" s="35">
        <v>500</v>
      </c>
    </row>
    <row r="30" spans="1:7">
      <c r="A30" s="34" t="s">
        <v>176</v>
      </c>
      <c r="B30" s="34" t="s">
        <v>21</v>
      </c>
      <c r="C30" s="34">
        <v>2000</v>
      </c>
      <c r="D30" s="35">
        <v>200</v>
      </c>
    </row>
    <row r="31" spans="1:7">
      <c r="A31" s="34" t="s">
        <v>22</v>
      </c>
      <c r="B31" s="34" t="s">
        <v>21</v>
      </c>
      <c r="C31" s="34">
        <v>4000</v>
      </c>
      <c r="D31" s="35">
        <v>200</v>
      </c>
    </row>
  </sheetData>
  <conditionalFormatting sqref="B15:B1048576">
    <cfRule type="containsText" dxfId="20" priority="11" operator="containsText" text="North">
      <formula>NOT(ISERROR(SEARCH("North",B15)))</formula>
    </cfRule>
    <cfRule type="containsText" dxfId="19" priority="12" operator="containsText" text="North">
      <formula>NOT(ISERROR(SEARCH("North",B15)))</formula>
    </cfRule>
    <cfRule type="containsText" dxfId="18" priority="13" operator="containsText" text="Region">
      <formula>NOT(ISERROR(SEARCH("Region",B15)))</formula>
    </cfRule>
    <cfRule type="containsText" dxfId="17" priority="14" operator="containsText" text="North">
      <formula>NOT(ISERROR(SEARCH("North",B15)))</formula>
    </cfRule>
  </conditionalFormatting>
  <conditionalFormatting sqref="C15:C1048576">
    <cfRule type="cellIs" dxfId="16" priority="3" operator="greaterThan">
      <formula>4500</formula>
    </cfRule>
    <cfRule type="cellIs" dxfId="15" priority="4" operator="greaterThan">
      <formula>4500</formula>
    </cfRule>
    <cfRule type="cellIs" dxfId="14" priority="5" operator="greaterThan">
      <formula>4500</formula>
    </cfRule>
  </conditionalFormatting>
  <conditionalFormatting sqref="D15:D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{14E7583C-60A9-43C4-AA28-91F4F74B3005}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7583C-60A9-43C4-AA28-91F4F74B3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selection activeCell="A4" sqref="A4"/>
    </sheetView>
  </sheetViews>
  <sheetFormatPr defaultRowHeight="15"/>
  <cols>
    <col min="1" max="1" width="24.85546875" customWidth="1"/>
  </cols>
  <sheetData>
    <row r="1" spans="1:5">
      <c r="A1" s="21" t="s">
        <v>111</v>
      </c>
    </row>
    <row r="2" spans="1:5" ht="18.75" customHeight="1">
      <c r="A2" s="25" t="s">
        <v>108</v>
      </c>
    </row>
    <row r="3" spans="1:5" ht="21.75" customHeight="1">
      <c r="A3" s="25" t="s">
        <v>109</v>
      </c>
      <c r="E3" s="9" t="s">
        <v>158</v>
      </c>
    </row>
    <row r="4" spans="1:5" ht="21" customHeight="1">
      <c r="A4" s="25" t="s">
        <v>115</v>
      </c>
    </row>
    <row r="5" spans="1:5" ht="19.5" customHeight="1">
      <c r="A5" s="25" t="s">
        <v>110</v>
      </c>
    </row>
    <row r="9" spans="1:5" ht="23.25">
      <c r="E9" s="10" t="s">
        <v>155</v>
      </c>
    </row>
    <row r="11" spans="1:5">
      <c r="E11" t="s">
        <v>156</v>
      </c>
    </row>
    <row r="12" spans="1:5">
      <c r="E12" t="s">
        <v>157</v>
      </c>
    </row>
    <row r="15" spans="1:5">
      <c r="E15" t="s">
        <v>159</v>
      </c>
    </row>
    <row r="16" spans="1:5">
      <c r="E16" s="11"/>
    </row>
    <row r="17" spans="5:5">
      <c r="E17" s="12" t="s">
        <v>112</v>
      </c>
    </row>
    <row r="18" spans="5:5">
      <c r="E18" s="12" t="s">
        <v>113</v>
      </c>
    </row>
    <row r="20" spans="5:5">
      <c r="E20" t="s">
        <v>160</v>
      </c>
    </row>
    <row r="21" spans="5:5">
      <c r="E21" t="s">
        <v>164</v>
      </c>
    </row>
    <row r="24" spans="5:5" ht="23.25">
      <c r="E24" s="10" t="s">
        <v>114</v>
      </c>
    </row>
    <row r="25" spans="5:5">
      <c r="E25" s="11"/>
    </row>
    <row r="26" spans="5:5">
      <c r="E26" s="12" t="s">
        <v>161</v>
      </c>
    </row>
    <row r="27" spans="5:5">
      <c r="E27" s="12" t="s">
        <v>116</v>
      </c>
    </row>
    <row r="28" spans="5:5">
      <c r="E28" s="12" t="s">
        <v>162</v>
      </c>
    </row>
    <row r="29" spans="5:5">
      <c r="E29" s="12" t="s">
        <v>163</v>
      </c>
    </row>
    <row r="31" spans="5:5">
      <c r="E31" s="1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3"/>
  <sheetViews>
    <sheetView tabSelected="1" workbookViewId="0">
      <selection activeCell="P22" sqref="P22"/>
    </sheetView>
  </sheetViews>
  <sheetFormatPr defaultRowHeight="15"/>
  <cols>
    <col min="1" max="1" width="20.5703125" customWidth="1"/>
    <col min="4" max="4" width="23.140625" customWidth="1"/>
    <col min="5" max="5" width="35.140625" customWidth="1"/>
    <col min="6" max="6" width="14.140625" customWidth="1"/>
    <col min="7" max="7" width="10.7109375" bestFit="1" customWidth="1"/>
    <col min="8" max="8" width="18.7109375" customWidth="1"/>
    <col min="11" max="11" width="17.7109375" customWidth="1"/>
    <col min="12" max="12" width="13.28515625" customWidth="1"/>
    <col min="15" max="15" width="14.140625" customWidth="1"/>
  </cols>
  <sheetData>
    <row r="1" spans="1:1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s="1" t="s">
        <v>73</v>
      </c>
      <c r="H1" t="s">
        <v>74</v>
      </c>
      <c r="I1" t="s">
        <v>124</v>
      </c>
      <c r="J1" s="8" t="s">
        <v>75</v>
      </c>
      <c r="K1" s="8" t="s">
        <v>81</v>
      </c>
      <c r="L1" s="8" t="s">
        <v>82</v>
      </c>
      <c r="M1" s="8" t="s">
        <v>83</v>
      </c>
      <c r="N1" s="8" t="s">
        <v>125</v>
      </c>
      <c r="O1" s="8" t="s">
        <v>126</v>
      </c>
    </row>
    <row r="2" spans="1:15">
      <c r="A2" t="s">
        <v>84</v>
      </c>
      <c r="B2" t="s">
        <v>85</v>
      </c>
      <c r="C2">
        <v>32</v>
      </c>
      <c r="D2" t="s">
        <v>86</v>
      </c>
      <c r="E2" t="s">
        <v>87</v>
      </c>
      <c r="F2" t="s">
        <v>88</v>
      </c>
      <c r="G2" s="1">
        <v>36526</v>
      </c>
      <c r="H2">
        <v>30000</v>
      </c>
      <c r="I2">
        <v>20</v>
      </c>
      <c r="J2" t="str">
        <f xml:space="preserve"> A2 &amp; " " &amp; B2</f>
        <v>john smith</v>
      </c>
      <c r="K2" t="str">
        <f>TEXT(G2, "mmmm d, yyyy")</f>
        <v>January 1, 2000</v>
      </c>
      <c r="L2" t="str">
        <f xml:space="preserve"> IF(C2&gt;30,"over 30","under 30")</f>
        <v>over 30</v>
      </c>
      <c r="M2">
        <f xml:space="preserve"> H2 * 0.1</f>
        <v>3000</v>
      </c>
      <c r="N2">
        <f xml:space="preserve"> H2/I2</f>
        <v>1500</v>
      </c>
      <c r="O2" t="b">
        <f xml:space="preserve"> I2 &gt; 23</f>
        <v>0</v>
      </c>
    </row>
    <row r="3" spans="1:15">
      <c r="A3" t="s">
        <v>89</v>
      </c>
      <c r="B3" t="s">
        <v>90</v>
      </c>
      <c r="C3">
        <v>45</v>
      </c>
      <c r="D3" t="s">
        <v>91</v>
      </c>
      <c r="E3" t="s">
        <v>92</v>
      </c>
      <c r="F3" t="s">
        <v>93</v>
      </c>
      <c r="G3" s="1">
        <v>26728</v>
      </c>
      <c r="H3">
        <v>40000</v>
      </c>
      <c r="I3">
        <v>23</v>
      </c>
      <c r="J3" t="str">
        <f xml:space="preserve"> A3 &amp; " " &amp; B3</f>
        <v xml:space="preserve">     bob Johnson</v>
      </c>
      <c r="K3" t="str">
        <f t="shared" ref="K3:K6" si="0">TEXT(G3, "mmmm d, yyyy")</f>
        <v>March 5, 1973</v>
      </c>
      <c r="L3" t="str">
        <f t="shared" ref="L3:L6" si="1" xml:space="preserve"> IF(C3&gt;30,"over 30","under 30")</f>
        <v>over 30</v>
      </c>
      <c r="M3">
        <f t="shared" ref="M3:M6" si="2" xml:space="preserve"> H3 * 0.1</f>
        <v>4000</v>
      </c>
      <c r="N3">
        <f t="shared" ref="N3:N6" si="3" xml:space="preserve"> H3/I3</f>
        <v>1739.1304347826087</v>
      </c>
      <c r="O3" t="b">
        <f t="shared" ref="O3:O6" si="4" xml:space="preserve"> I3 &gt; 23</f>
        <v>0</v>
      </c>
    </row>
    <row r="4" spans="1:15">
      <c r="A4" t="s">
        <v>94</v>
      </c>
      <c r="B4" t="s">
        <v>95</v>
      </c>
      <c r="C4">
        <v>28</v>
      </c>
      <c r="D4" t="s">
        <v>96</v>
      </c>
      <c r="E4" t="s">
        <v>97</v>
      </c>
      <c r="F4" t="s">
        <v>98</v>
      </c>
      <c r="G4" s="1">
        <v>30748</v>
      </c>
      <c r="H4">
        <v>26000</v>
      </c>
      <c r="I4">
        <v>32</v>
      </c>
      <c r="J4" t="str">
        <f xml:space="preserve"> A4 &amp; " " &amp; B4</f>
        <v>sameer  khanna</v>
      </c>
      <c r="K4" t="str">
        <f t="shared" si="0"/>
        <v>March 7, 1984</v>
      </c>
      <c r="L4" t="str">
        <f t="shared" si="1"/>
        <v>under 30</v>
      </c>
      <c r="M4">
        <f t="shared" si="2"/>
        <v>2600</v>
      </c>
      <c r="N4">
        <f t="shared" si="3"/>
        <v>812.5</v>
      </c>
      <c r="O4" t="b">
        <f t="shared" si="4"/>
        <v>1</v>
      </c>
    </row>
    <row r="5" spans="1:15">
      <c r="A5" t="s">
        <v>99</v>
      </c>
      <c r="B5" t="s">
        <v>100</v>
      </c>
      <c r="C5">
        <v>51</v>
      </c>
      <c r="D5" t="s">
        <v>101</v>
      </c>
      <c r="E5" t="s">
        <v>121</v>
      </c>
      <c r="F5" t="s">
        <v>102</v>
      </c>
      <c r="G5" s="1">
        <v>36349</v>
      </c>
      <c r="H5">
        <v>55000</v>
      </c>
      <c r="I5">
        <v>0</v>
      </c>
      <c r="J5" t="str">
        <f xml:space="preserve"> A5 &amp; " " &amp; B5</f>
        <v xml:space="preserve">  david    Lee</v>
      </c>
      <c r="K5" t="str">
        <f t="shared" si="0"/>
        <v>July 8, 1999</v>
      </c>
      <c r="L5" t="str">
        <f t="shared" si="1"/>
        <v>over 30</v>
      </c>
      <c r="M5">
        <f t="shared" si="2"/>
        <v>5500</v>
      </c>
      <c r="N5" t="e">
        <f t="shared" si="3"/>
        <v>#DIV/0!</v>
      </c>
      <c r="O5" t="b">
        <f t="shared" si="4"/>
        <v>0</v>
      </c>
    </row>
    <row r="6" spans="1:15">
      <c r="A6" t="s">
        <v>103</v>
      </c>
      <c r="B6" t="s">
        <v>104</v>
      </c>
      <c r="C6">
        <v>39</v>
      </c>
      <c r="D6" t="s">
        <v>105</v>
      </c>
      <c r="E6" t="s">
        <v>106</v>
      </c>
      <c r="F6" t="s">
        <v>107</v>
      </c>
      <c r="G6" s="1">
        <v>40950</v>
      </c>
      <c r="H6">
        <v>40000</v>
      </c>
      <c r="I6">
        <v>45</v>
      </c>
      <c r="J6" t="str">
        <f xml:space="preserve"> A6 &amp; " " &amp; B6</f>
        <v>emily davis</v>
      </c>
      <c r="K6" t="str">
        <f t="shared" si="0"/>
        <v>February 11, 2012</v>
      </c>
      <c r="L6" t="str">
        <f t="shared" si="1"/>
        <v>over 30</v>
      </c>
      <c r="M6">
        <f t="shared" si="2"/>
        <v>4000</v>
      </c>
      <c r="N6">
        <f t="shared" si="3"/>
        <v>888.88888888888891</v>
      </c>
      <c r="O6" t="b">
        <f t="shared" si="4"/>
        <v>1</v>
      </c>
    </row>
    <row r="7" spans="1:15">
      <c r="A7" t="s">
        <v>84</v>
      </c>
      <c r="B7" t="s">
        <v>85</v>
      </c>
      <c r="C7">
        <v>32</v>
      </c>
      <c r="D7" t="s">
        <v>188</v>
      </c>
      <c r="E7" t="s">
        <v>97</v>
      </c>
      <c r="F7" t="s">
        <v>88</v>
      </c>
      <c r="G7" s="1">
        <v>42430</v>
      </c>
      <c r="H7">
        <v>64955</v>
      </c>
      <c r="I7">
        <v>45</v>
      </c>
      <c r="J7" t="str">
        <f t="shared" ref="J7:J15" si="5" xml:space="preserve"> A7 &amp; " " &amp; B7</f>
        <v>john smith</v>
      </c>
      <c r="K7" t="str">
        <f t="shared" ref="K7:K15" si="6">TEXT(G7, "mmmm d, yyyy")</f>
        <v>March 1, 2016</v>
      </c>
      <c r="L7" t="str">
        <f t="shared" ref="L7:L15" si="7" xml:space="preserve"> IF(C7&gt;30,"over 30","under 30")</f>
        <v>over 30</v>
      </c>
      <c r="M7">
        <f t="shared" ref="M7:M15" si="8" xml:space="preserve"> H7 * 0.1</f>
        <v>6495.5</v>
      </c>
      <c r="N7">
        <f t="shared" ref="N7:N15" si="9" xml:space="preserve"> H7/I7</f>
        <v>1443.4444444444443</v>
      </c>
      <c r="O7" t="b">
        <f t="shared" ref="O7:O15" si="10" xml:space="preserve"> I7 &gt; 23</f>
        <v>1</v>
      </c>
    </row>
    <row r="8" spans="1:15">
      <c r="A8" t="s">
        <v>89</v>
      </c>
      <c r="B8" t="s">
        <v>90</v>
      </c>
      <c r="C8">
        <v>45</v>
      </c>
      <c r="D8" t="s">
        <v>191</v>
      </c>
      <c r="E8" t="s">
        <v>121</v>
      </c>
      <c r="F8" t="s">
        <v>93</v>
      </c>
      <c r="G8" s="1">
        <v>41171</v>
      </c>
      <c r="H8">
        <v>64991</v>
      </c>
      <c r="I8">
        <v>45</v>
      </c>
      <c r="J8" t="str">
        <f t="shared" si="5"/>
        <v xml:space="preserve">     bob Johnson</v>
      </c>
      <c r="K8" t="str">
        <f t="shared" si="6"/>
        <v>September 19, 2012</v>
      </c>
      <c r="L8" t="str">
        <f t="shared" si="7"/>
        <v>over 30</v>
      </c>
      <c r="M8">
        <f t="shared" si="8"/>
        <v>6499.1</v>
      </c>
      <c r="N8">
        <f t="shared" si="9"/>
        <v>1444.2444444444445</v>
      </c>
      <c r="O8" t="b">
        <f t="shared" si="10"/>
        <v>1</v>
      </c>
    </row>
    <row r="9" spans="1:15">
      <c r="A9" t="s">
        <v>94</v>
      </c>
      <c r="B9" t="s">
        <v>95</v>
      </c>
      <c r="C9">
        <v>28</v>
      </c>
      <c r="D9" t="s">
        <v>193</v>
      </c>
      <c r="E9" t="s">
        <v>127</v>
      </c>
      <c r="F9" t="s">
        <v>98</v>
      </c>
      <c r="G9" s="1">
        <v>42537</v>
      </c>
      <c r="H9">
        <v>50825</v>
      </c>
      <c r="I9">
        <v>39</v>
      </c>
      <c r="J9" t="str">
        <f t="shared" si="5"/>
        <v>sameer  khanna</v>
      </c>
      <c r="K9" t="str">
        <f t="shared" si="6"/>
        <v>June 16, 2016</v>
      </c>
      <c r="L9" t="str">
        <f t="shared" si="7"/>
        <v>under 30</v>
      </c>
      <c r="M9">
        <f t="shared" si="8"/>
        <v>5082.5</v>
      </c>
      <c r="N9">
        <f t="shared" si="9"/>
        <v>1303.2051282051282</v>
      </c>
      <c r="O9" t="b">
        <f t="shared" si="10"/>
        <v>1</v>
      </c>
    </row>
    <row r="10" spans="1:15">
      <c r="A10" t="s">
        <v>99</v>
      </c>
      <c r="B10" t="s">
        <v>100</v>
      </c>
      <c r="D10" t="s">
        <v>195</v>
      </c>
      <c r="E10" t="s">
        <v>87</v>
      </c>
      <c r="F10" t="s">
        <v>102</v>
      </c>
      <c r="G10" s="1">
        <v>42543</v>
      </c>
      <c r="H10">
        <v>57568</v>
      </c>
      <c r="I10">
        <v>44</v>
      </c>
      <c r="J10" t="str">
        <f t="shared" si="5"/>
        <v xml:space="preserve">  david    Lee</v>
      </c>
      <c r="K10" t="str">
        <f t="shared" si="6"/>
        <v>June 22, 2016</v>
      </c>
      <c r="L10" t="str">
        <f t="shared" si="7"/>
        <v>under 30</v>
      </c>
      <c r="M10">
        <f t="shared" si="8"/>
        <v>5756.8</v>
      </c>
      <c r="N10">
        <f t="shared" si="9"/>
        <v>1308.3636363636363</v>
      </c>
      <c r="O10" t="b">
        <f t="shared" si="10"/>
        <v>1</v>
      </c>
    </row>
    <row r="11" spans="1:15">
      <c r="A11" t="s">
        <v>103</v>
      </c>
      <c r="B11" t="s">
        <v>104</v>
      </c>
      <c r="C11">
        <v>39</v>
      </c>
      <c r="D11" t="s">
        <v>197</v>
      </c>
      <c r="E11" t="s">
        <v>92</v>
      </c>
      <c r="F11" t="s">
        <v>107</v>
      </c>
      <c r="G11" s="1">
        <v>41774</v>
      </c>
      <c r="H11">
        <v>95660</v>
      </c>
      <c r="I11">
        <v>0</v>
      </c>
      <c r="J11" t="str">
        <f t="shared" si="5"/>
        <v>emily davis</v>
      </c>
      <c r="K11" t="str">
        <f t="shared" si="6"/>
        <v>May 15, 2014</v>
      </c>
      <c r="L11" t="str">
        <f t="shared" si="7"/>
        <v>over 30</v>
      </c>
      <c r="M11">
        <f t="shared" si="8"/>
        <v>9566</v>
      </c>
      <c r="N11" t="e">
        <f t="shared" si="9"/>
        <v>#DIV/0!</v>
      </c>
      <c r="O11" t="b">
        <f t="shared" si="10"/>
        <v>0</v>
      </c>
    </row>
    <row r="12" spans="1:15">
      <c r="A12" t="s">
        <v>182</v>
      </c>
      <c r="B12" t="s">
        <v>183</v>
      </c>
      <c r="C12">
        <v>27</v>
      </c>
      <c r="D12" t="s">
        <v>199</v>
      </c>
      <c r="E12" t="s">
        <v>97</v>
      </c>
      <c r="F12" t="s">
        <v>88</v>
      </c>
      <c r="G12" s="1">
        <v>41425</v>
      </c>
      <c r="H12">
        <v>59365</v>
      </c>
      <c r="I12">
        <v>46</v>
      </c>
      <c r="J12" t="str">
        <f t="shared" si="5"/>
        <v>James Smith</v>
      </c>
      <c r="K12" t="str">
        <f t="shared" si="6"/>
        <v>May 31, 2013</v>
      </c>
      <c r="L12" t="str">
        <f t="shared" si="7"/>
        <v>under 30</v>
      </c>
      <c r="M12">
        <f t="shared" si="8"/>
        <v>5936.5</v>
      </c>
      <c r="N12">
        <f t="shared" si="9"/>
        <v>1290.5434782608695</v>
      </c>
      <c r="O12" t="b">
        <f t="shared" si="10"/>
        <v>1</v>
      </c>
    </row>
    <row r="13" spans="1:15">
      <c r="A13" t="s">
        <v>209</v>
      </c>
      <c r="B13" t="s">
        <v>185</v>
      </c>
      <c r="C13">
        <v>21</v>
      </c>
      <c r="D13" t="s">
        <v>202</v>
      </c>
      <c r="E13" t="s">
        <v>121</v>
      </c>
      <c r="F13" t="s">
        <v>93</v>
      </c>
      <c r="G13" s="1">
        <v>41765</v>
      </c>
      <c r="I13">
        <v>60</v>
      </c>
      <c r="J13" t="str">
        <f t="shared" si="5"/>
        <v xml:space="preserve">    Christopher Anderson</v>
      </c>
      <c r="K13" t="str">
        <f t="shared" si="6"/>
        <v>May 6, 2014</v>
      </c>
      <c r="L13" t="str">
        <f t="shared" si="7"/>
        <v>under 30</v>
      </c>
      <c r="M13">
        <f t="shared" si="8"/>
        <v>0</v>
      </c>
      <c r="N13">
        <f t="shared" si="9"/>
        <v>0</v>
      </c>
      <c r="O13" t="b">
        <f t="shared" si="10"/>
        <v>1</v>
      </c>
    </row>
    <row r="14" spans="1:15">
      <c r="A14" t="s">
        <v>186</v>
      </c>
      <c r="B14" t="s">
        <v>187</v>
      </c>
      <c r="C14">
        <v>35</v>
      </c>
      <c r="D14" t="s">
        <v>204</v>
      </c>
      <c r="E14" t="s">
        <v>127</v>
      </c>
      <c r="F14" t="s">
        <v>98</v>
      </c>
      <c r="G14" s="1">
        <v>41627</v>
      </c>
      <c r="H14">
        <v>50178</v>
      </c>
      <c r="I14">
        <v>0</v>
      </c>
      <c r="J14" t="str">
        <f t="shared" si="5"/>
        <v>Ronald Clark</v>
      </c>
      <c r="K14" t="str">
        <f t="shared" si="6"/>
        <v>December 19, 2013</v>
      </c>
      <c r="L14" t="str">
        <f t="shared" si="7"/>
        <v>over 30</v>
      </c>
      <c r="M14">
        <f t="shared" si="8"/>
        <v>5017.8</v>
      </c>
      <c r="N14" t="e">
        <f t="shared" si="9"/>
        <v>#DIV/0!</v>
      </c>
      <c r="O14" t="b">
        <f t="shared" si="10"/>
        <v>0</v>
      </c>
    </row>
    <row r="15" spans="1:15">
      <c r="A15" t="s">
        <v>189</v>
      </c>
      <c r="B15" t="s">
        <v>190</v>
      </c>
      <c r="C15">
        <v>32</v>
      </c>
      <c r="D15" t="s">
        <v>207</v>
      </c>
      <c r="E15" t="s">
        <v>87</v>
      </c>
      <c r="F15" t="s">
        <v>102</v>
      </c>
      <c r="G15" s="1">
        <v>41433</v>
      </c>
      <c r="H15">
        <v>54670</v>
      </c>
      <c r="I15">
        <v>42</v>
      </c>
      <c r="J15" t="str">
        <f t="shared" si="5"/>
        <v>Mary Wright</v>
      </c>
      <c r="K15" t="str">
        <f t="shared" si="6"/>
        <v>June 8, 2013</v>
      </c>
      <c r="L15" t="str">
        <f t="shared" si="7"/>
        <v>over 30</v>
      </c>
      <c r="M15">
        <f t="shared" si="8"/>
        <v>5467</v>
      </c>
      <c r="N15">
        <f t="shared" si="9"/>
        <v>1301.6666666666667</v>
      </c>
      <c r="O15" t="b">
        <f t="shared" si="10"/>
        <v>1</v>
      </c>
    </row>
    <row r="19" spans="1:4" ht="18.75">
      <c r="D19" s="18" t="s">
        <v>213</v>
      </c>
    </row>
    <row r="22" spans="1:4" ht="23.25">
      <c r="A22" s="5" t="s">
        <v>32</v>
      </c>
    </row>
    <row r="23" spans="1:4" ht="23.25">
      <c r="A23" s="6" t="s">
        <v>33</v>
      </c>
    </row>
    <row r="24" spans="1:4" ht="23.25">
      <c r="A24" s="6" t="s">
        <v>34</v>
      </c>
    </row>
    <row r="25" spans="1:4" ht="23.25">
      <c r="A25" s="6" t="s">
        <v>35</v>
      </c>
    </row>
    <row r="27" spans="1:4">
      <c r="A27" s="3" t="s">
        <v>36</v>
      </c>
      <c r="B27" s="3" t="s">
        <v>37</v>
      </c>
    </row>
    <row r="28" spans="1:4">
      <c r="A28" s="7" t="s">
        <v>38</v>
      </c>
      <c r="B28" s="4" t="s">
        <v>39</v>
      </c>
    </row>
    <row r="29" spans="1:4">
      <c r="A29" s="7" t="s">
        <v>40</v>
      </c>
      <c r="B29" s="4" t="s">
        <v>41</v>
      </c>
    </row>
    <row r="30" spans="1:4">
      <c r="A30" s="7" t="s">
        <v>42</v>
      </c>
      <c r="B30" s="4" t="s">
        <v>43</v>
      </c>
    </row>
    <row r="31" spans="1:4">
      <c r="A31" s="7" t="s">
        <v>44</v>
      </c>
      <c r="B31" s="4" t="s">
        <v>45</v>
      </c>
    </row>
    <row r="32" spans="1:4">
      <c r="A32" s="7" t="s">
        <v>46</v>
      </c>
      <c r="B32" s="4" t="s">
        <v>47</v>
      </c>
    </row>
    <row r="33" spans="1:2">
      <c r="A33" s="7" t="s">
        <v>48</v>
      </c>
      <c r="B33" s="4" t="s">
        <v>49</v>
      </c>
    </row>
  </sheetData>
  <conditionalFormatting sqref="M1:M15">
    <cfRule type="cellIs" dxfId="35" priority="1" operator="greaterThan">
      <formula>6000</formula>
    </cfRule>
  </conditionalFormatting>
  <dataValidations count="1">
    <dataValidation type="whole" allowBlank="1" showInputMessage="1" showErrorMessage="1" sqref="H2:H15" xr:uid="{ED61E575-B830-40FD-8C10-8D2FE293A30C}">
      <formula1>10000</formula1>
      <formula2>999000</formula2>
    </dataValidation>
  </dataValidations>
  <hyperlinks>
    <hyperlink ref="D3" r:id="rId1" xr:uid="{14A1F710-AB44-4106-A575-26F95BBAA3FA}"/>
    <hyperlink ref="D5" r:id="rId2" xr:uid="{5E13394B-F606-44C1-A486-E0E12F1764B1}"/>
    <hyperlink ref="D7" r:id="rId3" display="mailto:RonaldClark@gmail.com" xr:uid="{9B8675F7-4AB1-4421-9337-4325275B95E0}"/>
    <hyperlink ref="D8" r:id="rId4" display="mailto:MaryWright@gmail.com" xr:uid="{A502BED3-8801-486A-AED4-8B86BE50BE25}"/>
    <hyperlink ref="D9" r:id="rId5" display="mailto:LisaMitchell@gmail.com" xr:uid="{C3AA0E37-4E49-4705-B43F-0FF6F4369CB0}"/>
    <hyperlink ref="D10" r:id="rId6" display="mailto:MichelleJohnson@gmail.com" xr:uid="{6E716EF9-21EA-4309-AD66-1CD3EAD35335}"/>
    <hyperlink ref="D11" r:id="rId7" display="mailto:JohnThomas@gmail.com" xr:uid="{0D794152-9339-427F-9F34-16E1B89C0933}"/>
    <hyperlink ref="D12" r:id="rId8" display="mailto:DanielRodriguez@gmail.com" xr:uid="{DD0B3DC6-ED68-486C-B01C-99C5DB0F8116}"/>
    <hyperlink ref="D13" r:id="rId9" display="mailto:AnthonyLopez@gmail.com" xr:uid="{72156B2B-0D5D-46BF-A187-627C4D69AD09}"/>
    <hyperlink ref="D14" r:id="rId10" display="mailto:PatriciaPerez@gmail.com" xr:uid="{07ED438D-74FF-4657-B076-1183AA5F6082}"/>
    <hyperlink ref="D15" r:id="rId11" xr:uid="{D1323665-7EA1-4AAB-A4D1-D4AB817DCEB9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1_1_data_valid</vt:lpstr>
      <vt:lpstr>2_duplicates_COUNTIFS</vt:lpstr>
      <vt:lpstr>3_text_functions</vt:lpstr>
      <vt:lpstr>3_text_functions_Application</vt:lpstr>
      <vt:lpstr>4_conditional_formatting</vt:lpstr>
      <vt:lpstr>5_Find_Replace</vt:lpstr>
      <vt:lpstr>6_go_to_special</vt:lpstr>
      <vt:lpstr>'1_1_data_valid'!_0X_SampleData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2025-06-25T08:44:33Z</dcterms:created>
  <dcterms:modified xsi:type="dcterms:W3CDTF">2026-01-18T10:31:59Z</dcterms:modified>
</cp:coreProperties>
</file>