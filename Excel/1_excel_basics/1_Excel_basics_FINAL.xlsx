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esktop\projects\uniconverge\notes_DA_DS\DA\1_excel_basics\"/>
    </mc:Choice>
  </mc:AlternateContent>
  <bookViews>
    <workbookView xWindow="0" yWindow="0" windowWidth="23475" windowHeight="8610"/>
  </bookViews>
  <sheets>
    <sheet name="raw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F53" i="1" l="1"/>
  <c r="J1048576" i="1"/>
  <c r="I1048576" i="1"/>
</calcChain>
</file>

<file path=xl/sharedStrings.xml><?xml version="1.0" encoding="utf-8"?>
<sst xmlns="http://schemas.openxmlformats.org/spreadsheetml/2006/main" count="9" uniqueCount="9">
  <si>
    <t>Transaction ID</t>
  </si>
  <si>
    <t>Customer ID</t>
  </si>
  <si>
    <t>Order Date</t>
  </si>
  <si>
    <t>Ship Date</t>
  </si>
  <si>
    <t>Units Sold</t>
  </si>
  <si>
    <t xml:space="preserve"> Unit Price </t>
  </si>
  <si>
    <t xml:space="preserve"> Unit Cost </t>
  </si>
  <si>
    <t xml:space="preserve"> Total Revenue </t>
  </si>
  <si>
    <t xml:space="preserve"> Total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</si>
</sst>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0" fontId="2" fillId="0" borderId="0" xfId="0" applyFont="1" applyBorder="1"/>
    <xf numFmtId="0" fontId="0" fillId="0" borderId="0" xfId="0" applyAlignment="1">
      <alignment horizontal="right"/>
    </xf>
    <xf numFmtId="44" fontId="0" fillId="0" borderId="0" xfId="2" applyFont="1"/>
    <xf numFmtId="164" fontId="0" fillId="0" borderId="0" xfId="1" applyNumberFormat="1" applyFont="1"/>
    <xf numFmtId="0" fontId="2" fillId="0" borderId="0" xfId="0" applyFont="1" applyBorder="1" applyAlignment="1">
      <alignment horizontal="right"/>
    </xf>
    <xf numFmtId="164" fontId="2" fillId="0" borderId="0" xfId="1" applyNumberFormat="1" applyFont="1" applyBorder="1"/>
    <xf numFmtId="44" fontId="2" fillId="0" borderId="0" xfId="2" applyFont="1" applyBorder="1"/>
    <xf numFmtId="0" fontId="0" fillId="0" borderId="0" xfId="0" applyFont="1" applyBorder="1"/>
    <xf numFmtId="1" fontId="0" fillId="0" borderId="0" xfId="0" applyNumberFormat="1" applyAlignment="1">
      <alignment horizontal="right"/>
    </xf>
    <xf numFmtId="1" fontId="2" fillId="0" borderId="0" xfId="0" applyNumberFormat="1" applyFont="1" applyBorder="1"/>
    <xf numFmtId="1" fontId="0" fillId="0" borderId="0" xfId="0" applyNumberFormat="1"/>
    <xf numFmtId="165" fontId="0" fillId="0" borderId="0" xfId="0" applyNumberFormat="1"/>
    <xf numFmtId="0" fontId="0" fillId="0" borderId="0" xfId="0" applyFont="1" applyBorder="1"/>
    <xf numFmtId="164" fontId="0" fillId="0" borderId="0" xfId="0" applyNumberFormat="1" applyFont="1"/>
    <xf numFmtId="44" fontId="0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14"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numFmt numFmtId="19" formatCode="m/d/yyyy"/>
    </dxf>
    <dxf>
      <numFmt numFmtId="1" formatCode="0"/>
    </dxf>
    <dxf>
      <alignment horizontal="right" vertical="bottom" textRotation="0" wrapText="0" indent="0" justifyLastLine="0" shrinkToFit="0" readingOrder="0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9" formatCode="m/d/yyyy"/>
    </dxf>
    <dxf>
      <numFmt numFmtId="165" formatCode="[$-409]mmmm\ d\,\ yyyy;@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0D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1593273</xdr:colOff>
      <xdr:row>5</xdr:row>
      <xdr:rowOff>131124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3273" cy="10836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1:J53" totalsRowCount="1" headerRowDxfId="13">
  <autoFilter ref="B1:J52"/>
  <tableColumns count="9">
    <tableColumn id="1" name="Transaction ID" dataDxfId="12" totalsRowDxfId="6"/>
    <tableColumn id="2" name="Customer ID" dataDxfId="11" totalsRowDxfId="5"/>
    <tableColumn id="7" name="Order Date" dataDxfId="10" totalsRowDxfId="4"/>
    <tableColumn id="8" name="Ship Date" dataDxfId="9" totalsRowDxfId="3"/>
    <tableColumn id="9" name="Units Sold" totalsRowFunction="min" dataDxfId="8" totalsRowDxfId="2" dataCellStyle="Comma"/>
    <tableColumn id="10" name=" Unit Price "/>
    <tableColumn id="11" name=" Unit Cost "/>
    <tableColumn id="12" name=" Total Revenue " totalsRowDxfId="1" dataCellStyle="Currency">
      <calculatedColumnFormula xml:space="preserve"> F2 * G2</calculatedColumnFormula>
    </tableColumn>
    <tableColumn id="13" name=" Total Cost " dataDxfId="7" totalsRowDxfId="0">
      <calculatedColumnFormula xml:space="preserve"> F2 * H2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1" zoomScale="110" zoomScaleNormal="110" workbookViewId="0">
      <selection activeCell="N21" sqref="N21"/>
    </sheetView>
  </sheetViews>
  <sheetFormatPr defaultRowHeight="15" x14ac:dyDescent="0.25"/>
  <cols>
    <col min="1" max="1" width="24.85546875" customWidth="1"/>
    <col min="2" max="2" width="15.28515625" style="4" customWidth="1"/>
    <col min="3" max="3" width="11" style="13" customWidth="1"/>
    <col min="4" max="4" width="18.140625" customWidth="1"/>
    <col min="5" max="5" width="12.85546875" customWidth="1"/>
    <col min="6" max="6" width="12.28515625" style="6" customWidth="1"/>
    <col min="7" max="7" width="12.140625" customWidth="1"/>
    <col min="8" max="8" width="11.5703125" customWidth="1"/>
    <col min="9" max="9" width="16" style="5" customWidth="1"/>
    <col min="10" max="10" width="15.85546875" customWidth="1"/>
    <col min="11" max="11" width="12.140625" customWidth="1"/>
  </cols>
  <sheetData>
    <row r="1" spans="1:10" s="10" customFormat="1" x14ac:dyDescent="0.25">
      <c r="A1" s="15"/>
      <c r="B1" s="7" t="s">
        <v>0</v>
      </c>
      <c r="C1" s="12" t="s">
        <v>1</v>
      </c>
      <c r="D1" s="3" t="s">
        <v>2</v>
      </c>
      <c r="E1" s="3" t="s">
        <v>3</v>
      </c>
      <c r="F1" s="8" t="s">
        <v>4</v>
      </c>
      <c r="G1" s="3" t="s">
        <v>5</v>
      </c>
      <c r="H1" s="3" t="s">
        <v>6</v>
      </c>
      <c r="I1" s="9" t="s">
        <v>7</v>
      </c>
      <c r="J1" s="3" t="s">
        <v>8</v>
      </c>
    </row>
    <row r="2" spans="1:10" x14ac:dyDescent="0.25">
      <c r="A2" s="15"/>
      <c r="B2" s="11">
        <v>770</v>
      </c>
      <c r="C2" s="13">
        <v>32</v>
      </c>
      <c r="D2" s="14">
        <v>41772</v>
      </c>
      <c r="E2" s="1">
        <v>41788</v>
      </c>
      <c r="F2" s="6">
        <v>5366</v>
      </c>
      <c r="G2">
        <v>668.27</v>
      </c>
      <c r="H2">
        <v>502.54</v>
      </c>
      <c r="I2" s="5">
        <f xml:space="preserve"> F2 * G2</f>
        <v>3585936.82</v>
      </c>
      <c r="J2" s="2">
        <f xml:space="preserve"> F2 * H2</f>
        <v>2696629.64</v>
      </c>
    </row>
    <row r="3" spans="1:10" x14ac:dyDescent="0.25">
      <c r="A3" s="15"/>
      <c r="B3" s="11">
        <v>162</v>
      </c>
      <c r="C3" s="13">
        <v>24</v>
      </c>
      <c r="D3" s="14">
        <v>41918</v>
      </c>
      <c r="E3" s="1">
        <v>41954</v>
      </c>
      <c r="F3" s="6">
        <v>277</v>
      </c>
      <c r="G3">
        <v>47.45</v>
      </c>
      <c r="H3">
        <v>31.79</v>
      </c>
      <c r="I3" s="5">
        <f t="shared" ref="I3:I52" si="0" xml:space="preserve"> F3 * G3</f>
        <v>13143.650000000001</v>
      </c>
      <c r="J3" s="2">
        <f t="shared" ref="J3:J52" si="1" xml:space="preserve"> F3 * H3</f>
        <v>8805.83</v>
      </c>
    </row>
    <row r="4" spans="1:10" x14ac:dyDescent="0.25">
      <c r="A4" s="15"/>
      <c r="B4" s="11">
        <v>9</v>
      </c>
      <c r="C4" s="13">
        <v>753</v>
      </c>
      <c r="D4" s="14">
        <v>41964</v>
      </c>
      <c r="E4" s="1">
        <v>42014</v>
      </c>
      <c r="F4" s="6">
        <v>2431</v>
      </c>
      <c r="G4">
        <v>421.89</v>
      </c>
      <c r="H4">
        <v>364.69</v>
      </c>
      <c r="I4" s="5">
        <f t="shared" si="0"/>
        <v>1025614.59</v>
      </c>
      <c r="J4" s="2">
        <f t="shared" si="1"/>
        <v>886561.39</v>
      </c>
    </row>
    <row r="5" spans="1:10" x14ac:dyDescent="0.25">
      <c r="A5" s="15"/>
      <c r="B5" s="11">
        <v>249</v>
      </c>
      <c r="C5" s="13">
        <v>424</v>
      </c>
      <c r="D5" s="14">
        <v>41822</v>
      </c>
      <c r="E5" s="1">
        <v>41848</v>
      </c>
      <c r="F5" s="6">
        <v>6987</v>
      </c>
      <c r="G5">
        <v>255.28</v>
      </c>
      <c r="H5">
        <v>159.41999999999999</v>
      </c>
      <c r="I5" s="5">
        <f t="shared" si="0"/>
        <v>1783641.36</v>
      </c>
      <c r="J5" s="2">
        <f t="shared" si="1"/>
        <v>1113867.5399999998</v>
      </c>
    </row>
    <row r="6" spans="1:10" x14ac:dyDescent="0.25">
      <c r="A6" s="15"/>
      <c r="B6" s="11">
        <v>82</v>
      </c>
      <c r="C6" s="13">
        <v>101</v>
      </c>
      <c r="D6" s="14">
        <v>41835</v>
      </c>
      <c r="E6" s="1">
        <v>41866</v>
      </c>
      <c r="F6" s="6">
        <v>735</v>
      </c>
      <c r="G6">
        <v>154.06</v>
      </c>
      <c r="H6">
        <v>90.93</v>
      </c>
      <c r="I6" s="5">
        <f t="shared" si="0"/>
        <v>113234.1</v>
      </c>
      <c r="J6" s="2">
        <f t="shared" si="1"/>
        <v>66833.55</v>
      </c>
    </row>
    <row r="7" spans="1:10" x14ac:dyDescent="0.25">
      <c r="B7" s="11">
        <v>823</v>
      </c>
      <c r="C7" s="13">
        <v>94</v>
      </c>
      <c r="D7" s="14">
        <v>41793</v>
      </c>
      <c r="E7" s="1">
        <v>41793</v>
      </c>
      <c r="F7" s="6">
        <v>3180</v>
      </c>
      <c r="G7">
        <v>651.21</v>
      </c>
      <c r="H7">
        <v>524.96</v>
      </c>
      <c r="I7" s="5">
        <f t="shared" si="0"/>
        <v>2070847.8</v>
      </c>
      <c r="J7" s="2">
        <f t="shared" si="1"/>
        <v>1669372.8</v>
      </c>
    </row>
    <row r="8" spans="1:10" x14ac:dyDescent="0.25">
      <c r="B8" s="11">
        <v>559</v>
      </c>
      <c r="C8" s="13">
        <v>91</v>
      </c>
      <c r="D8" s="14">
        <v>41802</v>
      </c>
      <c r="E8" s="1">
        <v>41810</v>
      </c>
      <c r="F8" s="6">
        <v>6972</v>
      </c>
      <c r="G8">
        <v>651.21</v>
      </c>
      <c r="H8">
        <v>524.96</v>
      </c>
      <c r="I8" s="5">
        <f t="shared" si="0"/>
        <v>4540236.12</v>
      </c>
      <c r="J8" s="2">
        <f t="shared" si="1"/>
        <v>3660021.12</v>
      </c>
    </row>
    <row r="9" spans="1:10" x14ac:dyDescent="0.25">
      <c r="B9" s="11">
        <v>49</v>
      </c>
      <c r="C9" s="13">
        <v>15</v>
      </c>
      <c r="D9" s="14">
        <v>41714</v>
      </c>
      <c r="E9" s="1">
        <v>41756</v>
      </c>
      <c r="F9" s="6">
        <v>6962</v>
      </c>
      <c r="G9">
        <v>81.73</v>
      </c>
      <c r="H9">
        <v>56.67</v>
      </c>
      <c r="I9" s="5">
        <f t="shared" si="0"/>
        <v>569004.26</v>
      </c>
      <c r="J9" s="2">
        <f t="shared" si="1"/>
        <v>394536.54000000004</v>
      </c>
    </row>
    <row r="10" spans="1:10" x14ac:dyDescent="0.25">
      <c r="B10" s="11">
        <v>729</v>
      </c>
      <c r="C10" s="13">
        <v>21</v>
      </c>
      <c r="D10" s="14">
        <v>41916</v>
      </c>
      <c r="E10" s="1">
        <v>41956</v>
      </c>
      <c r="F10" s="6">
        <v>9186</v>
      </c>
      <c r="G10">
        <v>668.27</v>
      </c>
      <c r="H10">
        <v>502.54</v>
      </c>
      <c r="I10" s="5">
        <f t="shared" si="0"/>
        <v>6138728.2199999997</v>
      </c>
      <c r="J10" s="2">
        <f t="shared" si="1"/>
        <v>4616332.4400000004</v>
      </c>
    </row>
    <row r="11" spans="1:10" x14ac:dyDescent="0.25">
      <c r="B11" s="11">
        <v>119</v>
      </c>
      <c r="C11" s="13">
        <v>24</v>
      </c>
      <c r="D11" s="14">
        <v>41671</v>
      </c>
      <c r="E11" s="1">
        <v>41718</v>
      </c>
      <c r="F11" s="6">
        <v>1040</v>
      </c>
      <c r="G11">
        <v>421.89</v>
      </c>
      <c r="H11">
        <v>364.69</v>
      </c>
      <c r="I11" s="5">
        <f t="shared" si="0"/>
        <v>438765.6</v>
      </c>
      <c r="J11" s="2">
        <f t="shared" si="1"/>
        <v>379277.6</v>
      </c>
    </row>
    <row r="12" spans="1:10" x14ac:dyDescent="0.25">
      <c r="B12" s="11">
        <v>885</v>
      </c>
      <c r="C12" s="13">
        <v>388</v>
      </c>
      <c r="D12" s="14">
        <v>41707</v>
      </c>
      <c r="E12" s="1">
        <v>41729</v>
      </c>
      <c r="F12" s="6">
        <v>4334</v>
      </c>
      <c r="G12">
        <v>437.2</v>
      </c>
      <c r="H12">
        <v>263.33</v>
      </c>
      <c r="I12" s="5">
        <f t="shared" si="0"/>
        <v>1894824.8</v>
      </c>
      <c r="J12" s="2">
        <f t="shared" si="1"/>
        <v>1141272.22</v>
      </c>
    </row>
    <row r="13" spans="1:10" x14ac:dyDescent="0.25">
      <c r="B13" s="11">
        <v>316</v>
      </c>
      <c r="C13" s="13">
        <v>39</v>
      </c>
      <c r="D13" s="14">
        <v>41835</v>
      </c>
      <c r="E13" s="1">
        <v>41841</v>
      </c>
      <c r="F13" s="6">
        <v>7739</v>
      </c>
      <c r="G13">
        <v>47.45</v>
      </c>
      <c r="H13">
        <v>31.79</v>
      </c>
      <c r="I13" s="5">
        <f t="shared" si="0"/>
        <v>367215.55000000005</v>
      </c>
      <c r="J13" s="2">
        <f t="shared" si="1"/>
        <v>246022.81</v>
      </c>
    </row>
    <row r="14" spans="1:10" x14ac:dyDescent="0.25">
      <c r="B14" s="11">
        <v>395</v>
      </c>
      <c r="C14" s="13">
        <v>322</v>
      </c>
      <c r="D14" s="14">
        <v>41821</v>
      </c>
      <c r="E14" s="1">
        <v>41846</v>
      </c>
      <c r="F14" s="6">
        <v>7694</v>
      </c>
      <c r="G14">
        <v>9.33</v>
      </c>
      <c r="H14">
        <v>6.92</v>
      </c>
      <c r="I14" s="5">
        <f t="shared" si="0"/>
        <v>71785.02</v>
      </c>
      <c r="J14" s="2">
        <f t="shared" si="1"/>
        <v>53242.479999999996</v>
      </c>
    </row>
    <row r="15" spans="1:10" x14ac:dyDescent="0.25">
      <c r="B15" s="11">
        <v>997</v>
      </c>
      <c r="C15" s="13">
        <v>28</v>
      </c>
      <c r="D15" s="14">
        <v>41964</v>
      </c>
      <c r="E15" s="1">
        <v>41971</v>
      </c>
      <c r="F15" s="6">
        <v>5574</v>
      </c>
      <c r="G15">
        <v>651.21</v>
      </c>
      <c r="H15">
        <v>524.96</v>
      </c>
      <c r="I15" s="5">
        <f t="shared" si="0"/>
        <v>3629844.54</v>
      </c>
      <c r="J15" s="2">
        <f t="shared" si="1"/>
        <v>2926127.04</v>
      </c>
    </row>
    <row r="16" spans="1:10" x14ac:dyDescent="0.25">
      <c r="B16" s="11">
        <v>578</v>
      </c>
      <c r="C16" s="13">
        <v>54</v>
      </c>
      <c r="D16" s="14">
        <v>41661</v>
      </c>
      <c r="E16" s="1">
        <v>41700</v>
      </c>
      <c r="F16" s="6">
        <v>9606</v>
      </c>
      <c r="G16">
        <v>437.2</v>
      </c>
      <c r="H16">
        <v>263.33</v>
      </c>
      <c r="I16" s="5">
        <f t="shared" si="0"/>
        <v>4199743.2</v>
      </c>
      <c r="J16" s="2">
        <f t="shared" si="1"/>
        <v>2529547.98</v>
      </c>
    </row>
    <row r="17" spans="2:10" x14ac:dyDescent="0.25">
      <c r="B17" s="11">
        <v>620</v>
      </c>
      <c r="C17" s="13">
        <v>73</v>
      </c>
      <c r="D17" s="14">
        <v>41874</v>
      </c>
      <c r="E17" s="1">
        <v>41914</v>
      </c>
      <c r="F17" s="6">
        <v>4342</v>
      </c>
      <c r="G17">
        <v>152.58000000000001</v>
      </c>
      <c r="H17">
        <v>97.44</v>
      </c>
      <c r="I17" s="5">
        <f t="shared" si="0"/>
        <v>662502.3600000001</v>
      </c>
      <c r="J17" s="2">
        <f t="shared" si="1"/>
        <v>423084.48</v>
      </c>
    </row>
    <row r="18" spans="2:10" x14ac:dyDescent="0.25">
      <c r="B18" s="11">
        <v>383</v>
      </c>
      <c r="C18" s="13">
        <v>84</v>
      </c>
      <c r="D18" s="14">
        <v>41772</v>
      </c>
      <c r="E18" s="1">
        <v>41779</v>
      </c>
      <c r="F18" s="6">
        <v>6437</v>
      </c>
      <c r="G18">
        <v>109.28</v>
      </c>
      <c r="H18">
        <v>35.840000000000003</v>
      </c>
      <c r="I18" s="5">
        <f t="shared" si="0"/>
        <v>703435.36</v>
      </c>
      <c r="J18" s="2">
        <f t="shared" si="1"/>
        <v>230702.08000000002</v>
      </c>
    </row>
    <row r="19" spans="2:10" x14ac:dyDescent="0.25">
      <c r="B19" s="11">
        <v>709</v>
      </c>
      <c r="C19" s="13">
        <v>40</v>
      </c>
      <c r="D19" s="14">
        <v>41977</v>
      </c>
      <c r="E19" s="1">
        <v>41997</v>
      </c>
      <c r="F19" s="6">
        <v>9400</v>
      </c>
      <c r="G19">
        <v>109.28</v>
      </c>
      <c r="H19">
        <v>35.840000000000003</v>
      </c>
      <c r="I19" s="5">
        <f t="shared" si="0"/>
        <v>1027232</v>
      </c>
      <c r="J19" s="2">
        <f t="shared" si="1"/>
        <v>336896.00000000006</v>
      </c>
    </row>
    <row r="20" spans="2:10" x14ac:dyDescent="0.25">
      <c r="B20" s="11">
        <v>125</v>
      </c>
      <c r="C20" s="13">
        <v>93</v>
      </c>
      <c r="D20" s="14">
        <v>41649</v>
      </c>
      <c r="E20" s="1">
        <v>41681</v>
      </c>
      <c r="F20" s="6">
        <v>2722</v>
      </c>
      <c r="G20">
        <v>437.2</v>
      </c>
      <c r="H20">
        <v>263.33</v>
      </c>
      <c r="I20" s="5">
        <f t="shared" si="0"/>
        <v>1190058.3999999999</v>
      </c>
      <c r="J20" s="2">
        <f t="shared" si="1"/>
        <v>716784.26</v>
      </c>
    </row>
    <row r="21" spans="2:10" x14ac:dyDescent="0.25">
      <c r="B21" s="11">
        <v>351</v>
      </c>
      <c r="C21" s="13">
        <v>75</v>
      </c>
      <c r="D21" s="14">
        <v>41844</v>
      </c>
      <c r="E21" s="1">
        <v>41887</v>
      </c>
      <c r="F21" s="6">
        <v>3311</v>
      </c>
      <c r="G21">
        <v>152.58000000000001</v>
      </c>
      <c r="H21">
        <v>97.44</v>
      </c>
      <c r="I21" s="5">
        <f t="shared" si="0"/>
        <v>505192.38000000006</v>
      </c>
      <c r="J21" s="2">
        <f t="shared" si="1"/>
        <v>322623.83999999997</v>
      </c>
    </row>
    <row r="22" spans="2:10" x14ac:dyDescent="0.25">
      <c r="B22" s="11">
        <v>871</v>
      </c>
      <c r="C22" s="13">
        <v>50</v>
      </c>
      <c r="D22" s="14">
        <v>41966</v>
      </c>
      <c r="E22" s="1">
        <v>41984</v>
      </c>
      <c r="F22" s="6">
        <v>5448</v>
      </c>
      <c r="G22">
        <v>668.27</v>
      </c>
      <c r="H22">
        <v>502.54</v>
      </c>
      <c r="I22" s="5">
        <f t="shared" si="0"/>
        <v>3640734.96</v>
      </c>
      <c r="J22" s="2">
        <f t="shared" si="1"/>
        <v>2737837.92</v>
      </c>
    </row>
    <row r="23" spans="2:10" x14ac:dyDescent="0.25">
      <c r="B23" s="11">
        <v>726</v>
      </c>
      <c r="C23" s="13">
        <v>828</v>
      </c>
      <c r="D23" s="14">
        <v>41922</v>
      </c>
      <c r="E23" s="1">
        <v>41971</v>
      </c>
      <c r="F23" s="6">
        <v>9166</v>
      </c>
      <c r="G23">
        <v>651.21</v>
      </c>
      <c r="H23">
        <v>524.96</v>
      </c>
      <c r="I23" s="5">
        <f t="shared" si="0"/>
        <v>5968990.8600000003</v>
      </c>
      <c r="J23" s="2">
        <f t="shared" si="1"/>
        <v>4811783.3600000003</v>
      </c>
    </row>
    <row r="24" spans="2:10" x14ac:dyDescent="0.25">
      <c r="B24" s="11">
        <v>576</v>
      </c>
      <c r="C24" s="13">
        <v>55</v>
      </c>
      <c r="D24" s="14">
        <v>41914</v>
      </c>
      <c r="E24" s="1">
        <v>41930</v>
      </c>
      <c r="F24" s="6">
        <v>2669</v>
      </c>
      <c r="G24">
        <v>421.89</v>
      </c>
      <c r="H24">
        <v>364.69</v>
      </c>
      <c r="I24" s="5">
        <f t="shared" si="0"/>
        <v>1126024.4099999999</v>
      </c>
      <c r="J24" s="2">
        <f t="shared" si="1"/>
        <v>973357.61</v>
      </c>
    </row>
    <row r="25" spans="2:10" x14ac:dyDescent="0.25">
      <c r="B25" s="11">
        <v>701</v>
      </c>
      <c r="C25" s="13">
        <v>490</v>
      </c>
      <c r="D25" s="14">
        <v>41989</v>
      </c>
      <c r="E25" s="1">
        <v>42005</v>
      </c>
      <c r="F25" s="6">
        <v>9211</v>
      </c>
      <c r="G25">
        <v>205.7</v>
      </c>
      <c r="H25">
        <v>117.11</v>
      </c>
      <c r="I25" s="5">
        <f t="shared" si="0"/>
        <v>1894702.7</v>
      </c>
      <c r="J25" s="2">
        <f t="shared" si="1"/>
        <v>1078700.21</v>
      </c>
    </row>
    <row r="26" spans="2:10" x14ac:dyDescent="0.25">
      <c r="B26" s="11">
        <v>146</v>
      </c>
      <c r="C26" s="13">
        <v>345</v>
      </c>
      <c r="D26" s="14">
        <v>41742</v>
      </c>
      <c r="E26" s="1">
        <v>41761</v>
      </c>
      <c r="F26" s="6">
        <v>1978</v>
      </c>
      <c r="G26">
        <v>47.45</v>
      </c>
      <c r="H26">
        <v>31.79</v>
      </c>
      <c r="I26" s="5">
        <f t="shared" si="0"/>
        <v>93856.1</v>
      </c>
      <c r="J26" s="2">
        <f t="shared" si="1"/>
        <v>62880.619999999995</v>
      </c>
    </row>
    <row r="27" spans="2:10" x14ac:dyDescent="0.25">
      <c r="B27" s="11">
        <v>428</v>
      </c>
      <c r="C27" s="13">
        <v>67</v>
      </c>
      <c r="D27" s="14">
        <v>41942</v>
      </c>
      <c r="E27" s="1">
        <v>41984</v>
      </c>
      <c r="F27" s="6">
        <v>1179</v>
      </c>
      <c r="G27">
        <v>81.73</v>
      </c>
      <c r="H27">
        <v>56.67</v>
      </c>
      <c r="I27" s="5">
        <f t="shared" si="0"/>
        <v>96359.67</v>
      </c>
      <c r="J27" s="2">
        <f t="shared" si="1"/>
        <v>66813.930000000008</v>
      </c>
    </row>
    <row r="28" spans="2:10" x14ac:dyDescent="0.25">
      <c r="B28" s="11">
        <v>618</v>
      </c>
      <c r="C28" s="13">
        <v>115</v>
      </c>
      <c r="D28" s="14">
        <v>41945</v>
      </c>
      <c r="E28" s="1">
        <v>41976</v>
      </c>
      <c r="F28" s="6">
        <v>778</v>
      </c>
      <c r="G28">
        <v>651.21</v>
      </c>
      <c r="H28">
        <v>524.96</v>
      </c>
      <c r="I28" s="5">
        <f t="shared" si="0"/>
        <v>506641.38</v>
      </c>
      <c r="J28" s="2">
        <f t="shared" si="1"/>
        <v>408418.88</v>
      </c>
    </row>
    <row r="29" spans="2:10" x14ac:dyDescent="0.25">
      <c r="B29" s="11">
        <v>663</v>
      </c>
      <c r="C29" s="13">
        <v>145</v>
      </c>
      <c r="D29" s="14">
        <v>41688</v>
      </c>
      <c r="E29" s="1">
        <v>41688</v>
      </c>
      <c r="F29" s="6">
        <v>2900</v>
      </c>
      <c r="G29">
        <v>152.58000000000001</v>
      </c>
      <c r="H29">
        <v>97.44</v>
      </c>
      <c r="I29" s="5">
        <f t="shared" si="0"/>
        <v>442482.00000000006</v>
      </c>
      <c r="J29" s="2">
        <f t="shared" si="1"/>
        <v>282576</v>
      </c>
    </row>
    <row r="30" spans="2:10" x14ac:dyDescent="0.25">
      <c r="B30" s="11">
        <v>939</v>
      </c>
      <c r="C30" s="13">
        <v>122</v>
      </c>
      <c r="D30" s="14">
        <v>41952</v>
      </c>
      <c r="E30" s="1">
        <v>42000</v>
      </c>
      <c r="F30" s="6">
        <v>8479</v>
      </c>
      <c r="G30">
        <v>651.21</v>
      </c>
      <c r="H30">
        <v>524.96</v>
      </c>
      <c r="I30" s="5">
        <f t="shared" si="0"/>
        <v>5521609.5899999999</v>
      </c>
      <c r="J30" s="2">
        <f t="shared" si="1"/>
        <v>4451135.84</v>
      </c>
    </row>
    <row r="31" spans="2:10" x14ac:dyDescent="0.25">
      <c r="B31" s="11">
        <v>790</v>
      </c>
      <c r="C31" s="13">
        <v>125</v>
      </c>
      <c r="D31" s="14">
        <v>41840</v>
      </c>
      <c r="E31" s="1">
        <v>41878</v>
      </c>
      <c r="F31" s="6">
        <v>9354</v>
      </c>
      <c r="G31">
        <v>205.7</v>
      </c>
      <c r="H31">
        <v>117.11</v>
      </c>
      <c r="I31" s="5">
        <f t="shared" si="0"/>
        <v>1924117.7999999998</v>
      </c>
      <c r="J31" s="2">
        <f t="shared" si="1"/>
        <v>1095446.94</v>
      </c>
    </row>
    <row r="32" spans="2:10" x14ac:dyDescent="0.25">
      <c r="B32" s="11">
        <v>187</v>
      </c>
      <c r="C32" s="13">
        <v>127</v>
      </c>
      <c r="D32" s="14">
        <v>41919</v>
      </c>
      <c r="E32" s="1">
        <v>41937</v>
      </c>
      <c r="F32" s="6">
        <v>8496</v>
      </c>
      <c r="G32">
        <v>81.73</v>
      </c>
      <c r="H32">
        <v>56.67</v>
      </c>
      <c r="I32" s="5">
        <f t="shared" si="0"/>
        <v>694378.08000000007</v>
      </c>
      <c r="J32" s="2">
        <f t="shared" si="1"/>
        <v>481468.32</v>
      </c>
    </row>
    <row r="33" spans="2:10" x14ac:dyDescent="0.25">
      <c r="B33" s="11">
        <v>860</v>
      </c>
      <c r="C33" s="13">
        <v>129</v>
      </c>
      <c r="D33" s="14">
        <v>41730</v>
      </c>
      <c r="E33" s="1">
        <v>41771</v>
      </c>
      <c r="F33" s="6">
        <v>6596</v>
      </c>
      <c r="G33">
        <v>9.33</v>
      </c>
      <c r="H33">
        <v>6.92</v>
      </c>
      <c r="I33" s="5">
        <f t="shared" si="0"/>
        <v>61540.68</v>
      </c>
      <c r="J33" s="2">
        <f t="shared" si="1"/>
        <v>45644.32</v>
      </c>
    </row>
    <row r="34" spans="2:10" x14ac:dyDescent="0.25">
      <c r="B34" s="11">
        <v>254</v>
      </c>
      <c r="C34" s="13">
        <v>130</v>
      </c>
      <c r="D34" s="14">
        <v>41858</v>
      </c>
      <c r="E34" s="1">
        <v>41866</v>
      </c>
      <c r="F34" s="6">
        <v>1786</v>
      </c>
      <c r="G34">
        <v>437.2</v>
      </c>
      <c r="H34">
        <v>263.33</v>
      </c>
      <c r="I34" s="5">
        <f t="shared" si="0"/>
        <v>780839.2</v>
      </c>
      <c r="J34" s="2">
        <f t="shared" si="1"/>
        <v>470307.37999999995</v>
      </c>
    </row>
    <row r="35" spans="2:10" x14ac:dyDescent="0.25">
      <c r="B35" s="11">
        <v>749</v>
      </c>
      <c r="C35" s="13">
        <v>140</v>
      </c>
      <c r="D35" s="14">
        <v>41958</v>
      </c>
      <c r="E35" s="1">
        <v>41958</v>
      </c>
      <c r="F35" s="6">
        <v>6386</v>
      </c>
      <c r="G35">
        <v>668.27</v>
      </c>
      <c r="H35">
        <v>502.54</v>
      </c>
      <c r="I35" s="5">
        <f t="shared" si="0"/>
        <v>4267572.22</v>
      </c>
      <c r="J35" s="2">
        <f t="shared" si="1"/>
        <v>3209220.44</v>
      </c>
    </row>
    <row r="36" spans="2:10" x14ac:dyDescent="0.25">
      <c r="B36" s="11">
        <v>935</v>
      </c>
      <c r="C36" s="13">
        <v>140</v>
      </c>
      <c r="D36" s="14">
        <v>41886</v>
      </c>
      <c r="E36" s="1">
        <v>41895</v>
      </c>
      <c r="F36" s="6">
        <v>5372</v>
      </c>
      <c r="G36">
        <v>152.58000000000001</v>
      </c>
      <c r="H36">
        <v>97.44</v>
      </c>
      <c r="I36" s="5">
        <f t="shared" si="0"/>
        <v>819659.76</v>
      </c>
      <c r="J36" s="2">
        <f t="shared" si="1"/>
        <v>523447.68</v>
      </c>
    </row>
    <row r="37" spans="2:10" x14ac:dyDescent="0.25">
      <c r="B37" s="11">
        <v>91</v>
      </c>
      <c r="C37" s="13">
        <v>142</v>
      </c>
      <c r="D37" s="14">
        <v>41676</v>
      </c>
      <c r="E37" s="1">
        <v>41726</v>
      </c>
      <c r="F37" s="6">
        <v>3941</v>
      </c>
      <c r="G37">
        <v>109.28</v>
      </c>
      <c r="H37">
        <v>35.840000000000003</v>
      </c>
      <c r="I37" s="5">
        <f t="shared" si="0"/>
        <v>430672.48</v>
      </c>
      <c r="J37" s="2">
        <f t="shared" si="1"/>
        <v>141245.44</v>
      </c>
    </row>
    <row r="38" spans="2:10" x14ac:dyDescent="0.25">
      <c r="B38" s="11">
        <v>942</v>
      </c>
      <c r="C38" s="13">
        <v>143</v>
      </c>
      <c r="D38" s="14">
        <v>41863</v>
      </c>
      <c r="E38" s="1">
        <v>41868</v>
      </c>
      <c r="F38" s="6">
        <v>9826</v>
      </c>
      <c r="G38">
        <v>651.21</v>
      </c>
      <c r="H38">
        <v>524.96</v>
      </c>
      <c r="I38" s="5">
        <f t="shared" si="0"/>
        <v>6398789.46</v>
      </c>
      <c r="J38" s="2">
        <f t="shared" si="1"/>
        <v>5158256.96</v>
      </c>
    </row>
    <row r="39" spans="2:10" x14ac:dyDescent="0.25">
      <c r="B39" s="11">
        <v>773</v>
      </c>
      <c r="C39" s="13">
        <v>146</v>
      </c>
      <c r="D39" s="14">
        <v>41979</v>
      </c>
      <c r="E39" s="1">
        <v>42003</v>
      </c>
      <c r="F39" s="6">
        <v>1414</v>
      </c>
      <c r="G39">
        <v>421.89</v>
      </c>
      <c r="H39">
        <v>364.69</v>
      </c>
      <c r="I39" s="5">
        <f t="shared" si="0"/>
        <v>596552.46</v>
      </c>
      <c r="J39" s="2">
        <f t="shared" si="1"/>
        <v>515671.66</v>
      </c>
    </row>
    <row r="40" spans="2:10" x14ac:dyDescent="0.25">
      <c r="B40" s="11">
        <v>332</v>
      </c>
      <c r="C40" s="13">
        <v>151</v>
      </c>
      <c r="D40" s="14">
        <v>41867</v>
      </c>
      <c r="E40" s="1">
        <v>41917</v>
      </c>
      <c r="F40" s="6">
        <v>5145</v>
      </c>
      <c r="G40">
        <v>109.28</v>
      </c>
      <c r="H40">
        <v>35.840000000000003</v>
      </c>
      <c r="I40" s="5">
        <f t="shared" si="0"/>
        <v>562245.6</v>
      </c>
      <c r="J40" s="2">
        <f t="shared" si="1"/>
        <v>184396.80000000002</v>
      </c>
    </row>
    <row r="41" spans="2:10" x14ac:dyDescent="0.25">
      <c r="B41" s="11">
        <v>57</v>
      </c>
      <c r="C41" s="13">
        <v>242</v>
      </c>
      <c r="D41" s="14">
        <v>41741</v>
      </c>
      <c r="E41" s="1">
        <v>41744</v>
      </c>
      <c r="F41" s="6">
        <v>8327</v>
      </c>
      <c r="G41">
        <v>9.33</v>
      </c>
      <c r="H41">
        <v>6.92</v>
      </c>
      <c r="I41" s="5">
        <f t="shared" si="0"/>
        <v>77690.91</v>
      </c>
      <c r="J41" s="2">
        <f t="shared" si="1"/>
        <v>57622.84</v>
      </c>
    </row>
    <row r="42" spans="2:10" x14ac:dyDescent="0.25">
      <c r="B42" s="11">
        <v>950</v>
      </c>
      <c r="C42" s="13">
        <v>967</v>
      </c>
      <c r="D42" s="14">
        <v>41700</v>
      </c>
      <c r="E42" s="1">
        <v>41749</v>
      </c>
      <c r="F42" s="6">
        <v>8497</v>
      </c>
      <c r="G42">
        <v>9.33</v>
      </c>
      <c r="H42">
        <v>6.92</v>
      </c>
      <c r="I42" s="5">
        <f t="shared" si="0"/>
        <v>79277.009999999995</v>
      </c>
      <c r="J42" s="2">
        <f t="shared" si="1"/>
        <v>58799.24</v>
      </c>
    </row>
    <row r="43" spans="2:10" x14ac:dyDescent="0.25">
      <c r="B43" s="11">
        <v>897</v>
      </c>
      <c r="C43" s="13">
        <v>158</v>
      </c>
      <c r="D43" s="14">
        <v>41999</v>
      </c>
      <c r="E43" s="1">
        <v>42042</v>
      </c>
      <c r="F43" s="6">
        <v>5577</v>
      </c>
      <c r="G43">
        <v>421.89</v>
      </c>
      <c r="H43">
        <v>364.69</v>
      </c>
      <c r="I43" s="5">
        <f t="shared" si="0"/>
        <v>2352880.5299999998</v>
      </c>
      <c r="J43" s="2">
        <f t="shared" si="1"/>
        <v>2033876.13</v>
      </c>
    </row>
    <row r="44" spans="2:10" x14ac:dyDescent="0.25">
      <c r="B44" s="11">
        <v>63</v>
      </c>
      <c r="C44" s="13">
        <v>769</v>
      </c>
      <c r="D44" s="14">
        <v>41671</v>
      </c>
      <c r="E44" s="1">
        <v>41696</v>
      </c>
      <c r="F44" s="6">
        <v>5330</v>
      </c>
      <c r="G44">
        <v>154.06</v>
      </c>
      <c r="H44">
        <v>90.93</v>
      </c>
      <c r="I44" s="5">
        <f t="shared" si="0"/>
        <v>821139.8</v>
      </c>
      <c r="J44" s="2">
        <f t="shared" si="1"/>
        <v>484656.9</v>
      </c>
    </row>
    <row r="45" spans="2:10" x14ac:dyDescent="0.25">
      <c r="B45" s="11">
        <v>511</v>
      </c>
      <c r="C45" s="13">
        <v>769</v>
      </c>
      <c r="D45" s="14">
        <v>41916</v>
      </c>
      <c r="E45" s="1">
        <v>41953</v>
      </c>
      <c r="F45" s="6">
        <v>6755</v>
      </c>
      <c r="G45">
        <v>437.2</v>
      </c>
      <c r="H45">
        <v>263.33</v>
      </c>
      <c r="I45" s="5">
        <f t="shared" si="0"/>
        <v>2953286</v>
      </c>
      <c r="J45" s="2">
        <f t="shared" si="1"/>
        <v>1778794.15</v>
      </c>
    </row>
    <row r="46" spans="2:10" x14ac:dyDescent="0.25">
      <c r="B46" s="11">
        <v>781</v>
      </c>
      <c r="C46" s="13">
        <v>170</v>
      </c>
      <c r="D46" s="14">
        <v>41991</v>
      </c>
      <c r="E46" s="1">
        <v>42024</v>
      </c>
      <c r="F46" s="6">
        <v>9229</v>
      </c>
      <c r="G46">
        <v>109.28</v>
      </c>
      <c r="H46">
        <v>35.840000000000003</v>
      </c>
      <c r="I46" s="5">
        <f t="shared" si="0"/>
        <v>1008545.12</v>
      </c>
      <c r="J46" s="2">
        <f t="shared" si="1"/>
        <v>330767.36000000004</v>
      </c>
    </row>
    <row r="47" spans="2:10" x14ac:dyDescent="0.25">
      <c r="B47" s="11">
        <v>792</v>
      </c>
      <c r="C47" s="13">
        <v>174</v>
      </c>
      <c r="D47" s="14">
        <v>41654</v>
      </c>
      <c r="E47" s="1">
        <v>41669</v>
      </c>
      <c r="F47" s="6">
        <v>5407</v>
      </c>
      <c r="G47">
        <v>109.28</v>
      </c>
      <c r="H47">
        <v>35.840000000000003</v>
      </c>
      <c r="I47" s="5">
        <f t="shared" si="0"/>
        <v>590876.96</v>
      </c>
      <c r="J47" s="2">
        <f t="shared" si="1"/>
        <v>193786.88</v>
      </c>
    </row>
    <row r="48" spans="2:10" x14ac:dyDescent="0.25">
      <c r="B48" s="11">
        <v>999</v>
      </c>
      <c r="C48" s="13">
        <v>973</v>
      </c>
      <c r="D48" s="14">
        <v>41980</v>
      </c>
      <c r="E48" s="1">
        <v>42007</v>
      </c>
      <c r="F48" s="6">
        <v>8422</v>
      </c>
      <c r="G48">
        <v>9.33</v>
      </c>
      <c r="H48">
        <v>6.92</v>
      </c>
      <c r="I48" s="5">
        <f t="shared" si="0"/>
        <v>78577.259999999995</v>
      </c>
      <c r="J48" s="2">
        <f t="shared" si="1"/>
        <v>58280.24</v>
      </c>
    </row>
    <row r="49" spans="2:10" x14ac:dyDescent="0.25">
      <c r="B49" s="11">
        <v>278</v>
      </c>
      <c r="C49" s="13">
        <v>184</v>
      </c>
      <c r="D49" s="14">
        <v>41805</v>
      </c>
      <c r="E49" s="1">
        <v>41812</v>
      </c>
      <c r="F49" s="6">
        <v>5348</v>
      </c>
      <c r="G49">
        <v>255.28</v>
      </c>
      <c r="H49">
        <v>159.41999999999999</v>
      </c>
      <c r="I49" s="5">
        <f t="shared" si="0"/>
        <v>1365237.44</v>
      </c>
      <c r="J49" s="2">
        <f t="shared" si="1"/>
        <v>852578.15999999992</v>
      </c>
    </row>
    <row r="50" spans="2:10" x14ac:dyDescent="0.25">
      <c r="B50" s="11">
        <v>319</v>
      </c>
      <c r="C50" s="13">
        <v>190</v>
      </c>
      <c r="D50" s="14">
        <v>41959</v>
      </c>
      <c r="E50" s="1">
        <v>41994</v>
      </c>
      <c r="F50" s="6">
        <v>5966</v>
      </c>
      <c r="G50">
        <v>9.33</v>
      </c>
      <c r="H50">
        <v>6.92</v>
      </c>
      <c r="I50" s="5">
        <f t="shared" si="0"/>
        <v>55662.78</v>
      </c>
      <c r="J50" s="2">
        <f t="shared" si="1"/>
        <v>41284.720000000001</v>
      </c>
    </row>
    <row r="51" spans="2:10" x14ac:dyDescent="0.25">
      <c r="B51" s="11">
        <v>867</v>
      </c>
      <c r="C51" s="13">
        <v>198</v>
      </c>
      <c r="D51" s="14">
        <v>41782</v>
      </c>
      <c r="E51" s="1">
        <v>41818</v>
      </c>
      <c r="F51" s="6">
        <v>1376</v>
      </c>
      <c r="G51">
        <v>668.27</v>
      </c>
      <c r="H51">
        <v>502.54</v>
      </c>
      <c r="I51" s="5">
        <f t="shared" si="0"/>
        <v>919539.52</v>
      </c>
      <c r="J51" s="2">
        <f t="shared" si="1"/>
        <v>691495.04</v>
      </c>
    </row>
    <row r="52" spans="2:10" x14ac:dyDescent="0.25">
      <c r="B52" s="11">
        <v>994</v>
      </c>
      <c r="C52" s="13">
        <v>202</v>
      </c>
      <c r="D52" s="14">
        <v>41793</v>
      </c>
      <c r="E52" s="1">
        <v>41799</v>
      </c>
      <c r="F52" s="6">
        <v>967</v>
      </c>
      <c r="G52">
        <v>437.2</v>
      </c>
      <c r="H52">
        <v>263.33</v>
      </c>
      <c r="I52" s="5">
        <f t="shared" si="0"/>
        <v>422772.39999999997</v>
      </c>
      <c r="J52" s="2">
        <f t="shared" si="1"/>
        <v>254640.11</v>
      </c>
    </row>
    <row r="53" spans="2:10" x14ac:dyDescent="0.25">
      <c r="D53" s="1"/>
      <c r="E53" s="1"/>
      <c r="F53" s="16">
        <f>SUBTOTAL(105,Table1[Units Sold])</f>
        <v>277</v>
      </c>
      <c r="I53" s="17"/>
      <c r="J53" s="2"/>
    </row>
    <row r="1048576" spans="9:10" x14ac:dyDescent="0.25">
      <c r="I1048576" s="5">
        <f>SUM(I2:I1048575)</f>
        <v>81084241.269999996</v>
      </c>
      <c r="J1048576" s="2">
        <f>SUM(J2:J1048575)</f>
        <v>57953733.719999999</v>
      </c>
    </row>
  </sheetData>
  <mergeCells count="1">
    <mergeCell ref="A1:A6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2025-06-21T04:39:36Z</dcterms:created>
  <dcterms:modified xsi:type="dcterms:W3CDTF">2025-06-25T06:49:37Z</dcterms:modified>
</cp:coreProperties>
</file>