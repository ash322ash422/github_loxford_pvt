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1C135313-CC43-4B2F-B8C5-626A5F39E99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_Goal_seek_basic" sheetId="1" r:id="rId1"/>
    <sheet name="2_Goal_seek_middle" sheetId="3" r:id="rId2"/>
    <sheet name="3_Goal_seek_adv" sheetId="8" r:id="rId3"/>
    <sheet name="4_Goal_seek_adv_pt2" sheetId="9" r:id="rId4"/>
    <sheet name="3_PMT Explain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9" l="1"/>
  <c r="B5" i="8"/>
  <c r="B5" i="3"/>
  <c r="B3" i="1"/>
  <c r="B3" i="8"/>
  <c r="B6" i="8" s="1"/>
  <c r="D2" i="5"/>
  <c r="E2" i="5" s="1"/>
  <c r="F2" i="5" s="1"/>
  <c r="B3" i="5" s="1"/>
  <c r="B5" i="9" l="1"/>
  <c r="B6" i="9"/>
  <c r="D3" i="5"/>
  <c r="E3" i="5" s="1"/>
  <c r="F3" i="5" s="1"/>
  <c r="B4" i="5" s="1"/>
  <c r="D4" i="5" l="1"/>
  <c r="E4" i="5" s="1"/>
  <c r="F4" i="5"/>
  <c r="B5" i="5" s="1"/>
  <c r="F5" i="5" s="1"/>
  <c r="B6" i="5" s="1"/>
  <c r="D5" i="5"/>
  <c r="E5" i="5" s="1"/>
  <c r="D6" i="5" l="1"/>
  <c r="E6" i="5" s="1"/>
  <c r="F6" i="5" s="1"/>
  <c r="B7" i="5" s="1"/>
  <c r="D7" i="5" l="1"/>
  <c r="E7" i="5" s="1"/>
  <c r="F7" i="5"/>
  <c r="B8" i="5" s="1"/>
  <c r="D8" i="5" l="1"/>
  <c r="E8" i="5" s="1"/>
  <c r="F8" i="5"/>
  <c r="B9" i="5" s="1"/>
  <c r="D9" i="5" l="1"/>
  <c r="E9" i="5" s="1"/>
  <c r="F9" i="5" s="1"/>
  <c r="B10" i="5" s="1"/>
  <c r="D10" i="5" l="1"/>
  <c r="E10" i="5" s="1"/>
  <c r="F10" i="5"/>
  <c r="B11" i="5" s="1"/>
  <c r="D11" i="5" s="1"/>
  <c r="E11" i="5" s="1"/>
  <c r="F11" i="5" s="1"/>
  <c r="B12" i="5" s="1"/>
  <c r="D12" i="5" l="1"/>
  <c r="E12" i="5" s="1"/>
  <c r="F12" i="5"/>
  <c r="B13" i="5" s="1"/>
  <c r="D13" i="5" l="1"/>
  <c r="E13" i="5" s="1"/>
  <c r="F13" i="5"/>
  <c r="B14" i="5" s="1"/>
  <c r="D14" i="5" l="1"/>
  <c r="E14" i="5" s="1"/>
  <c r="F14" i="5"/>
  <c r="B15" i="5" s="1"/>
  <c r="D15" i="5" s="1"/>
  <c r="E15" i="5" s="1"/>
  <c r="F15" i="5" s="1"/>
  <c r="B16" i="5" s="1"/>
  <c r="D16" i="5" l="1"/>
  <c r="E16" i="5" s="1"/>
  <c r="F16" i="5"/>
  <c r="B17" i="5" s="1"/>
  <c r="D17" i="5" l="1"/>
  <c r="E17" i="5" s="1"/>
  <c r="F17" i="5"/>
  <c r="B18" i="5" s="1"/>
  <c r="D18" i="5" l="1"/>
  <c r="E18" i="5" s="1"/>
  <c r="F18" i="5" s="1"/>
  <c r="B19" i="5" s="1"/>
  <c r="D19" i="5" s="1"/>
  <c r="E19" i="5" s="1"/>
  <c r="F19" i="5" s="1"/>
  <c r="B20" i="5" s="1"/>
  <c r="D20" i="5" s="1"/>
  <c r="E20" i="5" s="1"/>
  <c r="F20" i="5" s="1"/>
  <c r="B21" i="5" s="1"/>
  <c r="D21" i="5" s="1"/>
  <c r="E21" i="5" s="1"/>
  <c r="F21" i="5" s="1"/>
  <c r="B22" i="5" s="1"/>
  <c r="D22" i="5" l="1"/>
  <c r="E22" i="5" s="1"/>
  <c r="F22" i="5" s="1"/>
  <c r="B23" i="5" s="1"/>
  <c r="D23" i="5" s="1"/>
  <c r="E23" i="5" s="1"/>
  <c r="F23" i="5" s="1"/>
  <c r="B24" i="5" s="1"/>
  <c r="D24" i="5" l="1"/>
  <c r="E24" i="5" s="1"/>
  <c r="F24" i="5" s="1"/>
  <c r="B25" i="5" s="1"/>
  <c r="D25" i="5" l="1"/>
  <c r="E25" i="5" s="1"/>
  <c r="F25" i="5" s="1"/>
  <c r="B26" i="5" s="1"/>
  <c r="D26" i="5" l="1"/>
  <c r="E26" i="5" s="1"/>
  <c r="F26" i="5"/>
  <c r="B27" i="5" s="1"/>
  <c r="D27" i="5" l="1"/>
  <c r="E27" i="5" s="1"/>
  <c r="F27" i="5" s="1"/>
  <c r="B28" i="5" s="1"/>
  <c r="D28" i="5" l="1"/>
  <c r="E28" i="5" s="1"/>
  <c r="F28" i="5" s="1"/>
  <c r="B29" i="5" s="1"/>
  <c r="D29" i="5" l="1"/>
  <c r="E29" i="5" s="1"/>
  <c r="F29" i="5" s="1"/>
  <c r="B30" i="5" s="1"/>
  <c r="D30" i="5" l="1"/>
  <c r="E30" i="5" s="1"/>
  <c r="F30" i="5" s="1"/>
  <c r="B31" i="5" s="1"/>
  <c r="D31" i="5" l="1"/>
  <c r="E31" i="5" s="1"/>
  <c r="F31" i="5" s="1"/>
  <c r="B32" i="5" s="1"/>
  <c r="D32" i="5" s="1"/>
  <c r="E32" i="5" s="1"/>
  <c r="F32" i="5" s="1"/>
  <c r="B33" i="5" s="1"/>
  <c r="D33" i="5" s="1"/>
  <c r="E33" i="5" s="1"/>
  <c r="F33" i="5" s="1"/>
  <c r="B34" i="5" s="1"/>
  <c r="D34" i="5" l="1"/>
  <c r="E34" i="5" s="1"/>
  <c r="F34" i="5"/>
  <c r="B35" i="5" s="1"/>
  <c r="D35" i="5" l="1"/>
  <c r="E35" i="5" s="1"/>
  <c r="F35" i="5"/>
  <c r="B36" i="5" s="1"/>
  <c r="D36" i="5" l="1"/>
  <c r="E36" i="5" s="1"/>
  <c r="F36" i="5"/>
  <c r="B37" i="5" s="1"/>
  <c r="D37" i="5" l="1"/>
  <c r="E37" i="5" s="1"/>
  <c r="F37" i="5"/>
  <c r="B38" i="5" s="1"/>
  <c r="D38" i="5" l="1"/>
  <c r="E38" i="5" s="1"/>
  <c r="F38" i="5" s="1"/>
  <c r="B39" i="5" s="1"/>
  <c r="D39" i="5" l="1"/>
  <c r="E39" i="5" s="1"/>
  <c r="F39" i="5" s="1"/>
  <c r="B40" i="5" s="1"/>
  <c r="D40" i="5" l="1"/>
  <c r="E40" i="5" s="1"/>
  <c r="F40" i="5"/>
  <c r="B41" i="5" s="1"/>
  <c r="D41" i="5" l="1"/>
  <c r="E41" i="5" s="1"/>
  <c r="F41" i="5"/>
  <c r="B42" i="5" s="1"/>
  <c r="D42" i="5" l="1"/>
  <c r="E42" i="5" s="1"/>
  <c r="F42" i="5"/>
  <c r="B43" i="5" s="1"/>
  <c r="D43" i="5" s="1"/>
  <c r="E43" i="5" s="1"/>
  <c r="F43" i="5" s="1"/>
  <c r="B44" i="5" s="1"/>
  <c r="D44" i="5" l="1"/>
  <c r="E44" i="5" s="1"/>
  <c r="F44" i="5"/>
  <c r="B45" i="5" s="1"/>
  <c r="D45" i="5" l="1"/>
  <c r="E45" i="5" s="1"/>
  <c r="F45" i="5"/>
  <c r="B46" i="5" s="1"/>
  <c r="D46" i="5" s="1"/>
  <c r="E46" i="5" s="1"/>
  <c r="F46" i="5" s="1"/>
  <c r="B47" i="5" s="1"/>
  <c r="D47" i="5" l="1"/>
  <c r="E47" i="5" s="1"/>
  <c r="F47" i="5"/>
  <c r="B48" i="5" s="1"/>
  <c r="D48" i="5" l="1"/>
  <c r="E48" i="5" s="1"/>
  <c r="F48" i="5"/>
  <c r="B49" i="5" s="1"/>
  <c r="D49" i="5" s="1"/>
  <c r="E49" i="5" s="1"/>
  <c r="F49" i="5" s="1"/>
  <c r="B50" i="5" s="1"/>
  <c r="D50" i="5" l="1"/>
  <c r="E50" i="5" s="1"/>
  <c r="F50" i="5"/>
  <c r="B51" i="5" s="1"/>
  <c r="D51" i="5" s="1"/>
  <c r="E51" i="5" s="1"/>
  <c r="F51" i="5" s="1"/>
  <c r="B52" i="5" s="1"/>
  <c r="D52" i="5" l="1"/>
  <c r="E52" i="5" s="1"/>
  <c r="F52" i="5"/>
  <c r="B53" i="5" s="1"/>
  <c r="D53" i="5" l="1"/>
  <c r="E53" i="5" s="1"/>
  <c r="F53" i="5" s="1"/>
  <c r="B54" i="5" s="1"/>
  <c r="D54" i="5" s="1"/>
  <c r="E54" i="5" s="1"/>
  <c r="F54" i="5" s="1"/>
  <c r="B55" i="5" s="1"/>
  <c r="D55" i="5" l="1"/>
  <c r="E55" i="5" s="1"/>
  <c r="F55" i="5"/>
  <c r="B56" i="5" s="1"/>
  <c r="D56" i="5" l="1"/>
  <c r="E56" i="5" s="1"/>
  <c r="F56" i="5"/>
  <c r="B57" i="5" s="1"/>
  <c r="D57" i="5" l="1"/>
  <c r="E57" i="5" s="1"/>
  <c r="F57" i="5"/>
  <c r="B58" i="5" s="1"/>
  <c r="D58" i="5" l="1"/>
  <c r="E58" i="5" s="1"/>
  <c r="F58" i="5"/>
  <c r="B59" i="5" s="1"/>
  <c r="D59" i="5" l="1"/>
  <c r="E59" i="5" s="1"/>
  <c r="F59" i="5"/>
  <c r="B60" i="5" s="1"/>
  <c r="D60" i="5" l="1"/>
  <c r="E60" i="5" s="1"/>
  <c r="F60" i="5"/>
  <c r="B61" i="5" s="1"/>
  <c r="D61" i="5" s="1"/>
  <c r="E61" i="5" s="1"/>
  <c r="F61" i="5" s="1"/>
</calcChain>
</file>

<file path=xl/sharedStrings.xml><?xml version="1.0" encoding="utf-8"?>
<sst xmlns="http://schemas.openxmlformats.org/spreadsheetml/2006/main" count="155" uniqueCount="141">
  <si>
    <t>What is it?</t>
  </si>
  <si>
    <t>Example:</t>
  </si>
  <si>
    <t>Profit = Revenue -Costs</t>
  </si>
  <si>
    <t>Let’s say:</t>
  </si>
  <si>
    <t>Revenue is $50,000</t>
  </si>
  <si>
    <t>Costs are $30,000</t>
  </si>
  <si>
    <t>Profit = $20,000</t>
  </si>
  <si>
    <t>Revenue</t>
  </si>
  <si>
    <t>Cost</t>
  </si>
  <si>
    <t>Profit</t>
  </si>
  <si>
    <t>Cell B1: Revenue</t>
  </si>
  <si>
    <t>Cell B2: Costs</t>
  </si>
  <si>
    <t>Cell B3: Profit (=B1 - B2)</t>
  </si>
  <si>
    <r>
      <t xml:space="preserve">The bank charges </t>
    </r>
    <r>
      <rPr>
        <b/>
        <sz val="11"/>
        <color theme="1"/>
        <rFont val="Calibri"/>
        <family val="2"/>
        <scheme val="minor"/>
      </rPr>
      <t>6% annual interest</t>
    </r>
    <r>
      <rPr>
        <sz val="11"/>
        <color theme="1"/>
        <rFont val="Calibri"/>
        <family val="2"/>
        <scheme val="minor"/>
      </rPr>
      <t xml:space="preserve"> (compounded monthly).</t>
    </r>
  </si>
  <si>
    <r>
      <t xml:space="preserve">You plan to repay it over </t>
    </r>
    <r>
      <rPr>
        <b/>
        <sz val="11"/>
        <color theme="1"/>
        <rFont val="Calibri"/>
        <family val="2"/>
        <scheme val="minor"/>
      </rPr>
      <t>5 years</t>
    </r>
    <r>
      <rPr>
        <sz val="11"/>
        <color theme="1"/>
        <rFont val="Calibri"/>
        <family val="2"/>
        <scheme val="minor"/>
      </rPr>
      <t xml:space="preserve"> (60 months).</t>
    </r>
  </si>
  <si>
    <t>So you want to find out:</t>
  </si>
  <si>
    <t>Loan Term in Years (5)</t>
  </si>
  <si>
    <t>The trick</t>
  </si>
  <si>
    <r>
      <t xml:space="preserve">The </t>
    </r>
    <r>
      <rPr>
        <b/>
        <sz val="10"/>
        <color theme="1"/>
        <rFont val="Arial Unicode MS"/>
      </rPr>
      <t>PMT</t>
    </r>
    <r>
      <rPr>
        <sz val="11"/>
        <color theme="1"/>
        <rFont val="Calibri"/>
        <family val="2"/>
        <scheme val="minor"/>
      </rPr>
      <t xml:space="preserve"> function calculates the payment for a loan based on constant payments and constant interest.</t>
    </r>
  </si>
  <si>
    <t>Use Goal Seek</t>
  </si>
  <si>
    <t>→ This calculates the payment for your current loan amount.</t>
  </si>
  <si>
    <r>
      <t xml:space="preserve">3. Go to </t>
    </r>
    <r>
      <rPr>
        <b/>
        <sz val="11"/>
        <color theme="1"/>
        <rFont val="Calibri"/>
        <family val="2"/>
        <scheme val="minor"/>
      </rPr>
      <t>Data → What-If Analysis → Goal Seek</t>
    </r>
  </si>
  <si>
    <t>🎉 Result</t>
  </si>
  <si>
    <t>Why it’s useful</t>
  </si>
  <si>
    <r>
      <t xml:space="preserve">Small businesses often use this to check </t>
    </r>
    <r>
      <rPr>
        <b/>
        <sz val="11"/>
        <color theme="1"/>
        <rFont val="Calibri"/>
        <family val="2"/>
        <scheme val="minor"/>
      </rPr>
      <t>affordable borrowing levels</t>
    </r>
    <r>
      <rPr>
        <sz val="11"/>
        <color theme="1"/>
        <rFont val="Calibri"/>
        <family val="2"/>
        <scheme val="minor"/>
      </rPr>
      <t>.</t>
    </r>
  </si>
  <si>
    <r>
      <t xml:space="preserve">Home buyers use Goal Seek to find </t>
    </r>
    <r>
      <rPr>
        <b/>
        <sz val="11"/>
        <color theme="1"/>
        <rFont val="Calibri"/>
        <family val="2"/>
        <scheme val="minor"/>
      </rPr>
      <t>what house price they can afford</t>
    </r>
    <r>
      <rPr>
        <sz val="11"/>
        <color theme="1"/>
        <rFont val="Calibri"/>
        <family val="2"/>
        <scheme val="minor"/>
      </rPr>
      <t xml:space="preserve"> given a target mortgage payment.</t>
    </r>
  </si>
  <si>
    <r>
      <t xml:space="preserve">Investors use it for </t>
    </r>
    <r>
      <rPr>
        <b/>
        <sz val="11"/>
        <color theme="1"/>
        <rFont val="Calibri"/>
        <family val="2"/>
        <scheme val="minor"/>
      </rPr>
      <t>break-even</t>
    </r>
    <r>
      <rPr>
        <sz val="11"/>
        <color theme="1"/>
        <rFont val="Calibri"/>
        <family val="2"/>
        <scheme val="minor"/>
      </rPr>
      <t xml:space="preserve"> analysis too (e.g., what sales volume to hit to reach profit goals).</t>
    </r>
  </si>
  <si>
    <t>Excel changes Revenue to $55,000 to make Profit = $25,000.</t>
  </si>
  <si>
    <t>Simple Goal Seek Example: Sales Target</t>
  </si>
  <si>
    <t>You want to know:</t>
  </si>
  <si>
    <t>Selling price per T-shirt</t>
  </si>
  <si>
    <t>Variable cost per T-shirt</t>
  </si>
  <si>
    <t>Fixed monthly costs</t>
  </si>
  <si>
    <t>Explanation:</t>
  </si>
  <si>
    <t>Profit = (Units Sold × (Selling Price − Variable Cost)) − Fixed Costs</t>
  </si>
  <si>
    <t>Result</t>
  </si>
  <si>
    <t>So you can explain:</t>
  </si>
  <si>
    <t>You need to sell at least 67 T-shirts per month to cover all your costs and break even.</t>
  </si>
  <si>
    <t>Scenario: You run a small shop that sells T-shirts.</t>
  </si>
  <si>
    <t>Profit Formula</t>
  </si>
  <si>
    <t xml:space="preserve"> Goal Seek: Find Break-Even Units</t>
  </si>
  <si>
    <t>Scenario</t>
  </si>
  <si>
    <t>B4</t>
  </si>
  <si>
    <r>
      <t>6. By changing cell</t>
    </r>
    <r>
      <rPr>
        <sz val="11"/>
        <color theme="1"/>
        <rFont val="Calibri"/>
        <family val="2"/>
        <scheme val="minor"/>
      </rPr>
      <t>: B4 (loan amount)</t>
    </r>
  </si>
  <si>
    <t>Excel will adjust B4 until your calculated payment equals exactly $900.</t>
  </si>
  <si>
    <r>
      <t>4. Set cell</t>
    </r>
    <r>
      <rPr>
        <sz val="11"/>
        <color theme="1"/>
        <rFont val="Calibri"/>
        <family val="2"/>
        <scheme val="minor"/>
      </rPr>
      <t>: B5 (the calculated payment)</t>
    </r>
  </si>
  <si>
    <r>
      <t xml:space="preserve">You know how much you </t>
    </r>
    <r>
      <rPr>
        <i/>
        <sz val="11"/>
        <color theme="1"/>
        <rFont val="Calibri"/>
        <family val="2"/>
        <scheme val="minor"/>
      </rPr>
      <t>can afford to pay</t>
    </r>
    <r>
      <rPr>
        <sz val="11"/>
        <color theme="1"/>
        <rFont val="Calibri"/>
        <family val="2"/>
        <scheme val="minor"/>
      </rPr>
      <t xml:space="preserve"> each month — say </t>
    </r>
    <r>
      <rPr>
        <b/>
        <sz val="11"/>
        <color theme="1"/>
        <rFont val="Calibri"/>
        <family val="2"/>
        <scheme val="minor"/>
      </rPr>
      <t>$9000</t>
    </r>
    <r>
      <rPr>
        <sz val="11"/>
        <color theme="1"/>
        <rFont val="Calibri"/>
        <family val="2"/>
        <scheme val="minor"/>
      </rPr>
      <t xml:space="preserve"> — but you’re not sure if that’s enough to fully repay the loan in 5 years.</t>
    </r>
  </si>
  <si>
    <r>
      <t xml:space="preserve">You took a loan of </t>
    </r>
    <r>
      <rPr>
        <b/>
        <sz val="11"/>
        <color theme="1"/>
        <rFont val="Calibri"/>
        <family val="2"/>
        <scheme val="minor"/>
      </rPr>
      <t>$60,000</t>
    </r>
    <r>
      <rPr>
        <sz val="11"/>
        <color theme="1"/>
        <rFont val="Calibri"/>
        <family val="2"/>
        <scheme val="minor"/>
      </rPr>
      <t xml:space="preserve"> to buy equipment for your small business.</t>
    </r>
  </si>
  <si>
    <t>Here, you already know the payment ($9000) — you want to find the loan amount that matches that payment.</t>
  </si>
  <si>
    <t>1. Type your guess for the loan amount in B4 (say, $60,000).</t>
  </si>
  <si>
    <t>OPTIONAL (PMT EXPLAINED)</t>
  </si>
  <si>
    <t>Detail</t>
  </si>
  <si>
    <t>Value</t>
  </si>
  <si>
    <t>Loan Amount (PV)</t>
  </si>
  <si>
    <t>₹6,00,000</t>
  </si>
  <si>
    <t>Interest Rate (annual)</t>
  </si>
  <si>
    <t>Loan Tenure</t>
  </si>
  <si>
    <t>5 years (60 months)</t>
  </si>
  <si>
    <t>Monthly Interest Rate</t>
  </si>
  <si>
    <t>10% / 12 = 0.8333%</t>
  </si>
  <si>
    <t>Monthly Payment (PMT)</t>
  </si>
  <si>
    <t>₹12,749.60 (approx)</t>
  </si>
  <si>
    <t>Formula Logic Behind the Schedule</t>
  </si>
  <si>
    <t>For each month:</t>
  </si>
  <si>
    <t>Interest = Remaining Balance × Monthly Rate</t>
  </si>
  <si>
    <t>Principal = Monthly Payment − Interest</t>
  </si>
  <si>
    <t>New Balance = Previous Balance − Principal</t>
  </si>
  <si>
    <t>Amortization Schedule (First 6 Months Only)</t>
  </si>
  <si>
    <t>Month</t>
  </si>
  <si>
    <t>Payment (₹)</t>
  </si>
  <si>
    <t>Interest (₹)</t>
  </si>
  <si>
    <t>Principal (₹)</t>
  </si>
  <si>
    <t>Remaining Balance (₹)</t>
  </si>
  <si>
    <t>5,92,250.40</t>
  </si>
  <si>
    <t>5,84,436.22</t>
  </si>
  <si>
    <t>5,76,556.92</t>
  </si>
  <si>
    <t>5,68,611.96</t>
  </si>
  <si>
    <t>5,60,600.79</t>
  </si>
  <si>
    <t>5,52,522.86</t>
  </si>
  <si>
    <t>Full Amortization Schedule (Optional in Excel)</t>
  </si>
  <si>
    <t>In Excel:</t>
  </si>
  <si>
    <r>
      <t>1. Column A:</t>
    </r>
    <r>
      <rPr>
        <sz val="11"/>
        <color theme="1"/>
        <rFont val="Calibri"/>
        <family val="2"/>
        <scheme val="minor"/>
      </rPr>
      <t xml:space="preserve"> Month (1 to 60)</t>
    </r>
  </si>
  <si>
    <r>
      <t>2. Column B:</t>
    </r>
    <r>
      <rPr>
        <sz val="11"/>
        <color theme="1"/>
        <rFont val="Calibri"/>
        <family val="2"/>
        <scheme val="minor"/>
      </rPr>
      <t xml:space="preserve"> Beginning Balance</t>
    </r>
  </si>
  <si>
    <r>
      <t>3. Column C:</t>
    </r>
    <r>
      <rPr>
        <sz val="11"/>
        <color theme="1"/>
        <rFont val="Calibri"/>
        <family val="2"/>
        <scheme val="minor"/>
      </rPr>
      <t xml:space="preserve"> Payment (fixed: ₹12,749.60)</t>
    </r>
  </si>
  <si>
    <r>
      <t>4. Column D:</t>
    </r>
    <r>
      <rPr>
        <sz val="11"/>
        <color theme="1"/>
        <rFont val="Calibri"/>
        <family val="2"/>
        <scheme val="minor"/>
      </rPr>
      <t xml:space="preserve"> Interest = Balance × (10% / 12)</t>
    </r>
  </si>
  <si>
    <r>
      <t>5. Column E:</t>
    </r>
    <r>
      <rPr>
        <sz val="11"/>
        <color theme="1"/>
        <rFont val="Calibri"/>
        <family val="2"/>
        <scheme val="minor"/>
      </rPr>
      <t xml:space="preserve"> Principal = Payment − Interest</t>
    </r>
  </si>
  <si>
    <r>
      <t>6. Column F:</t>
    </r>
    <r>
      <rPr>
        <sz val="11"/>
        <color theme="1"/>
        <rFont val="Calibri"/>
        <family val="2"/>
        <scheme val="minor"/>
      </rPr>
      <t xml:space="preserve"> Ending Balance = Beginning − Principal</t>
    </r>
  </si>
  <si>
    <t>You can drag the formula for all 60 rows.</t>
  </si>
  <si>
    <t>month</t>
  </si>
  <si>
    <t>balance</t>
  </si>
  <si>
    <t>interest</t>
  </si>
  <si>
    <t>principle</t>
  </si>
  <si>
    <t>payment</t>
  </si>
  <si>
    <t>ending_balance</t>
  </si>
  <si>
    <t>Expected number of  T-shirts sold (initial guess)</t>
  </si>
  <si>
    <t>Formula for Monthly Payment: (EMI)</t>
  </si>
  <si>
    <t xml:space="preserve"> OR - Formula for Monthly Payment: (EMI) =PMT(B1/12, B3, -B4)</t>
  </si>
  <si>
    <t>What loan amount can I afford with a $9000 monthly payment over 5 years at 6% interest?</t>
  </si>
  <si>
    <t>&lt;- GOAL that I SEEK</t>
  </si>
  <si>
    <t>The standard formula for amortized loans-which assumes monthly compunding:</t>
  </si>
  <si>
    <t>Number of Payments = Years * 12</t>
  </si>
  <si>
    <t>Suppose you have a simple profit calculation:</t>
  </si>
  <si>
    <r>
      <t xml:space="preserve">2. In B5, write: </t>
    </r>
    <r>
      <rPr>
        <sz val="10"/>
        <color theme="1"/>
        <rFont val="Arial Unicode MS"/>
      </rPr>
      <t>= = B4 * ((B1/12) * (1 + B1/12) ^ B3) / ((1 + B1/12) ^ B3 - 1)   OR  PMT(B1/12, B3, -B4). (negative sign to represent money going out, i.e., your monthly payment)</t>
    </r>
  </si>
  <si>
    <r>
      <t>5. To value</t>
    </r>
    <r>
      <rPr>
        <sz val="11"/>
        <color theme="1"/>
        <rFont val="Calibri"/>
        <family val="2"/>
        <scheme val="minor"/>
      </rPr>
      <t xml:space="preserve">: Use +9000 if using excel formula or use -9000 if using PMT formula </t>
    </r>
    <r>
      <rPr>
        <i/>
        <sz val="11"/>
        <color theme="1"/>
        <rFont val="Calibri"/>
        <family val="2"/>
        <scheme val="minor"/>
      </rPr>
      <t>(it must match the sign, because PMT returns negative for cash outflows)</t>
    </r>
  </si>
  <si>
    <r>
      <t xml:space="preserve">Suppose Goal Seek finds the loan amount is </t>
    </r>
    <r>
      <rPr>
        <b/>
        <sz val="11"/>
        <color theme="1"/>
        <rFont val="Calibri"/>
        <family val="2"/>
        <scheme val="minor"/>
      </rPr>
      <t>$465,530</t>
    </r>
  </si>
  <si>
    <r>
      <t xml:space="preserve">This means: </t>
    </r>
    <r>
      <rPr>
        <b/>
        <sz val="11"/>
        <color theme="1"/>
        <rFont val="Calibri"/>
        <family val="2"/>
        <scheme val="minor"/>
      </rPr>
      <t>At 6% interest for 5 years, you can borrow up to ~$465,530 if you want payments of $9000/month.</t>
    </r>
  </si>
  <si>
    <t>1. Goal Seek</t>
  </si>
  <si>
    <t>How many T-shirts must I sell to break even?... No profit and no loss</t>
  </si>
  <si>
    <t>Annual Interest Rate (6%)</t>
  </si>
  <si>
    <t>&lt;- GOAL that I  SEEK. It MUST contain formula</t>
  </si>
  <si>
    <r>
      <t>Goal Seek</t>
    </r>
    <r>
      <rPr>
        <sz val="16"/>
        <color theme="1"/>
        <rFont val="Calibri"/>
        <family val="2"/>
        <scheme val="minor"/>
      </rPr>
      <t xml:space="preserve"> is a built-in tool in Excel used for </t>
    </r>
    <r>
      <rPr>
        <b/>
        <sz val="16"/>
        <color theme="1"/>
        <rFont val="Calibri"/>
        <family val="2"/>
        <scheme val="minor"/>
      </rPr>
      <t>what-if analysis</t>
    </r>
    <r>
      <rPr>
        <sz val="16"/>
        <color theme="1"/>
        <rFont val="Calibri"/>
        <family val="2"/>
        <scheme val="minor"/>
      </rPr>
      <t>.</t>
    </r>
    <r>
      <rPr>
        <b/>
        <sz val="16"/>
        <color theme="1"/>
        <rFont val="Calibri"/>
        <family val="2"/>
        <scheme val="minor"/>
      </rPr>
      <t xml:space="preserve"> It finds the input value needed to get a desired output.</t>
    </r>
  </si>
  <si>
    <r>
      <t xml:space="preserve">In other words: </t>
    </r>
    <r>
      <rPr>
        <i/>
        <sz val="16"/>
        <color theme="1"/>
        <rFont val="Calibri"/>
        <family val="2"/>
        <scheme val="minor"/>
      </rPr>
      <t>If you know the result you want, Goal Seek figures out what input value produces it.</t>
    </r>
  </si>
  <si>
    <r>
      <t xml:space="preserve">But you </t>
    </r>
    <r>
      <rPr>
        <i/>
        <sz val="16"/>
        <color theme="1"/>
        <rFont val="Calibri"/>
        <family val="2"/>
        <scheme val="minor"/>
      </rPr>
      <t>want</t>
    </r>
    <r>
      <rPr>
        <sz val="16"/>
        <color theme="1"/>
        <rFont val="Calibri"/>
        <family val="2"/>
        <scheme val="minor"/>
      </rPr>
      <t xml:space="preserve"> Profit to be $25,000 — and want to know what Revenue must be.</t>
    </r>
  </si>
  <si>
    <r>
      <t xml:space="preserve"> </t>
    </r>
    <r>
      <rPr>
        <b/>
        <sz val="16"/>
        <color theme="1"/>
        <rFont val="Calibri"/>
        <family val="2"/>
        <scheme val="minor"/>
      </rPr>
      <t>Use Goal Seek</t>
    </r>
    <r>
      <rPr>
        <sz val="16"/>
        <color theme="1"/>
        <rFont val="Calibri"/>
        <family val="2"/>
        <scheme val="minor"/>
      </rPr>
      <t>:</t>
    </r>
  </si>
  <si>
    <r>
      <t xml:space="preserve">1. Go to </t>
    </r>
    <r>
      <rPr>
        <b/>
        <sz val="16"/>
        <color theme="1"/>
        <rFont val="Calibri"/>
        <family val="2"/>
        <scheme val="minor"/>
      </rPr>
      <t>Data</t>
    </r>
    <r>
      <rPr>
        <sz val="16"/>
        <color theme="1"/>
        <rFont val="Calibri"/>
        <family val="2"/>
        <scheme val="minor"/>
      </rPr>
      <t xml:space="preserve"> → </t>
    </r>
    <r>
      <rPr>
        <b/>
        <sz val="16"/>
        <color theme="1"/>
        <rFont val="Calibri"/>
        <family val="2"/>
        <scheme val="minor"/>
      </rPr>
      <t>What-If Analysis</t>
    </r>
    <r>
      <rPr>
        <sz val="16"/>
        <color theme="1"/>
        <rFont val="Calibri"/>
        <family val="2"/>
        <scheme val="minor"/>
      </rPr>
      <t xml:space="preserve"> → </t>
    </r>
    <r>
      <rPr>
        <b/>
        <sz val="16"/>
        <color theme="1"/>
        <rFont val="Calibri"/>
        <family val="2"/>
        <scheme val="minor"/>
      </rPr>
      <t>Goal Seek</t>
    </r>
  </si>
  <si>
    <r>
      <t>2. Set cell</t>
    </r>
    <r>
      <rPr>
        <sz val="16"/>
        <color theme="1"/>
        <rFont val="Calibri"/>
        <family val="2"/>
        <scheme val="minor"/>
      </rPr>
      <t>: B3 (Profit)</t>
    </r>
  </si>
  <si>
    <r>
      <t>3. To value</t>
    </r>
    <r>
      <rPr>
        <sz val="16"/>
        <color theme="1"/>
        <rFont val="Calibri"/>
        <family val="2"/>
        <scheme val="minor"/>
      </rPr>
      <t>: 25,000</t>
    </r>
  </si>
  <si>
    <r>
      <t>4. By changing cell</t>
    </r>
    <r>
      <rPr>
        <sz val="16"/>
        <color theme="1"/>
        <rFont val="Calibri"/>
        <family val="2"/>
        <scheme val="minor"/>
      </rPr>
      <t>: B1 (Revenue)</t>
    </r>
  </si>
  <si>
    <r>
      <t xml:space="preserve">Small businesses often use this to check </t>
    </r>
    <r>
      <rPr>
        <b/>
        <sz val="16"/>
        <color theme="1"/>
        <rFont val="Calibri"/>
        <family val="2"/>
        <scheme val="minor"/>
      </rPr>
      <t>affordable borrowing levels</t>
    </r>
    <r>
      <rPr>
        <sz val="16"/>
        <color theme="1"/>
        <rFont val="Calibri"/>
        <family val="2"/>
        <scheme val="minor"/>
      </rPr>
      <t>.</t>
    </r>
  </si>
  <si>
    <r>
      <t xml:space="preserve">Home buyers use Goal Seek to find </t>
    </r>
    <r>
      <rPr>
        <b/>
        <sz val="16"/>
        <color theme="1"/>
        <rFont val="Calibri"/>
        <family val="2"/>
        <scheme val="minor"/>
      </rPr>
      <t>what house price they can afford</t>
    </r>
    <r>
      <rPr>
        <sz val="16"/>
        <color theme="1"/>
        <rFont val="Calibri"/>
        <family val="2"/>
        <scheme val="minor"/>
      </rPr>
      <t xml:space="preserve"> given a target mortgage payment.</t>
    </r>
  </si>
  <si>
    <r>
      <t xml:space="preserve">Investors use it for </t>
    </r>
    <r>
      <rPr>
        <b/>
        <sz val="16"/>
        <color theme="1"/>
        <rFont val="Calibri"/>
        <family val="2"/>
        <scheme val="minor"/>
      </rPr>
      <t>break-even</t>
    </r>
    <r>
      <rPr>
        <sz val="16"/>
        <color theme="1"/>
        <rFont val="Calibri"/>
        <family val="2"/>
        <scheme val="minor"/>
      </rPr>
      <t xml:space="preserve"> analysis too (e.g., what sales volume to hit to reach profit goals).</t>
    </r>
  </si>
  <si>
    <r>
      <t>Selling price per T-shirt:</t>
    </r>
    <r>
      <rPr>
        <sz val="16"/>
        <color theme="1"/>
        <rFont val="Calibri"/>
        <family val="2"/>
        <scheme val="minor"/>
      </rPr>
      <t xml:space="preserve"> ₹500</t>
    </r>
  </si>
  <si>
    <r>
      <t>Fixed monthly costs:</t>
    </r>
    <r>
      <rPr>
        <sz val="16"/>
        <color theme="1"/>
        <rFont val="Calibri"/>
        <family val="2"/>
        <scheme val="minor"/>
      </rPr>
      <t xml:space="preserve"> ₹20,000 (rent, salaries, etc.)</t>
    </r>
  </si>
  <si>
    <r>
      <t>Variable cost per T-shirt:</t>
    </r>
    <r>
      <rPr>
        <sz val="16"/>
        <color theme="1"/>
        <rFont val="Calibri"/>
        <family val="2"/>
        <scheme val="minor"/>
      </rPr>
      <t xml:space="preserve"> ₹200 (material, packaging)</t>
    </r>
  </si>
  <si>
    <r>
      <t xml:space="preserve">1. Go to </t>
    </r>
    <r>
      <rPr>
        <b/>
        <sz val="16"/>
        <color theme="1"/>
        <rFont val="Calibri"/>
        <family val="2"/>
        <scheme val="minor"/>
      </rPr>
      <t>Data → What-If Analysis → Goal Seek</t>
    </r>
  </si>
  <si>
    <r>
      <rPr>
        <b/>
        <sz val="16"/>
        <color theme="1"/>
        <rFont val="Calibri"/>
        <family val="2"/>
        <scheme val="minor"/>
      </rPr>
      <t>2. Set cell:</t>
    </r>
    <r>
      <rPr>
        <sz val="16"/>
        <color theme="1"/>
        <rFont val="Calibri"/>
        <family val="2"/>
        <scheme val="minor"/>
      </rPr>
      <t xml:space="preserve"> B5 </t>
    </r>
    <r>
      <rPr>
        <i/>
        <sz val="16"/>
        <color theme="1"/>
        <rFont val="Calibri"/>
        <family val="2"/>
        <scheme val="minor"/>
      </rPr>
      <t>(Profit)</t>
    </r>
  </si>
  <si>
    <r>
      <t>To value:</t>
    </r>
    <r>
      <rPr>
        <sz val="16"/>
        <color theme="1"/>
        <rFont val="Calibri"/>
        <family val="2"/>
        <scheme val="minor"/>
      </rPr>
      <t xml:space="preserve"> 0 </t>
    </r>
    <r>
      <rPr>
        <i/>
        <sz val="16"/>
        <color theme="1"/>
        <rFont val="Calibri"/>
        <family val="2"/>
        <scheme val="minor"/>
      </rPr>
      <t>(break-even profit)</t>
    </r>
  </si>
  <si>
    <r>
      <t>By changing cell:</t>
    </r>
    <r>
      <rPr>
        <sz val="16"/>
        <color theme="1"/>
        <rFont val="Calibri"/>
        <family val="2"/>
        <scheme val="minor"/>
      </rPr>
      <t xml:space="preserve"> B4 </t>
    </r>
    <r>
      <rPr>
        <i/>
        <sz val="16"/>
        <color theme="1"/>
        <rFont val="Calibri"/>
        <family val="2"/>
        <scheme val="minor"/>
      </rPr>
      <t>(Units Sold)</t>
    </r>
  </si>
  <si>
    <r>
      <t xml:space="preserve">Excel will calculate </t>
    </r>
    <r>
      <rPr>
        <b/>
        <sz val="16"/>
        <color theme="1"/>
        <rFont val="Calibri"/>
        <family val="2"/>
        <scheme val="minor"/>
      </rPr>
      <t>(TAKES 1-2 MINUTES)</t>
    </r>
    <r>
      <rPr>
        <sz val="16"/>
        <color theme="1"/>
        <rFont val="Calibri"/>
        <family val="2"/>
        <scheme val="minor"/>
      </rPr>
      <t xml:space="preserve"> how many T-shirts you must sell to make profit = 0.</t>
    </r>
  </si>
  <si>
    <r>
      <t xml:space="preserve">Suppose it finds: </t>
    </r>
    <r>
      <rPr>
        <b/>
        <sz val="16"/>
        <color theme="1"/>
        <rFont val="Calibri"/>
        <family val="2"/>
        <scheme val="minor"/>
      </rPr>
      <t>67 T-shirts</t>
    </r>
  </si>
  <si>
    <r>
      <t xml:space="preserve">Loan Amount </t>
    </r>
    <r>
      <rPr>
        <b/>
        <sz val="14"/>
        <color theme="1"/>
        <rFont val="Calibri"/>
        <family val="2"/>
        <scheme val="minor"/>
      </rPr>
      <t>(this is what you want to find!) Type your guess here</t>
    </r>
  </si>
  <si>
    <t>You can afford to pay 9000 per month</t>
  </si>
  <si>
    <t xml:space="preserve">Loan Amount </t>
  </si>
  <si>
    <r>
      <t xml:space="preserve">Loan Term in Years </t>
    </r>
    <r>
      <rPr>
        <b/>
        <sz val="14"/>
        <color theme="1"/>
        <rFont val="Calibri"/>
        <family val="2"/>
        <scheme val="minor"/>
      </rPr>
      <t>(this is what you want to find!) Type your guess here</t>
    </r>
  </si>
  <si>
    <r>
      <t xml:space="preserve">You took a loan of </t>
    </r>
    <r>
      <rPr>
        <b/>
        <sz val="11"/>
        <color theme="1"/>
        <rFont val="Calibri"/>
        <family val="2"/>
        <scheme val="minor"/>
      </rPr>
      <t>$150,000</t>
    </r>
    <r>
      <rPr>
        <sz val="11"/>
        <color theme="1"/>
        <rFont val="Calibri"/>
        <family val="2"/>
        <scheme val="minor"/>
      </rPr>
      <t xml:space="preserve"> to buy equipment for your small business.</t>
    </r>
  </si>
  <si>
    <t>1. Type your guess for the loan amount in B4 (say, $150,000).</t>
  </si>
  <si>
    <r>
      <t>6. By changing cell</t>
    </r>
    <r>
      <rPr>
        <sz val="11"/>
        <color theme="1"/>
        <rFont val="Calibri"/>
        <family val="2"/>
        <scheme val="minor"/>
      </rPr>
      <t>: B2 (time in years)</t>
    </r>
  </si>
  <si>
    <t>Excel will adjust B2 until your calculated payment equals exactly $900.</t>
  </si>
  <si>
    <t>🎉 Result: 1.4 years = 17 months</t>
  </si>
  <si>
    <r>
      <t>The bank charges 6</t>
    </r>
    <r>
      <rPr>
        <b/>
        <sz val="11"/>
        <color theme="1"/>
        <rFont val="Calibri"/>
        <family val="2"/>
        <scheme val="minor"/>
      </rPr>
      <t>% annual interest</t>
    </r>
    <r>
      <rPr>
        <sz val="11"/>
        <color theme="1"/>
        <rFont val="Calibri"/>
        <family val="2"/>
        <scheme val="minor"/>
      </rPr>
      <t xml:space="preserve"> (compounded monthly).</t>
    </r>
  </si>
  <si>
    <t>So, you want to find out this: If you take a loan of 150,000, at 6% interest, then how long would it to repay?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</si>
</sst>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8" fontId="0" fillId="2" borderId="0" xfId="0" applyNumberFormat="1" applyFill="1"/>
    <xf numFmtId="0" fontId="8" fillId="0" borderId="0" xfId="0" applyFont="1"/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vertical="center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43" fontId="0" fillId="0" borderId="0" xfId="1" applyFont="1"/>
    <xf numFmtId="43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3" fillId="0" borderId="0" xfId="0" applyFont="1"/>
    <xf numFmtId="164" fontId="13" fillId="2" borderId="0" xfId="1" applyNumberFormat="1" applyFont="1" applyFill="1"/>
    <xf numFmtId="164" fontId="13" fillId="0" borderId="0" xfId="1" applyNumberFormat="1" applyFont="1"/>
    <xf numFmtId="0" fontId="14" fillId="0" borderId="0" xfId="0" applyFont="1"/>
    <xf numFmtId="164" fontId="14" fillId="2" borderId="0" xfId="1" applyNumberFormat="1" applyFont="1" applyFill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3" fillId="2" borderId="0" xfId="0" applyFont="1" applyFill="1"/>
    <xf numFmtId="8" fontId="13" fillId="2" borderId="0" xfId="0" applyNumberFormat="1" applyFont="1" applyFill="1"/>
    <xf numFmtId="8" fontId="13" fillId="0" borderId="0" xfId="0" applyNumberFormat="1" applyFont="1"/>
    <xf numFmtId="0" fontId="0" fillId="0" borderId="0" xfId="0" applyAlignment="1">
      <alignment horizontal="left" vertical="center"/>
    </xf>
    <xf numFmtId="0" fontId="13" fillId="3" borderId="0" xfId="0" applyFont="1" applyFill="1"/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16</xdr:row>
      <xdr:rowOff>85725</xdr:rowOff>
    </xdr:from>
    <xdr:to>
      <xdr:col>0</xdr:col>
      <xdr:colOff>4820313</xdr:colOff>
      <xdr:row>28</xdr:row>
      <xdr:rowOff>133681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1FFFD-6DD7-4700-A9BD-DD197E24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3209925"/>
          <a:ext cx="4753638" cy="2372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16</xdr:row>
      <xdr:rowOff>85725</xdr:rowOff>
    </xdr:from>
    <xdr:to>
      <xdr:col>0</xdr:col>
      <xdr:colOff>4820313</xdr:colOff>
      <xdr:row>28</xdr:row>
      <xdr:rowOff>171781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372E4-149F-4D2D-83B5-D278081C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3457575"/>
          <a:ext cx="4753638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opLeftCell="A22" workbookViewId="0">
      <selection activeCell="B2" sqref="B2"/>
    </sheetView>
  </sheetViews>
  <sheetFormatPr defaultRowHeight="15"/>
  <cols>
    <col min="1" max="1" width="11.42578125" customWidth="1"/>
    <col min="2" max="2" width="11.5703125" bestFit="1" customWidth="1"/>
    <col min="6" max="6" width="16.28515625" customWidth="1"/>
  </cols>
  <sheetData>
    <row r="1" spans="1:9" ht="21">
      <c r="A1" s="23" t="s">
        <v>7</v>
      </c>
      <c r="B1" s="24">
        <v>45000</v>
      </c>
      <c r="G1" s="15" t="s">
        <v>106</v>
      </c>
      <c r="H1" s="20"/>
      <c r="I1" s="20"/>
    </row>
    <row r="2" spans="1:9" ht="21">
      <c r="A2" s="23" t="s">
        <v>8</v>
      </c>
      <c r="B2" s="25">
        <v>20000</v>
      </c>
      <c r="G2" s="20"/>
      <c r="H2" s="20"/>
      <c r="I2" s="20"/>
    </row>
    <row r="3" spans="1:9" ht="21">
      <c r="A3" s="26" t="s">
        <v>9</v>
      </c>
      <c r="B3" s="27">
        <f xml:space="preserve"> B1 - B2</f>
        <v>25000</v>
      </c>
      <c r="C3" t="s">
        <v>109</v>
      </c>
      <c r="G3" s="10" t="s">
        <v>0</v>
      </c>
      <c r="H3" s="20"/>
      <c r="I3" s="20"/>
    </row>
    <row r="4" spans="1:9" ht="21">
      <c r="G4" s="10" t="s">
        <v>110</v>
      </c>
      <c r="H4" s="20"/>
      <c r="I4" s="20"/>
    </row>
    <row r="5" spans="1:9" ht="21">
      <c r="G5" s="20" t="s">
        <v>111</v>
      </c>
      <c r="H5" s="20"/>
      <c r="I5" s="20"/>
    </row>
    <row r="6" spans="1:9" ht="21">
      <c r="G6" s="20"/>
      <c r="H6" s="20"/>
      <c r="I6" s="20"/>
    </row>
    <row r="7" spans="1:9" ht="21">
      <c r="G7" s="20"/>
      <c r="H7" s="20"/>
      <c r="I7" s="20"/>
    </row>
    <row r="8" spans="1:9" ht="21">
      <c r="G8" s="10" t="s">
        <v>1</v>
      </c>
      <c r="H8" s="20"/>
      <c r="I8" s="20"/>
    </row>
    <row r="9" spans="1:9" ht="21">
      <c r="G9" s="21"/>
      <c r="H9" s="20"/>
      <c r="I9" s="20"/>
    </row>
    <row r="10" spans="1:9" ht="21">
      <c r="G10" s="21" t="s">
        <v>101</v>
      </c>
      <c r="H10" s="20"/>
      <c r="I10" s="20"/>
    </row>
    <row r="11" spans="1:9" ht="21">
      <c r="G11" s="20"/>
      <c r="H11" s="20"/>
      <c r="I11" s="20"/>
    </row>
    <row r="12" spans="1:9" ht="21">
      <c r="G12" s="10" t="s">
        <v>2</v>
      </c>
      <c r="H12" s="20"/>
      <c r="I12" s="20"/>
    </row>
    <row r="13" spans="1:9" ht="21">
      <c r="G13" s="20"/>
      <c r="H13" s="20"/>
      <c r="I13" s="20"/>
    </row>
    <row r="14" spans="1:9" ht="21">
      <c r="G14" s="21" t="s">
        <v>10</v>
      </c>
      <c r="H14" s="20"/>
      <c r="I14" s="20"/>
    </row>
    <row r="15" spans="1:9" ht="21">
      <c r="G15" s="21" t="s">
        <v>11</v>
      </c>
      <c r="H15" s="20"/>
      <c r="I15" s="20"/>
    </row>
    <row r="16" spans="1:9" ht="21">
      <c r="G16" s="21" t="s">
        <v>12</v>
      </c>
      <c r="H16" s="20"/>
      <c r="I16" s="20"/>
    </row>
    <row r="17" spans="7:9" ht="21">
      <c r="G17" s="20"/>
      <c r="H17" s="20"/>
      <c r="I17" s="20"/>
    </row>
    <row r="18" spans="7:9" ht="21">
      <c r="G18" s="20" t="s">
        <v>3</v>
      </c>
      <c r="H18" s="20"/>
      <c r="I18" s="20"/>
    </row>
    <row r="19" spans="7:9" ht="21">
      <c r="G19" s="21"/>
      <c r="H19" s="20"/>
      <c r="I19" s="20"/>
    </row>
    <row r="20" spans="7:9" ht="21">
      <c r="G20" s="21" t="s">
        <v>4</v>
      </c>
      <c r="H20" s="20"/>
      <c r="I20" s="20"/>
    </row>
    <row r="21" spans="7:9" ht="21">
      <c r="G21" s="21" t="s">
        <v>5</v>
      </c>
      <c r="H21" s="20"/>
      <c r="I21" s="20"/>
    </row>
    <row r="22" spans="7:9" ht="21">
      <c r="G22" s="21" t="s">
        <v>6</v>
      </c>
      <c r="H22" s="20"/>
      <c r="I22" s="20"/>
    </row>
    <row r="23" spans="7:9" ht="21">
      <c r="G23" s="20"/>
      <c r="H23" s="20"/>
      <c r="I23" s="20"/>
    </row>
    <row r="24" spans="7:9" ht="21">
      <c r="G24" s="20" t="s">
        <v>112</v>
      </c>
      <c r="H24" s="20"/>
      <c r="I24" s="20"/>
    </row>
    <row r="25" spans="7:9" ht="21">
      <c r="G25" s="20"/>
      <c r="H25" s="20"/>
      <c r="I25" s="20"/>
    </row>
    <row r="26" spans="7:9" ht="21">
      <c r="G26" s="20" t="s">
        <v>113</v>
      </c>
      <c r="H26" s="20"/>
      <c r="I26" s="20"/>
    </row>
    <row r="27" spans="7:9" ht="21">
      <c r="G27" s="21"/>
      <c r="H27" s="20"/>
      <c r="I27" s="20"/>
    </row>
    <row r="28" spans="7:9" ht="21">
      <c r="G28" s="21" t="s">
        <v>114</v>
      </c>
      <c r="H28" s="20"/>
      <c r="I28" s="20"/>
    </row>
    <row r="29" spans="7:9" ht="21">
      <c r="G29" s="22" t="s">
        <v>115</v>
      </c>
      <c r="H29" s="20"/>
      <c r="I29" s="20"/>
    </row>
    <row r="30" spans="7:9" ht="21">
      <c r="G30" s="22" t="s">
        <v>116</v>
      </c>
      <c r="H30" s="20"/>
      <c r="I30" s="20"/>
    </row>
    <row r="31" spans="7:9" ht="21">
      <c r="G31" s="22" t="s">
        <v>117</v>
      </c>
      <c r="H31" s="20"/>
      <c r="I31" s="20"/>
    </row>
    <row r="32" spans="7:9" ht="21">
      <c r="G32" s="20"/>
      <c r="H32" s="20"/>
      <c r="I32" s="20"/>
    </row>
    <row r="33" spans="7:9" ht="21">
      <c r="G33" s="20" t="s">
        <v>27</v>
      </c>
      <c r="H33" s="20"/>
      <c r="I33" s="20"/>
    </row>
    <row r="34" spans="7:9" ht="21">
      <c r="G34" s="20"/>
      <c r="H34" s="20"/>
      <c r="I34" s="20"/>
    </row>
    <row r="35" spans="7:9" ht="21">
      <c r="G35" s="20"/>
      <c r="H35" s="20"/>
      <c r="I35" s="20"/>
    </row>
    <row r="36" spans="7:9" ht="21">
      <c r="G36" s="15" t="s">
        <v>23</v>
      </c>
      <c r="H36" s="20"/>
      <c r="I36" s="20"/>
    </row>
    <row r="37" spans="7:9" ht="21">
      <c r="G37" s="21"/>
      <c r="H37" s="20"/>
      <c r="I37" s="20"/>
    </row>
    <row r="38" spans="7:9" ht="21">
      <c r="G38" s="21" t="s">
        <v>118</v>
      </c>
      <c r="H38" s="20"/>
      <c r="I38" s="20"/>
    </row>
    <row r="39" spans="7:9" ht="21">
      <c r="G39" s="21" t="s">
        <v>119</v>
      </c>
      <c r="H39" s="20"/>
      <c r="I39" s="20"/>
    </row>
    <row r="40" spans="7:9" ht="21">
      <c r="G40" s="21" t="s">
        <v>120</v>
      </c>
      <c r="H40" s="20"/>
      <c r="I40" s="20"/>
    </row>
    <row r="41" spans="7:9" ht="21">
      <c r="G41" s="20"/>
      <c r="H41" s="20"/>
      <c r="I41" s="20"/>
    </row>
    <row r="42" spans="7:9" ht="21">
      <c r="G42" s="20"/>
      <c r="H42" s="20"/>
      <c r="I42" s="20"/>
    </row>
    <row r="43" spans="7:9" ht="21">
      <c r="G43" s="20"/>
      <c r="H43" s="20"/>
      <c r="I43" s="20"/>
    </row>
    <row r="44" spans="7:9" ht="21">
      <c r="G44" s="20"/>
      <c r="H44" s="20"/>
      <c r="I44" s="20"/>
    </row>
    <row r="45" spans="7:9" ht="21">
      <c r="G45" s="20"/>
      <c r="H45" s="20"/>
      <c r="I45" s="20"/>
    </row>
    <row r="46" spans="7:9" ht="21">
      <c r="G46" s="20"/>
      <c r="H46" s="20"/>
      <c r="I46" s="20"/>
    </row>
    <row r="47" spans="7:9" ht="21">
      <c r="G47" s="20"/>
      <c r="H47" s="20"/>
      <c r="I47" s="20"/>
    </row>
    <row r="48" spans="7:9" ht="21">
      <c r="G48" s="20"/>
      <c r="H48" s="20"/>
      <c r="I48" s="20"/>
    </row>
    <row r="49" spans="7:9" ht="21">
      <c r="G49" s="20"/>
      <c r="H49" s="20"/>
      <c r="I49" s="20"/>
    </row>
    <row r="50" spans="7:9" ht="21">
      <c r="G50" s="20"/>
      <c r="H50" s="20"/>
      <c r="I50" s="20"/>
    </row>
    <row r="51" spans="7:9" ht="21">
      <c r="G51" s="20"/>
      <c r="H51" s="20"/>
      <c r="I51" s="20"/>
    </row>
    <row r="52" spans="7:9" ht="21">
      <c r="G52" s="20"/>
      <c r="H52" s="20"/>
      <c r="I52" s="20"/>
    </row>
    <row r="53" spans="7:9" ht="21">
      <c r="G53" s="20"/>
      <c r="H53" s="20"/>
      <c r="I53" s="20"/>
    </row>
    <row r="54" spans="7:9" ht="21">
      <c r="G54" s="20"/>
      <c r="H54" s="20"/>
      <c r="I54" s="20"/>
    </row>
    <row r="55" spans="7:9" ht="21">
      <c r="G55" s="20"/>
      <c r="H55" s="20"/>
      <c r="I55" s="20"/>
    </row>
    <row r="56" spans="7:9" ht="21">
      <c r="G56" s="20"/>
      <c r="H56" s="20"/>
      <c r="I56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D8F0-8809-4F7E-BEC0-E3CFCADBCD5D}">
  <dimension ref="A1:F34"/>
  <sheetViews>
    <sheetView topLeftCell="A22" zoomScaleNormal="100" workbookViewId="0">
      <selection activeCell="B11" sqref="B11"/>
    </sheetView>
  </sheetViews>
  <sheetFormatPr defaultRowHeight="15"/>
  <cols>
    <col min="1" max="1" width="53.5703125" customWidth="1"/>
    <col min="2" max="2" width="12.7109375" customWidth="1"/>
    <col min="3" max="3" width="27.140625" customWidth="1"/>
  </cols>
  <sheetData>
    <row r="1" spans="1:6" ht="18.75" customHeight="1">
      <c r="A1" s="28" t="s">
        <v>30</v>
      </c>
      <c r="B1" s="29">
        <v>500</v>
      </c>
      <c r="C1" s="23"/>
      <c r="E1" s="15" t="s">
        <v>28</v>
      </c>
      <c r="F1" s="20"/>
    </row>
    <row r="2" spans="1:6" ht="21">
      <c r="A2" s="28" t="s">
        <v>31</v>
      </c>
      <c r="B2" s="29">
        <v>200</v>
      </c>
      <c r="C2" s="23"/>
      <c r="E2" s="20"/>
      <c r="F2" s="20"/>
    </row>
    <row r="3" spans="1:6" ht="21">
      <c r="A3" s="28" t="s">
        <v>32</v>
      </c>
      <c r="B3" s="30">
        <v>20000</v>
      </c>
      <c r="C3" s="23"/>
      <c r="E3" s="15" t="s">
        <v>38</v>
      </c>
      <c r="F3" s="20"/>
    </row>
    <row r="4" spans="1:6" ht="21">
      <c r="A4" s="28" t="s">
        <v>94</v>
      </c>
      <c r="B4" s="31">
        <v>67</v>
      </c>
      <c r="C4" s="23"/>
      <c r="E4" s="20"/>
      <c r="F4" s="20"/>
    </row>
    <row r="5" spans="1:6" ht="21">
      <c r="A5" s="28" t="s">
        <v>39</v>
      </c>
      <c r="B5" s="32">
        <f>B4*(B1 - B2) - B3</f>
        <v>100</v>
      </c>
      <c r="C5" s="23" t="s">
        <v>98</v>
      </c>
      <c r="E5" s="22" t="s">
        <v>121</v>
      </c>
      <c r="F5" s="20"/>
    </row>
    <row r="6" spans="1:6" ht="21">
      <c r="E6" s="22" t="s">
        <v>122</v>
      </c>
      <c r="F6" s="20"/>
    </row>
    <row r="7" spans="1:6" ht="21">
      <c r="E7" s="22" t="s">
        <v>123</v>
      </c>
      <c r="F7" s="20"/>
    </row>
    <row r="8" spans="1:6" ht="21">
      <c r="E8" s="20"/>
      <c r="F8" s="20"/>
    </row>
    <row r="9" spans="1:6" ht="21">
      <c r="E9" s="20"/>
      <c r="F9" s="20"/>
    </row>
    <row r="10" spans="1:6" ht="21">
      <c r="E10" s="20" t="s">
        <v>29</v>
      </c>
      <c r="F10" s="20"/>
    </row>
    <row r="11" spans="1:6" ht="21">
      <c r="E11" s="10" t="s">
        <v>107</v>
      </c>
      <c r="F11" s="20"/>
    </row>
    <row r="12" spans="1:6" ht="21">
      <c r="E12" s="20"/>
      <c r="F12" s="20"/>
    </row>
    <row r="13" spans="1:6" ht="21">
      <c r="E13" s="10" t="s">
        <v>33</v>
      </c>
      <c r="F13" s="20"/>
    </row>
    <row r="14" spans="1:6" ht="21">
      <c r="E14" s="10" t="s">
        <v>34</v>
      </c>
      <c r="F14" s="20"/>
    </row>
    <row r="15" spans="1:6" ht="21">
      <c r="E15" s="20"/>
      <c r="F15" s="20"/>
    </row>
    <row r="16" spans="1:6" ht="21">
      <c r="E16" s="20"/>
      <c r="F16" s="20"/>
    </row>
    <row r="17" spans="3:6" ht="21">
      <c r="E17" s="20"/>
      <c r="F17" s="20"/>
    </row>
    <row r="18" spans="3:6" ht="21">
      <c r="E18" s="15" t="s">
        <v>40</v>
      </c>
      <c r="F18" s="20"/>
    </row>
    <row r="19" spans="3:6" ht="21">
      <c r="C19" s="7"/>
      <c r="E19" s="20"/>
      <c r="F19" s="20"/>
    </row>
    <row r="20" spans="3:6" ht="21">
      <c r="E20" s="20" t="s">
        <v>124</v>
      </c>
      <c r="F20" s="20"/>
    </row>
    <row r="21" spans="3:6" ht="21">
      <c r="E21" s="20"/>
      <c r="F21" s="20"/>
    </row>
    <row r="22" spans="3:6" ht="21">
      <c r="E22" s="20" t="s">
        <v>125</v>
      </c>
      <c r="F22" s="20"/>
    </row>
    <row r="23" spans="3:6" ht="21">
      <c r="E23" s="10" t="s">
        <v>126</v>
      </c>
      <c r="F23" s="20"/>
    </row>
    <row r="24" spans="3:6" ht="21">
      <c r="E24" s="10" t="s">
        <v>127</v>
      </c>
      <c r="F24" s="20"/>
    </row>
    <row r="25" spans="3:6" ht="21">
      <c r="E25" s="20"/>
      <c r="F25" s="20"/>
    </row>
    <row r="26" spans="3:6" ht="21">
      <c r="E26" s="20" t="s">
        <v>128</v>
      </c>
      <c r="F26" s="20"/>
    </row>
    <row r="27" spans="3:6" ht="21">
      <c r="E27" s="20"/>
      <c r="F27" s="20"/>
    </row>
    <row r="28" spans="3:6" ht="21">
      <c r="E28" s="20"/>
      <c r="F28" s="20"/>
    </row>
    <row r="29" spans="3:6" ht="21">
      <c r="E29" s="15" t="s">
        <v>35</v>
      </c>
      <c r="F29" s="20"/>
    </row>
    <row r="30" spans="3:6" ht="21">
      <c r="E30" s="20"/>
      <c r="F30" s="20"/>
    </row>
    <row r="31" spans="3:6" ht="21">
      <c r="E31" s="20" t="s">
        <v>129</v>
      </c>
      <c r="F31" s="20"/>
    </row>
    <row r="32" spans="3:6" ht="21">
      <c r="E32" s="20"/>
      <c r="F32" s="20"/>
    </row>
    <row r="33" spans="5:6" ht="21">
      <c r="E33" s="20" t="s">
        <v>36</v>
      </c>
      <c r="F33" s="20"/>
    </row>
    <row r="34" spans="5:6" ht="21">
      <c r="E34" s="10" t="s">
        <v>37</v>
      </c>
      <c r="F3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546C-2471-4D07-A3A1-2CD19E518EB8}">
  <dimension ref="A1:U50"/>
  <sheetViews>
    <sheetView workbookViewId="0">
      <selection activeCell="D14" sqref="D14"/>
    </sheetView>
  </sheetViews>
  <sheetFormatPr defaultRowHeight="15"/>
  <cols>
    <col min="1" max="1" width="75.5703125" customWidth="1"/>
    <col min="2" max="2" width="16" customWidth="1"/>
    <col min="5" max="5" width="25.140625" customWidth="1"/>
    <col min="6" max="6" width="21.140625" customWidth="1"/>
    <col min="7" max="7" width="13.42578125" customWidth="1"/>
    <col min="8" max="8" width="12.7109375" customWidth="1"/>
    <col min="9" max="9" width="19.42578125" customWidth="1"/>
  </cols>
  <sheetData>
    <row r="1" spans="1:21" ht="18.75">
      <c r="A1" s="23" t="s">
        <v>108</v>
      </c>
      <c r="B1" s="23">
        <v>0.06</v>
      </c>
      <c r="E1" s="5" t="s">
        <v>41</v>
      </c>
    </row>
    <row r="2" spans="1:21" ht="18.75">
      <c r="A2" s="23" t="s">
        <v>16</v>
      </c>
      <c r="B2" s="23">
        <v>5</v>
      </c>
    </row>
    <row r="3" spans="1:21" ht="18.75">
      <c r="A3" s="23" t="s">
        <v>100</v>
      </c>
      <c r="B3" s="23">
        <f xml:space="preserve"> B2*12</f>
        <v>60</v>
      </c>
      <c r="E3" t="s">
        <v>47</v>
      </c>
    </row>
    <row r="4" spans="1:21" ht="18.75">
      <c r="A4" s="23" t="s">
        <v>130</v>
      </c>
      <c r="B4" s="33">
        <v>465530.04676017514</v>
      </c>
      <c r="E4" s="3"/>
      <c r="U4" t="s">
        <v>42</v>
      </c>
    </row>
    <row r="5" spans="1:21" ht="18.75">
      <c r="A5" s="23" t="s">
        <v>95</v>
      </c>
      <c r="B5" s="34">
        <f xml:space="preserve"> B4 * ((B1/12) * (1 + B1/12) ^ B3) / ((1 + B1/12) ^ B3 - 1)</f>
        <v>9000</v>
      </c>
      <c r="E5" s="3" t="s">
        <v>13</v>
      </c>
    </row>
    <row r="6" spans="1:21" ht="18.75">
      <c r="A6" s="23" t="s">
        <v>96</v>
      </c>
      <c r="B6" s="35">
        <f xml:space="preserve"> PMT(B1/12,B3,-B4)</f>
        <v>8999.9999999997635</v>
      </c>
      <c r="E6" s="3" t="s">
        <v>14</v>
      </c>
    </row>
    <row r="7" spans="1:21">
      <c r="B7" s="9"/>
    </row>
    <row r="8" spans="1:21">
      <c r="E8" t="s">
        <v>46</v>
      </c>
    </row>
    <row r="9" spans="1:21">
      <c r="A9" s="3"/>
      <c r="E9" t="s">
        <v>15</v>
      </c>
    </row>
    <row r="11" spans="1:21">
      <c r="E11" s="2" t="s">
        <v>97</v>
      </c>
    </row>
    <row r="13" spans="1:21" ht="18">
      <c r="E13" s="5" t="s">
        <v>17</v>
      </c>
    </row>
    <row r="14" spans="1:21">
      <c r="E14" s="3"/>
    </row>
    <row r="15" spans="1:21">
      <c r="E15" s="3" t="s">
        <v>18</v>
      </c>
    </row>
    <row r="16" spans="1:21">
      <c r="A16" t="s">
        <v>99</v>
      </c>
      <c r="E16" s="3" t="s">
        <v>48</v>
      </c>
    </row>
    <row r="21" spans="5:5" ht="18">
      <c r="E21" s="5" t="s">
        <v>19</v>
      </c>
    </row>
    <row r="22" spans="5:5">
      <c r="E22" s="3"/>
    </row>
    <row r="23" spans="5:5">
      <c r="E23" s="3" t="s">
        <v>49</v>
      </c>
    </row>
    <row r="24" spans="5:5">
      <c r="E24" s="3"/>
    </row>
    <row r="25" spans="5:5">
      <c r="E25" s="3" t="s">
        <v>102</v>
      </c>
    </row>
    <row r="26" spans="5:5">
      <c r="E26" s="3" t="s">
        <v>20</v>
      </c>
    </row>
    <row r="27" spans="5:5">
      <c r="E27" s="3"/>
    </row>
    <row r="28" spans="5:5">
      <c r="E28" s="3" t="s">
        <v>21</v>
      </c>
    </row>
    <row r="29" spans="5:5">
      <c r="E29" s="3"/>
    </row>
    <row r="30" spans="5:5">
      <c r="E30" s="4" t="s">
        <v>45</v>
      </c>
    </row>
    <row r="31" spans="5:5">
      <c r="E31" s="3"/>
    </row>
    <row r="32" spans="5:5">
      <c r="E32" s="4" t="s">
        <v>103</v>
      </c>
    </row>
    <row r="33" spans="5:5">
      <c r="E33" s="3"/>
    </row>
    <row r="34" spans="5:5">
      <c r="E34" s="4" t="s">
        <v>43</v>
      </c>
    </row>
    <row r="36" spans="5:5">
      <c r="E36" t="s">
        <v>44</v>
      </c>
    </row>
    <row r="40" spans="5:5" ht="18">
      <c r="E40" s="5" t="s">
        <v>22</v>
      </c>
    </row>
    <row r="42" spans="5:5">
      <c r="E42" t="s">
        <v>104</v>
      </c>
    </row>
    <row r="43" spans="5:5">
      <c r="E43" t="s">
        <v>105</v>
      </c>
    </row>
    <row r="46" spans="5:5" ht="23.25">
      <c r="E46" s="1" t="s">
        <v>23</v>
      </c>
    </row>
    <row r="47" spans="5:5">
      <c r="E47" s="3"/>
    </row>
    <row r="48" spans="5:5">
      <c r="E48" s="3" t="s">
        <v>24</v>
      </c>
    </row>
    <row r="49" spans="5:5">
      <c r="E49" s="3" t="s">
        <v>25</v>
      </c>
    </row>
    <row r="50" spans="5:5">
      <c r="E50" s="3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49B1-2240-4174-9352-81DD6FD26298}">
  <dimension ref="A1:U50"/>
  <sheetViews>
    <sheetView tabSelected="1" workbookViewId="0">
      <selection activeCell="F17" sqref="F17"/>
    </sheetView>
  </sheetViews>
  <sheetFormatPr defaultRowHeight="15"/>
  <cols>
    <col min="1" max="1" width="81.28515625" customWidth="1"/>
    <col min="2" max="2" width="22.28515625" customWidth="1"/>
    <col min="5" max="5" width="25.140625" customWidth="1"/>
    <col min="6" max="6" width="21.140625" customWidth="1"/>
    <col min="7" max="7" width="13.42578125" customWidth="1"/>
    <col min="8" max="8" width="12.7109375" customWidth="1"/>
    <col min="9" max="9" width="19.42578125" customWidth="1"/>
  </cols>
  <sheetData>
    <row r="1" spans="1:21" ht="18.75">
      <c r="A1" s="23" t="s">
        <v>108</v>
      </c>
      <c r="B1" s="23">
        <v>0.06</v>
      </c>
      <c r="E1" s="5" t="s">
        <v>41</v>
      </c>
    </row>
    <row r="2" spans="1:21" ht="18.75">
      <c r="A2" s="23" t="s">
        <v>133</v>
      </c>
      <c r="B2" s="33">
        <v>1.4538120650581703</v>
      </c>
    </row>
    <row r="3" spans="1:21" ht="18.75">
      <c r="A3" s="23" t="s">
        <v>100</v>
      </c>
      <c r="B3" s="23">
        <f xml:space="preserve"> B2*12</f>
        <v>17.445744780698043</v>
      </c>
      <c r="E3" t="s">
        <v>134</v>
      </c>
    </row>
    <row r="4" spans="1:21" ht="18.75">
      <c r="A4" s="23" t="s">
        <v>132</v>
      </c>
      <c r="B4" s="37">
        <v>150000</v>
      </c>
      <c r="E4" s="3"/>
      <c r="U4" t="s">
        <v>42</v>
      </c>
    </row>
    <row r="5" spans="1:21" ht="18.75">
      <c r="A5" s="23" t="s">
        <v>95</v>
      </c>
      <c r="B5" s="34">
        <f xml:space="preserve"> B4 * ((B1/12) * (1 + B1/12) ^ B3) / ((1 + B1/12) ^ B3 - 1)</f>
        <v>9000.0000697857886</v>
      </c>
      <c r="E5" s="36" t="s">
        <v>139</v>
      </c>
      <c r="F5" s="36"/>
      <c r="G5" s="36"/>
    </row>
    <row r="6" spans="1:21" ht="18.75">
      <c r="A6" s="23" t="s">
        <v>96</v>
      </c>
      <c r="B6" s="35">
        <f xml:space="preserve"> PMT(B1/12,B3,-B4)</f>
        <v>9000.0000697855958</v>
      </c>
      <c r="E6" s="36" t="s">
        <v>131</v>
      </c>
      <c r="F6" s="36"/>
      <c r="G6" s="36"/>
    </row>
    <row r="7" spans="1:21">
      <c r="B7" s="9"/>
    </row>
    <row r="9" spans="1:21">
      <c r="A9" s="3"/>
    </row>
    <row r="11" spans="1:21">
      <c r="E11" s="38" t="s">
        <v>140</v>
      </c>
      <c r="F11" s="38"/>
      <c r="G11" s="38"/>
      <c r="H11" s="38"/>
      <c r="I11" s="38"/>
      <c r="J11" s="38"/>
    </row>
    <row r="13" spans="1:21" ht="18">
      <c r="E13" s="5"/>
    </row>
    <row r="14" spans="1:21">
      <c r="E14" s="3"/>
    </row>
    <row r="15" spans="1:21">
      <c r="E15" s="3"/>
    </row>
    <row r="16" spans="1:21">
      <c r="A16" t="s">
        <v>99</v>
      </c>
      <c r="E16" s="3"/>
    </row>
    <row r="21" spans="5:5" ht="18">
      <c r="E21" s="5" t="s">
        <v>19</v>
      </c>
    </row>
    <row r="22" spans="5:5">
      <c r="E22" s="3"/>
    </row>
    <row r="23" spans="5:5">
      <c r="E23" s="3" t="s">
        <v>135</v>
      </c>
    </row>
    <row r="24" spans="5:5">
      <c r="E24" s="3"/>
    </row>
    <row r="25" spans="5:5">
      <c r="E25" s="3" t="s">
        <v>102</v>
      </c>
    </row>
    <row r="26" spans="5:5">
      <c r="E26" s="3" t="s">
        <v>20</v>
      </c>
    </row>
    <row r="27" spans="5:5">
      <c r="E27" s="3"/>
    </row>
    <row r="28" spans="5:5">
      <c r="E28" s="3" t="s">
        <v>21</v>
      </c>
    </row>
    <row r="29" spans="5:5">
      <c r="E29" s="3"/>
    </row>
    <row r="30" spans="5:5">
      <c r="E30" s="4" t="s">
        <v>45</v>
      </c>
    </row>
    <row r="31" spans="5:5">
      <c r="E31" s="3"/>
    </row>
    <row r="32" spans="5:5">
      <c r="E32" s="4" t="s">
        <v>103</v>
      </c>
    </row>
    <row r="33" spans="5:5">
      <c r="E33" s="3"/>
    </row>
    <row r="34" spans="5:5">
      <c r="E34" s="4" t="s">
        <v>136</v>
      </c>
    </row>
    <row r="36" spans="5:5">
      <c r="E36" t="s">
        <v>137</v>
      </c>
    </row>
    <row r="40" spans="5:5" ht="18">
      <c r="E40" s="5" t="s">
        <v>138</v>
      </c>
    </row>
    <row r="46" spans="5:5" ht="23.25">
      <c r="E46" s="1"/>
    </row>
    <row r="47" spans="5:5">
      <c r="E47" s="3"/>
    </row>
    <row r="48" spans="5:5">
      <c r="E48" s="3"/>
    </row>
    <row r="49" spans="5:5">
      <c r="E49" s="3"/>
    </row>
    <row r="50" spans="5:5">
      <c r="E50" s="3"/>
    </row>
  </sheetData>
  <mergeCells count="3">
    <mergeCell ref="E6:G6"/>
    <mergeCell ref="E5:G5"/>
    <mergeCell ref="E11:J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8B87-C6EF-4F74-8AEF-24BA033E87B3}">
  <dimension ref="A1:P66"/>
  <sheetViews>
    <sheetView topLeftCell="A16" workbookViewId="0">
      <selection activeCell="L17" sqref="L17"/>
    </sheetView>
  </sheetViews>
  <sheetFormatPr defaultRowHeight="15"/>
  <cols>
    <col min="2" max="2" width="11.5703125" bestFit="1" customWidth="1"/>
    <col min="3" max="3" width="13.7109375" customWidth="1"/>
    <col min="4" max="4" width="10.28515625" customWidth="1"/>
    <col min="5" max="5" width="10.85546875" bestFit="1" customWidth="1"/>
    <col min="6" max="6" width="15" customWidth="1"/>
    <col min="12" max="12" width="21.28515625" customWidth="1"/>
    <col min="13" max="13" width="19.42578125" customWidth="1"/>
    <col min="14" max="14" width="13.7109375" customWidth="1"/>
    <col min="15" max="15" width="14.5703125" customWidth="1"/>
    <col min="16" max="16" width="19.42578125" customWidth="1"/>
  </cols>
  <sheetData>
    <row r="1" spans="1:13">
      <c r="A1" t="s">
        <v>88</v>
      </c>
      <c r="B1" t="s">
        <v>89</v>
      </c>
      <c r="C1" t="s">
        <v>92</v>
      </c>
      <c r="D1" t="s">
        <v>90</v>
      </c>
      <c r="E1" t="s">
        <v>91</v>
      </c>
      <c r="F1" t="s">
        <v>93</v>
      </c>
    </row>
    <row r="2" spans="1:13" ht="24.75" customHeight="1">
      <c r="A2">
        <v>1</v>
      </c>
      <c r="B2">
        <v>600000</v>
      </c>
      <c r="C2" s="16">
        <v>12749.6</v>
      </c>
      <c r="D2">
        <f xml:space="preserve"> B2*0.1/12</f>
        <v>5000</v>
      </c>
      <c r="E2" s="16">
        <f xml:space="preserve"> C2-D2</f>
        <v>7749.6</v>
      </c>
      <c r="F2" s="18">
        <f xml:space="preserve"> B2-E2</f>
        <v>592250.4</v>
      </c>
      <c r="L2" s="13" t="s">
        <v>50</v>
      </c>
      <c r="M2" s="14"/>
    </row>
    <row r="3" spans="1:13">
      <c r="A3">
        <v>2</v>
      </c>
      <c r="B3" s="19">
        <f>F2</f>
        <v>592250.4</v>
      </c>
      <c r="C3">
        <v>12749.6</v>
      </c>
      <c r="D3">
        <f xml:space="preserve"> B3*0.1/12</f>
        <v>4935.420000000001</v>
      </c>
      <c r="E3" s="16">
        <f xml:space="preserve"> C3-D3</f>
        <v>7814.1799999999994</v>
      </c>
      <c r="F3" s="18">
        <f xml:space="preserve"> B3-E3</f>
        <v>584436.22</v>
      </c>
    </row>
    <row r="4" spans="1:13">
      <c r="A4">
        <v>3</v>
      </c>
      <c r="B4" s="19">
        <f t="shared" ref="B4:B10" si="0">F3</f>
        <v>584436.22</v>
      </c>
      <c r="C4">
        <v>12750.6</v>
      </c>
      <c r="D4">
        <f t="shared" ref="D4:D10" si="1" xml:space="preserve"> B4*0.1/12</f>
        <v>4870.3018333333339</v>
      </c>
      <c r="E4" s="16">
        <f t="shared" ref="E4:E10" si="2" xml:space="preserve"> C4-D4</f>
        <v>7880.2981666666665</v>
      </c>
      <c r="F4" s="18">
        <f t="shared" ref="F4:F10" si="3" xml:space="preserve"> B4-E4</f>
        <v>576555.92183333333</v>
      </c>
      <c r="L4" s="11" t="s">
        <v>51</v>
      </c>
      <c r="M4" s="11" t="s">
        <v>52</v>
      </c>
    </row>
    <row r="5" spans="1:13">
      <c r="A5">
        <v>4</v>
      </c>
      <c r="B5" s="19">
        <f t="shared" si="0"/>
        <v>576555.92183333333</v>
      </c>
      <c r="C5">
        <v>12751.6</v>
      </c>
      <c r="D5">
        <f t="shared" si="1"/>
        <v>4804.6326819444448</v>
      </c>
      <c r="E5" s="16">
        <f t="shared" si="2"/>
        <v>7946.9673180555556</v>
      </c>
      <c r="F5" s="18">
        <f t="shared" si="3"/>
        <v>568608.95451527776</v>
      </c>
      <c r="L5" s="8" t="s">
        <v>53</v>
      </c>
      <c r="M5" s="6" t="s">
        <v>54</v>
      </c>
    </row>
    <row r="6" spans="1:13">
      <c r="A6">
        <v>5</v>
      </c>
      <c r="B6" s="19">
        <f t="shared" si="0"/>
        <v>568608.95451527776</v>
      </c>
      <c r="C6">
        <v>12752.6</v>
      </c>
      <c r="D6">
        <f t="shared" si="1"/>
        <v>4738.4079542939817</v>
      </c>
      <c r="E6" s="16">
        <f t="shared" si="2"/>
        <v>8014.1920457060187</v>
      </c>
      <c r="F6" s="18">
        <f t="shared" si="3"/>
        <v>560594.76246957178</v>
      </c>
      <c r="L6" s="8" t="s">
        <v>55</v>
      </c>
      <c r="M6" s="12">
        <v>0.1</v>
      </c>
    </row>
    <row r="7" spans="1:13">
      <c r="A7">
        <v>6</v>
      </c>
      <c r="B7" s="19">
        <f t="shared" si="0"/>
        <v>560594.76246957178</v>
      </c>
      <c r="C7">
        <v>12753.6</v>
      </c>
      <c r="D7">
        <f t="shared" si="1"/>
        <v>4671.6230205797647</v>
      </c>
      <c r="E7" s="16">
        <f t="shared" si="2"/>
        <v>8081.9769794202357</v>
      </c>
      <c r="F7" s="18">
        <f t="shared" si="3"/>
        <v>552512.78549015149</v>
      </c>
      <c r="L7" s="8" t="s">
        <v>56</v>
      </c>
      <c r="M7" s="6" t="s">
        <v>57</v>
      </c>
    </row>
    <row r="8" spans="1:13">
      <c r="A8">
        <v>7</v>
      </c>
      <c r="B8" s="19">
        <f t="shared" si="0"/>
        <v>552512.78549015149</v>
      </c>
      <c r="C8">
        <v>12754.6</v>
      </c>
      <c r="D8">
        <f t="shared" si="1"/>
        <v>4604.2732124179292</v>
      </c>
      <c r="E8" s="16">
        <f t="shared" si="2"/>
        <v>8150.3267875820711</v>
      </c>
      <c r="F8" s="18">
        <f t="shared" si="3"/>
        <v>544362.45870256948</v>
      </c>
      <c r="L8" s="8" t="s">
        <v>58</v>
      </c>
      <c r="M8" s="6" t="s">
        <v>59</v>
      </c>
    </row>
    <row r="9" spans="1:13">
      <c r="A9">
        <v>8</v>
      </c>
      <c r="B9" s="19">
        <f t="shared" si="0"/>
        <v>544362.45870256948</v>
      </c>
      <c r="C9">
        <v>12755.6</v>
      </c>
      <c r="D9">
        <f t="shared" si="1"/>
        <v>4536.3538225214124</v>
      </c>
      <c r="E9" s="16">
        <f t="shared" si="2"/>
        <v>8219.2461774785879</v>
      </c>
      <c r="F9" s="18">
        <f t="shared" si="3"/>
        <v>536143.2125250909</v>
      </c>
      <c r="L9" s="8" t="s">
        <v>60</v>
      </c>
      <c r="M9" s="6" t="s">
        <v>61</v>
      </c>
    </row>
    <row r="10" spans="1:13">
      <c r="A10">
        <v>9</v>
      </c>
      <c r="B10" s="19">
        <f t="shared" si="0"/>
        <v>536143.2125250909</v>
      </c>
      <c r="C10">
        <v>12756.6</v>
      </c>
      <c r="D10">
        <f t="shared" si="1"/>
        <v>4467.8601043757581</v>
      </c>
      <c r="E10" s="16">
        <f t="shared" si="2"/>
        <v>8288.7398956242432</v>
      </c>
      <c r="F10" s="18">
        <f t="shared" si="3"/>
        <v>527854.47262946668</v>
      </c>
    </row>
    <row r="11" spans="1:13" ht="21">
      <c r="A11">
        <v>10</v>
      </c>
      <c r="B11" s="19">
        <f t="shared" ref="B11:B31" si="4">F10</f>
        <v>527854.47262946668</v>
      </c>
      <c r="C11">
        <v>12757.6</v>
      </c>
      <c r="D11">
        <f t="shared" ref="D11:D31" si="5" xml:space="preserve"> B11*0.1/12</f>
        <v>4398.7872719122224</v>
      </c>
      <c r="E11" s="16">
        <f t="shared" ref="E11:E31" si="6" xml:space="preserve"> C11-D11</f>
        <v>8358.8127280877779</v>
      </c>
      <c r="F11" s="18">
        <f t="shared" ref="F11:F31" si="7" xml:space="preserve"> B11-E11</f>
        <v>519495.65990137891</v>
      </c>
      <c r="L11" s="15" t="s">
        <v>62</v>
      </c>
    </row>
    <row r="12" spans="1:13">
      <c r="A12">
        <v>11</v>
      </c>
      <c r="B12" s="19">
        <f t="shared" si="4"/>
        <v>519495.65990137891</v>
      </c>
      <c r="C12">
        <v>12758.6</v>
      </c>
      <c r="D12">
        <f t="shared" si="5"/>
        <v>4329.1304991781581</v>
      </c>
      <c r="E12" s="16">
        <f t="shared" si="6"/>
        <v>8429.4695008218423</v>
      </c>
      <c r="F12" s="18">
        <f t="shared" si="7"/>
        <v>511066.19040055707</v>
      </c>
    </row>
    <row r="13" spans="1:13">
      <c r="A13">
        <v>12</v>
      </c>
      <c r="B13" s="19">
        <f t="shared" si="4"/>
        <v>511066.19040055707</v>
      </c>
      <c r="C13">
        <v>12759.6</v>
      </c>
      <c r="D13">
        <f t="shared" si="5"/>
        <v>4258.8849200046425</v>
      </c>
      <c r="E13" s="16">
        <f t="shared" si="6"/>
        <v>8500.7150799953579</v>
      </c>
      <c r="F13" s="18">
        <f t="shared" si="7"/>
        <v>502565.47532056173</v>
      </c>
      <c r="L13" t="s">
        <v>63</v>
      </c>
    </row>
    <row r="14" spans="1:13">
      <c r="A14">
        <v>13</v>
      </c>
      <c r="B14" s="19">
        <f t="shared" si="4"/>
        <v>502565.47532056173</v>
      </c>
      <c r="C14">
        <v>12760.6</v>
      </c>
      <c r="D14">
        <f t="shared" si="5"/>
        <v>4188.0456276713476</v>
      </c>
      <c r="E14" s="16">
        <f t="shared" si="6"/>
        <v>8572.5543723286537</v>
      </c>
      <c r="F14" s="18">
        <f t="shared" si="7"/>
        <v>493992.92094823311</v>
      </c>
      <c r="L14" s="4" t="s">
        <v>64</v>
      </c>
    </row>
    <row r="15" spans="1:13">
      <c r="A15">
        <v>14</v>
      </c>
      <c r="B15" s="19">
        <f t="shared" si="4"/>
        <v>493992.92094823311</v>
      </c>
      <c r="C15">
        <v>12761.6</v>
      </c>
      <c r="D15">
        <f t="shared" si="5"/>
        <v>4116.6076745686096</v>
      </c>
      <c r="E15" s="16">
        <f t="shared" si="6"/>
        <v>8644.9923254313908</v>
      </c>
      <c r="F15" s="18">
        <f t="shared" si="7"/>
        <v>485347.92862280173</v>
      </c>
      <c r="L15" s="4" t="s">
        <v>65</v>
      </c>
    </row>
    <row r="16" spans="1:13">
      <c r="A16">
        <v>15</v>
      </c>
      <c r="B16" s="19">
        <f t="shared" si="4"/>
        <v>485347.92862280173</v>
      </c>
      <c r="C16">
        <v>12762.6</v>
      </c>
      <c r="D16">
        <f t="shared" si="5"/>
        <v>4044.5660718566814</v>
      </c>
      <c r="E16" s="16">
        <f t="shared" si="6"/>
        <v>8718.0339281433189</v>
      </c>
      <c r="F16" s="18">
        <f t="shared" si="7"/>
        <v>476629.8946946584</v>
      </c>
      <c r="L16" s="4" t="s">
        <v>66</v>
      </c>
    </row>
    <row r="17" spans="1:16">
      <c r="A17">
        <v>16</v>
      </c>
      <c r="B17" s="19">
        <f t="shared" si="4"/>
        <v>476629.8946946584</v>
      </c>
      <c r="C17">
        <v>12763.6</v>
      </c>
      <c r="D17">
        <f t="shared" si="5"/>
        <v>3971.9157891221535</v>
      </c>
      <c r="E17" s="16">
        <f t="shared" si="6"/>
        <v>8791.6842108778474</v>
      </c>
      <c r="F17" s="18">
        <f t="shared" si="7"/>
        <v>467838.21048378054</v>
      </c>
    </row>
    <row r="18" spans="1:16">
      <c r="A18">
        <v>17</v>
      </c>
      <c r="B18" s="19">
        <f t="shared" si="4"/>
        <v>467838.21048378054</v>
      </c>
      <c r="C18">
        <v>12764.6</v>
      </c>
      <c r="D18">
        <f t="shared" si="5"/>
        <v>3898.6517540315049</v>
      </c>
      <c r="E18" s="16">
        <f t="shared" si="6"/>
        <v>8865.948245968495</v>
      </c>
      <c r="F18" s="18">
        <f t="shared" si="7"/>
        <v>458972.26223781204</v>
      </c>
      <c r="L18" s="3"/>
    </row>
    <row r="19" spans="1:16" ht="21">
      <c r="A19">
        <v>18</v>
      </c>
      <c r="B19" s="19">
        <f t="shared" si="4"/>
        <v>458972.26223781204</v>
      </c>
      <c r="C19">
        <v>12765.6</v>
      </c>
      <c r="D19">
        <f t="shared" si="5"/>
        <v>3824.7688519817675</v>
      </c>
      <c r="E19" s="16">
        <f t="shared" si="6"/>
        <v>8940.8311480182329</v>
      </c>
      <c r="F19" s="18">
        <f t="shared" si="7"/>
        <v>450031.4310897938</v>
      </c>
      <c r="L19" s="10" t="s">
        <v>67</v>
      </c>
    </row>
    <row r="20" spans="1:16">
      <c r="A20">
        <v>19</v>
      </c>
      <c r="B20" s="19">
        <f t="shared" si="4"/>
        <v>450031.4310897938</v>
      </c>
      <c r="C20">
        <v>12766.6</v>
      </c>
      <c r="D20">
        <f t="shared" si="5"/>
        <v>3750.261925748282</v>
      </c>
      <c r="E20" s="16">
        <f t="shared" si="6"/>
        <v>9016.3380742517184</v>
      </c>
      <c r="F20" s="18">
        <f t="shared" si="7"/>
        <v>441015.09301554208</v>
      </c>
      <c r="L20" s="11" t="s">
        <v>68</v>
      </c>
      <c r="M20" s="11" t="s">
        <v>69</v>
      </c>
      <c r="N20" s="11" t="s">
        <v>70</v>
      </c>
      <c r="O20" s="11" t="s">
        <v>71</v>
      </c>
      <c r="P20" s="11" t="s">
        <v>72</v>
      </c>
    </row>
    <row r="21" spans="1:16">
      <c r="A21">
        <v>20</v>
      </c>
      <c r="B21" s="19">
        <f t="shared" si="4"/>
        <v>441015.09301554208</v>
      </c>
      <c r="C21">
        <v>12767.6</v>
      </c>
      <c r="D21">
        <f t="shared" si="5"/>
        <v>3675.1257751295175</v>
      </c>
      <c r="E21" s="16">
        <f t="shared" si="6"/>
        <v>9092.4742248704824</v>
      </c>
      <c r="F21" s="18">
        <f t="shared" si="7"/>
        <v>431922.61879067158</v>
      </c>
      <c r="L21" s="6">
        <v>1</v>
      </c>
      <c r="M21" s="17">
        <v>12749.6</v>
      </c>
      <c r="N21" s="17">
        <v>5000</v>
      </c>
      <c r="O21" s="17">
        <v>7749.6</v>
      </c>
      <c r="P21" s="6" t="s">
        <v>73</v>
      </c>
    </row>
    <row r="22" spans="1:16">
      <c r="A22">
        <v>21</v>
      </c>
      <c r="B22" s="19">
        <f t="shared" si="4"/>
        <v>431922.61879067158</v>
      </c>
      <c r="C22">
        <v>12768.6</v>
      </c>
      <c r="D22">
        <f t="shared" si="5"/>
        <v>3599.3551565889302</v>
      </c>
      <c r="E22" s="16">
        <f t="shared" si="6"/>
        <v>9169.2448434110702</v>
      </c>
      <c r="F22" s="18">
        <f t="shared" si="7"/>
        <v>422753.37394726049</v>
      </c>
      <c r="L22" s="6">
        <v>2</v>
      </c>
      <c r="M22" s="17">
        <v>12749.6</v>
      </c>
      <c r="N22" s="17">
        <v>4935.42</v>
      </c>
      <c r="O22" s="17">
        <v>7814.18</v>
      </c>
      <c r="P22" s="6" t="s">
        <v>74</v>
      </c>
    </row>
    <row r="23" spans="1:16">
      <c r="A23">
        <v>22</v>
      </c>
      <c r="B23" s="19">
        <f t="shared" si="4"/>
        <v>422753.37394726049</v>
      </c>
      <c r="C23">
        <v>12769.6</v>
      </c>
      <c r="D23">
        <f t="shared" si="5"/>
        <v>3522.9447828938378</v>
      </c>
      <c r="E23" s="16">
        <f t="shared" si="6"/>
        <v>9246.655217106163</v>
      </c>
      <c r="F23" s="18">
        <f t="shared" si="7"/>
        <v>413506.71873015433</v>
      </c>
      <c r="L23" s="6">
        <v>3</v>
      </c>
      <c r="M23" s="17">
        <v>12749.6</v>
      </c>
      <c r="N23" s="17">
        <v>4870.3</v>
      </c>
      <c r="O23" s="17">
        <v>7879.3</v>
      </c>
      <c r="P23" s="6" t="s">
        <v>75</v>
      </c>
    </row>
    <row r="24" spans="1:16">
      <c r="A24">
        <v>23</v>
      </c>
      <c r="B24" s="19">
        <f t="shared" si="4"/>
        <v>413506.71873015433</v>
      </c>
      <c r="C24">
        <v>12770.6</v>
      </c>
      <c r="D24">
        <f t="shared" si="5"/>
        <v>3445.8893227512867</v>
      </c>
      <c r="E24" s="16">
        <f t="shared" si="6"/>
        <v>9324.7106772487132</v>
      </c>
      <c r="F24" s="18">
        <f t="shared" si="7"/>
        <v>404182.00805290561</v>
      </c>
      <c r="L24" s="6">
        <v>4</v>
      </c>
      <c r="M24" s="17">
        <v>12749.6</v>
      </c>
      <c r="N24" s="17">
        <v>4804.6400000000003</v>
      </c>
      <c r="O24" s="17">
        <v>7944.96</v>
      </c>
      <c r="P24" s="6" t="s">
        <v>76</v>
      </c>
    </row>
    <row r="25" spans="1:16">
      <c r="A25">
        <v>24</v>
      </c>
      <c r="B25" s="19">
        <f t="shared" si="4"/>
        <v>404182.00805290561</v>
      </c>
      <c r="C25">
        <v>12771.6</v>
      </c>
      <c r="D25">
        <f t="shared" si="5"/>
        <v>3368.1834004408806</v>
      </c>
      <c r="E25" s="16">
        <f t="shared" si="6"/>
        <v>9403.4165995591193</v>
      </c>
      <c r="F25" s="18">
        <f t="shared" si="7"/>
        <v>394778.59145334648</v>
      </c>
      <c r="L25" s="6">
        <v>5</v>
      </c>
      <c r="M25" s="17">
        <v>12749.6</v>
      </c>
      <c r="N25" s="17">
        <v>4738.43</v>
      </c>
      <c r="O25" s="17">
        <v>8011.17</v>
      </c>
      <c r="P25" s="6" t="s">
        <v>77</v>
      </c>
    </row>
    <row r="26" spans="1:16">
      <c r="A26">
        <v>25</v>
      </c>
      <c r="B26" s="19">
        <f t="shared" si="4"/>
        <v>394778.59145334648</v>
      </c>
      <c r="C26">
        <v>12772.6</v>
      </c>
      <c r="D26">
        <f t="shared" si="5"/>
        <v>3289.8215954445545</v>
      </c>
      <c r="E26" s="16">
        <f t="shared" si="6"/>
        <v>9482.7784045554454</v>
      </c>
      <c r="F26" s="18">
        <f t="shared" si="7"/>
        <v>385295.81304879102</v>
      </c>
      <c r="L26" s="6">
        <v>6</v>
      </c>
      <c r="M26" s="17">
        <v>12749.6</v>
      </c>
      <c r="N26" s="17">
        <v>4671.67</v>
      </c>
      <c r="O26" s="17">
        <v>8077.93</v>
      </c>
      <c r="P26" s="6" t="s">
        <v>78</v>
      </c>
    </row>
    <row r="27" spans="1:16">
      <c r="A27">
        <v>26</v>
      </c>
      <c r="B27" s="19">
        <f t="shared" si="4"/>
        <v>385295.81304879102</v>
      </c>
      <c r="C27">
        <v>12773.6</v>
      </c>
      <c r="D27">
        <f t="shared" si="5"/>
        <v>3210.7984420732587</v>
      </c>
      <c r="E27" s="16">
        <f t="shared" si="6"/>
        <v>9562.8015579267412</v>
      </c>
      <c r="F27" s="18">
        <f t="shared" si="7"/>
        <v>375733.01149086427</v>
      </c>
    </row>
    <row r="28" spans="1:16">
      <c r="A28">
        <v>27</v>
      </c>
      <c r="B28" s="19">
        <f t="shared" si="4"/>
        <v>375733.01149086427</v>
      </c>
      <c r="C28">
        <v>12774.6</v>
      </c>
      <c r="D28">
        <f t="shared" si="5"/>
        <v>3131.108429090536</v>
      </c>
      <c r="E28" s="16">
        <f t="shared" si="6"/>
        <v>9643.4915709094639</v>
      </c>
      <c r="F28" s="18">
        <f t="shared" si="7"/>
        <v>366089.51991995482</v>
      </c>
    </row>
    <row r="29" spans="1:16" ht="23.25">
      <c r="A29">
        <v>28</v>
      </c>
      <c r="B29" s="19">
        <f t="shared" si="4"/>
        <v>366089.51991995482</v>
      </c>
      <c r="C29">
        <v>12775.6</v>
      </c>
      <c r="D29">
        <f t="shared" si="5"/>
        <v>3050.7459993329571</v>
      </c>
      <c r="E29" s="16">
        <f t="shared" si="6"/>
        <v>9724.8540006670428</v>
      </c>
      <c r="F29" s="18">
        <f t="shared" si="7"/>
        <v>356364.66591928777</v>
      </c>
      <c r="L29" s="1" t="s">
        <v>79</v>
      </c>
    </row>
    <row r="30" spans="1:16">
      <c r="A30">
        <v>29</v>
      </c>
      <c r="B30" s="19">
        <f t="shared" si="4"/>
        <v>356364.66591928777</v>
      </c>
      <c r="C30">
        <v>12776.6</v>
      </c>
      <c r="D30">
        <f t="shared" si="5"/>
        <v>2969.7055493273983</v>
      </c>
      <c r="E30" s="16">
        <f t="shared" si="6"/>
        <v>9806.894450672602</v>
      </c>
      <c r="F30" s="18">
        <f t="shared" si="7"/>
        <v>346557.77146861516</v>
      </c>
    </row>
    <row r="31" spans="1:16">
      <c r="A31">
        <v>30</v>
      </c>
      <c r="B31" s="19">
        <f t="shared" si="4"/>
        <v>346557.77146861516</v>
      </c>
      <c r="C31">
        <v>12777.6</v>
      </c>
      <c r="D31">
        <f t="shared" si="5"/>
        <v>2887.9814289051264</v>
      </c>
      <c r="E31" s="16">
        <f t="shared" si="6"/>
        <v>9889.6185710948739</v>
      </c>
      <c r="F31" s="18">
        <f t="shared" si="7"/>
        <v>336668.15289752028</v>
      </c>
      <c r="L31" t="s">
        <v>80</v>
      </c>
    </row>
    <row r="32" spans="1:16">
      <c r="A32">
        <v>31</v>
      </c>
      <c r="B32" s="19">
        <f t="shared" ref="B32:B54" si="8">F31</f>
        <v>336668.15289752028</v>
      </c>
      <c r="C32">
        <v>12778.6</v>
      </c>
      <c r="D32">
        <f t="shared" ref="D32:D54" si="9" xml:space="preserve"> B32*0.1/12</f>
        <v>2805.5679408126689</v>
      </c>
      <c r="E32" s="16">
        <f t="shared" ref="E32:E54" si="10" xml:space="preserve"> C32-D32</f>
        <v>9973.0320591873315</v>
      </c>
      <c r="F32" s="18">
        <f t="shared" ref="F32:F54" si="11" xml:space="preserve"> B32-E32</f>
        <v>326695.12083833292</v>
      </c>
      <c r="L32" s="3"/>
    </row>
    <row r="33" spans="1:12">
      <c r="A33">
        <v>32</v>
      </c>
      <c r="B33" s="19">
        <f t="shared" si="8"/>
        <v>326695.12083833292</v>
      </c>
      <c r="C33">
        <v>12779.6</v>
      </c>
      <c r="D33">
        <f t="shared" si="9"/>
        <v>2722.4593403194413</v>
      </c>
      <c r="E33" s="16">
        <f t="shared" si="10"/>
        <v>10057.140659680559</v>
      </c>
      <c r="F33" s="18">
        <f t="shared" si="11"/>
        <v>316637.98017865239</v>
      </c>
      <c r="L33" s="4" t="s">
        <v>81</v>
      </c>
    </row>
    <row r="34" spans="1:12">
      <c r="A34">
        <v>33</v>
      </c>
      <c r="B34" s="19">
        <f t="shared" si="8"/>
        <v>316637.98017865239</v>
      </c>
      <c r="C34">
        <v>12780.6</v>
      </c>
      <c r="D34">
        <f t="shared" si="9"/>
        <v>2638.6498348221035</v>
      </c>
      <c r="E34" s="16">
        <f t="shared" si="10"/>
        <v>10141.950165177897</v>
      </c>
      <c r="F34" s="18">
        <f t="shared" si="11"/>
        <v>306496.03001347452</v>
      </c>
      <c r="L34" s="3"/>
    </row>
    <row r="35" spans="1:12">
      <c r="A35">
        <v>34</v>
      </c>
      <c r="B35" s="19">
        <f t="shared" si="8"/>
        <v>306496.03001347452</v>
      </c>
      <c r="C35">
        <v>12781.6</v>
      </c>
      <c r="D35">
        <f t="shared" si="9"/>
        <v>2554.1335834456208</v>
      </c>
      <c r="E35" s="16">
        <f t="shared" si="10"/>
        <v>10227.46641655438</v>
      </c>
      <c r="F35" s="18">
        <f t="shared" si="11"/>
        <v>296268.56359692011</v>
      </c>
      <c r="L35" s="4" t="s">
        <v>82</v>
      </c>
    </row>
    <row r="36" spans="1:12">
      <c r="A36">
        <v>35</v>
      </c>
      <c r="B36" s="19">
        <f t="shared" si="8"/>
        <v>296268.56359692011</v>
      </c>
      <c r="C36">
        <v>12782.6</v>
      </c>
      <c r="D36">
        <f t="shared" si="9"/>
        <v>2468.904696641001</v>
      </c>
      <c r="E36" s="16">
        <f t="shared" si="10"/>
        <v>10313.695303359</v>
      </c>
      <c r="F36" s="18">
        <f t="shared" si="11"/>
        <v>285954.8682935611</v>
      </c>
      <c r="L36" s="3"/>
    </row>
    <row r="37" spans="1:12">
      <c r="A37">
        <v>36</v>
      </c>
      <c r="B37" s="19">
        <f t="shared" si="8"/>
        <v>285954.8682935611</v>
      </c>
      <c r="C37">
        <v>12783.6</v>
      </c>
      <c r="D37">
        <f t="shared" si="9"/>
        <v>2382.957235779676</v>
      </c>
      <c r="E37" s="16">
        <f t="shared" si="10"/>
        <v>10400.642764220323</v>
      </c>
      <c r="F37" s="18">
        <f t="shared" si="11"/>
        <v>275554.22552934079</v>
      </c>
      <c r="L37" s="4" t="s">
        <v>83</v>
      </c>
    </row>
    <row r="38" spans="1:12">
      <c r="A38">
        <v>37</v>
      </c>
      <c r="B38" s="19">
        <f t="shared" si="8"/>
        <v>275554.22552934079</v>
      </c>
      <c r="C38">
        <v>12784.6</v>
      </c>
      <c r="D38">
        <f t="shared" si="9"/>
        <v>2296.2852127445067</v>
      </c>
      <c r="E38" s="16">
        <f t="shared" si="10"/>
        <v>10488.314787255495</v>
      </c>
      <c r="F38" s="18">
        <f t="shared" si="11"/>
        <v>265065.91074208531</v>
      </c>
      <c r="L38" s="3"/>
    </row>
    <row r="39" spans="1:12">
      <c r="A39">
        <v>38</v>
      </c>
      <c r="B39" s="19">
        <f t="shared" si="8"/>
        <v>265065.91074208531</v>
      </c>
      <c r="C39">
        <v>12785.6</v>
      </c>
      <c r="D39">
        <f t="shared" si="9"/>
        <v>2208.8825895173777</v>
      </c>
      <c r="E39" s="16">
        <f t="shared" si="10"/>
        <v>10576.717410482623</v>
      </c>
      <c r="F39" s="18">
        <f t="shared" si="11"/>
        <v>254489.1933316027</v>
      </c>
      <c r="L39" s="4" t="s">
        <v>84</v>
      </c>
    </row>
    <row r="40" spans="1:12">
      <c r="A40">
        <v>39</v>
      </c>
      <c r="B40" s="19">
        <f t="shared" si="8"/>
        <v>254489.1933316027</v>
      </c>
      <c r="C40">
        <v>12786.6</v>
      </c>
      <c r="D40">
        <f t="shared" si="9"/>
        <v>2120.7432777633562</v>
      </c>
      <c r="E40" s="16">
        <f t="shared" si="10"/>
        <v>10665.856722236644</v>
      </c>
      <c r="F40" s="18">
        <f t="shared" si="11"/>
        <v>243823.33660936606</v>
      </c>
      <c r="L40" s="3"/>
    </row>
    <row r="41" spans="1:12">
      <c r="A41">
        <v>40</v>
      </c>
      <c r="B41" s="19">
        <f t="shared" si="8"/>
        <v>243823.33660936606</v>
      </c>
      <c r="C41">
        <v>12787.6</v>
      </c>
      <c r="D41">
        <f t="shared" si="9"/>
        <v>2031.861138411384</v>
      </c>
      <c r="E41" s="16">
        <f t="shared" si="10"/>
        <v>10755.738861588616</v>
      </c>
      <c r="F41" s="18">
        <f t="shared" si="11"/>
        <v>233067.59774777744</v>
      </c>
      <c r="L41" s="4" t="s">
        <v>85</v>
      </c>
    </row>
    <row r="42" spans="1:12">
      <c r="A42">
        <v>41</v>
      </c>
      <c r="B42" s="19">
        <f t="shared" si="8"/>
        <v>233067.59774777744</v>
      </c>
      <c r="C42">
        <v>12788.6</v>
      </c>
      <c r="D42">
        <f t="shared" si="9"/>
        <v>1942.2299812314789</v>
      </c>
      <c r="E42" s="16">
        <f t="shared" si="10"/>
        <v>10846.370018768521</v>
      </c>
      <c r="F42" s="18">
        <f t="shared" si="11"/>
        <v>222221.22772900891</v>
      </c>
      <c r="L42" s="3"/>
    </row>
    <row r="43" spans="1:12">
      <c r="A43">
        <v>42</v>
      </c>
      <c r="B43" s="19">
        <f t="shared" si="8"/>
        <v>222221.22772900891</v>
      </c>
      <c r="C43">
        <v>12789.6</v>
      </c>
      <c r="D43">
        <f t="shared" si="9"/>
        <v>1851.8435644084077</v>
      </c>
      <c r="E43" s="16">
        <f t="shared" si="10"/>
        <v>10937.756435591593</v>
      </c>
      <c r="F43" s="18">
        <f t="shared" si="11"/>
        <v>211283.47129341733</v>
      </c>
      <c r="L43" s="4" t="s">
        <v>86</v>
      </c>
    </row>
    <row r="44" spans="1:12">
      <c r="A44">
        <v>43</v>
      </c>
      <c r="B44" s="19">
        <f t="shared" si="8"/>
        <v>211283.47129341733</v>
      </c>
      <c r="C44">
        <v>12790.6</v>
      </c>
      <c r="D44">
        <f t="shared" si="9"/>
        <v>1760.6955941118113</v>
      </c>
      <c r="E44" s="16">
        <f t="shared" si="10"/>
        <v>11029.904405888188</v>
      </c>
      <c r="F44" s="18">
        <f t="shared" si="11"/>
        <v>200253.56688752913</v>
      </c>
    </row>
    <row r="45" spans="1:12">
      <c r="A45">
        <v>44</v>
      </c>
      <c r="B45" s="19">
        <f t="shared" si="8"/>
        <v>200253.56688752913</v>
      </c>
      <c r="C45">
        <v>12791.6</v>
      </c>
      <c r="D45">
        <f t="shared" si="9"/>
        <v>1668.7797240627431</v>
      </c>
      <c r="E45" s="16">
        <f t="shared" si="10"/>
        <v>11122.820275937258</v>
      </c>
      <c r="F45" s="18">
        <f t="shared" si="11"/>
        <v>189130.74661159187</v>
      </c>
      <c r="L45" t="s">
        <v>87</v>
      </c>
    </row>
    <row r="46" spans="1:12">
      <c r="A46">
        <v>45</v>
      </c>
      <c r="B46" s="19">
        <f t="shared" si="8"/>
        <v>189130.74661159187</v>
      </c>
      <c r="C46">
        <v>12792.6</v>
      </c>
      <c r="D46">
        <f t="shared" si="9"/>
        <v>1576.0895550965988</v>
      </c>
      <c r="E46" s="16">
        <f t="shared" si="10"/>
        <v>11216.510444903401</v>
      </c>
      <c r="F46" s="18">
        <f t="shared" si="11"/>
        <v>177914.23616668847</v>
      </c>
    </row>
    <row r="47" spans="1:12">
      <c r="A47">
        <v>46</v>
      </c>
      <c r="B47" s="19">
        <f t="shared" si="8"/>
        <v>177914.23616668847</v>
      </c>
      <c r="C47">
        <v>12793.6</v>
      </c>
      <c r="D47">
        <f t="shared" si="9"/>
        <v>1482.6186347224038</v>
      </c>
      <c r="E47" s="16">
        <f t="shared" si="10"/>
        <v>11310.981365277596</v>
      </c>
      <c r="F47" s="18">
        <f t="shared" si="11"/>
        <v>166603.25480141086</v>
      </c>
    </row>
    <row r="48" spans="1:12">
      <c r="A48">
        <v>47</v>
      </c>
      <c r="B48" s="19">
        <f t="shared" si="8"/>
        <v>166603.25480141086</v>
      </c>
      <c r="C48">
        <v>12794.6</v>
      </c>
      <c r="D48">
        <f t="shared" si="9"/>
        <v>1388.360456678424</v>
      </c>
      <c r="E48" s="16">
        <f t="shared" si="10"/>
        <v>11406.239543321577</v>
      </c>
      <c r="F48" s="18">
        <f t="shared" si="11"/>
        <v>155197.01525808929</v>
      </c>
    </row>
    <row r="49" spans="1:6">
      <c r="A49">
        <v>48</v>
      </c>
      <c r="B49" s="19">
        <f t="shared" si="8"/>
        <v>155197.01525808929</v>
      </c>
      <c r="C49">
        <v>12795.6</v>
      </c>
      <c r="D49">
        <f t="shared" si="9"/>
        <v>1293.3084604840776</v>
      </c>
      <c r="E49" s="16">
        <f t="shared" si="10"/>
        <v>11502.291539515923</v>
      </c>
      <c r="F49" s="18">
        <f t="shared" si="11"/>
        <v>143694.72371857337</v>
      </c>
    </row>
    <row r="50" spans="1:6">
      <c r="A50">
        <v>49</v>
      </c>
      <c r="B50" s="19">
        <f t="shared" si="8"/>
        <v>143694.72371857337</v>
      </c>
      <c r="C50">
        <v>12796.6</v>
      </c>
      <c r="D50">
        <f t="shared" si="9"/>
        <v>1197.4560309881115</v>
      </c>
      <c r="E50" s="16">
        <f t="shared" si="10"/>
        <v>11599.14396901189</v>
      </c>
      <c r="F50" s="18">
        <f t="shared" si="11"/>
        <v>132095.57974956147</v>
      </c>
    </row>
    <row r="51" spans="1:6">
      <c r="A51">
        <v>50</v>
      </c>
      <c r="B51" s="19">
        <f t="shared" si="8"/>
        <v>132095.57974956147</v>
      </c>
      <c r="C51">
        <v>12797.6</v>
      </c>
      <c r="D51">
        <f t="shared" si="9"/>
        <v>1100.7964979130122</v>
      </c>
      <c r="E51" s="16">
        <f t="shared" si="10"/>
        <v>11696.803502086988</v>
      </c>
      <c r="F51" s="18">
        <f t="shared" si="11"/>
        <v>120398.77624747448</v>
      </c>
    </row>
    <row r="52" spans="1:6">
      <c r="A52">
        <v>51</v>
      </c>
      <c r="B52" s="19">
        <f t="shared" si="8"/>
        <v>120398.77624747448</v>
      </c>
      <c r="C52">
        <v>12798.6</v>
      </c>
      <c r="D52">
        <f t="shared" si="9"/>
        <v>1003.3231353956207</v>
      </c>
      <c r="E52" s="16">
        <f t="shared" si="10"/>
        <v>11795.276864604381</v>
      </c>
      <c r="F52" s="18">
        <f t="shared" si="11"/>
        <v>108603.4993828701</v>
      </c>
    </row>
    <row r="53" spans="1:6">
      <c r="A53">
        <v>52</v>
      </c>
      <c r="B53" s="19">
        <f t="shared" si="8"/>
        <v>108603.4993828701</v>
      </c>
      <c r="C53">
        <v>12799.6</v>
      </c>
      <c r="D53">
        <f t="shared" si="9"/>
        <v>905.02916152391754</v>
      </c>
      <c r="E53" s="16">
        <f t="shared" si="10"/>
        <v>11894.570838476084</v>
      </c>
      <c r="F53" s="18">
        <f t="shared" si="11"/>
        <v>96708.928544394017</v>
      </c>
    </row>
    <row r="54" spans="1:6">
      <c r="A54">
        <v>53</v>
      </c>
      <c r="B54" s="19">
        <f t="shared" si="8"/>
        <v>96708.928544394017</v>
      </c>
      <c r="C54">
        <v>12800.6</v>
      </c>
      <c r="D54">
        <f t="shared" si="9"/>
        <v>805.90773786995021</v>
      </c>
      <c r="E54" s="16">
        <f t="shared" si="10"/>
        <v>11994.692262130051</v>
      </c>
      <c r="F54" s="18">
        <f t="shared" si="11"/>
        <v>84714.23628226397</v>
      </c>
    </row>
    <row r="55" spans="1:6">
      <c r="A55">
        <v>54</v>
      </c>
      <c r="B55" s="19">
        <f t="shared" ref="B55:B61" si="12">F54</f>
        <v>84714.23628226397</v>
      </c>
      <c r="C55">
        <v>12801.6</v>
      </c>
      <c r="D55">
        <f t="shared" ref="D55:D61" si="13" xml:space="preserve"> B55*0.1/12</f>
        <v>705.95196901886641</v>
      </c>
      <c r="E55" s="16">
        <f t="shared" ref="E55:E61" si="14" xml:space="preserve"> C55-D55</f>
        <v>12095.648030981134</v>
      </c>
      <c r="F55" s="18">
        <f t="shared" ref="F55:F61" si="15" xml:space="preserve"> B55-E55</f>
        <v>72618.588251282839</v>
      </c>
    </row>
    <row r="56" spans="1:6">
      <c r="A56">
        <v>55</v>
      </c>
      <c r="B56" s="19">
        <f t="shared" si="12"/>
        <v>72618.588251282839</v>
      </c>
      <c r="C56">
        <v>12802.6</v>
      </c>
      <c r="D56">
        <f t="shared" si="13"/>
        <v>605.15490209402367</v>
      </c>
      <c r="E56" s="16">
        <f t="shared" si="14"/>
        <v>12197.445097905977</v>
      </c>
      <c r="F56" s="18">
        <f t="shared" si="15"/>
        <v>60421.143153376863</v>
      </c>
    </row>
    <row r="57" spans="1:6">
      <c r="A57">
        <v>56</v>
      </c>
      <c r="B57" s="19">
        <f t="shared" si="12"/>
        <v>60421.143153376863</v>
      </c>
      <c r="C57">
        <v>12803.6</v>
      </c>
      <c r="D57">
        <f t="shared" si="13"/>
        <v>503.50952627814058</v>
      </c>
      <c r="E57" s="16">
        <f t="shared" si="14"/>
        <v>12300.090473721859</v>
      </c>
      <c r="F57" s="18">
        <f t="shared" si="15"/>
        <v>48121.052679655004</v>
      </c>
    </row>
    <row r="58" spans="1:6">
      <c r="A58">
        <v>57</v>
      </c>
      <c r="B58" s="19">
        <f t="shared" si="12"/>
        <v>48121.052679655004</v>
      </c>
      <c r="C58">
        <v>12804.6</v>
      </c>
      <c r="D58">
        <f t="shared" si="13"/>
        <v>401.00877233045838</v>
      </c>
      <c r="E58" s="16">
        <f t="shared" si="14"/>
        <v>12403.591227669542</v>
      </c>
      <c r="F58" s="18">
        <f t="shared" si="15"/>
        <v>35717.461451985466</v>
      </c>
    </row>
    <row r="59" spans="1:6">
      <c r="A59">
        <v>58</v>
      </c>
      <c r="B59" s="19">
        <f t="shared" si="12"/>
        <v>35717.461451985466</v>
      </c>
      <c r="C59">
        <v>12805.6</v>
      </c>
      <c r="D59">
        <f t="shared" si="13"/>
        <v>297.64551209987889</v>
      </c>
      <c r="E59" s="16">
        <f t="shared" si="14"/>
        <v>12507.954487900122</v>
      </c>
      <c r="F59" s="18">
        <f t="shared" si="15"/>
        <v>23209.506964085343</v>
      </c>
    </row>
    <row r="60" spans="1:6">
      <c r="A60">
        <v>59</v>
      </c>
      <c r="B60" s="19">
        <f t="shared" si="12"/>
        <v>23209.506964085343</v>
      </c>
      <c r="C60">
        <v>12806.6</v>
      </c>
      <c r="D60">
        <f t="shared" si="13"/>
        <v>193.41255803404454</v>
      </c>
      <c r="E60" s="16">
        <f t="shared" si="14"/>
        <v>12613.187441965956</v>
      </c>
      <c r="F60" s="18">
        <f t="shared" si="15"/>
        <v>10596.319522119387</v>
      </c>
    </row>
    <row r="61" spans="1:6">
      <c r="A61">
        <v>60</v>
      </c>
      <c r="B61" s="19">
        <f t="shared" si="12"/>
        <v>10596.319522119387</v>
      </c>
      <c r="C61">
        <v>12807.6</v>
      </c>
      <c r="D61">
        <f t="shared" si="13"/>
        <v>88.30266268432824</v>
      </c>
      <c r="E61" s="16">
        <f t="shared" si="14"/>
        <v>12719.297337315673</v>
      </c>
      <c r="F61" s="18">
        <f t="shared" si="15"/>
        <v>-2122.9778151962855</v>
      </c>
    </row>
    <row r="62" spans="1:6">
      <c r="B62" s="19"/>
      <c r="E62" s="16"/>
      <c r="F62" s="18"/>
    </row>
    <row r="63" spans="1:6">
      <c r="B63" s="19"/>
      <c r="E63" s="16"/>
      <c r="F63" s="18"/>
    </row>
    <row r="64" spans="1:6">
      <c r="B64" s="19"/>
      <c r="E64" s="16"/>
      <c r="F64" s="18"/>
    </row>
    <row r="65" spans="2:6">
      <c r="B65" s="19"/>
      <c r="E65" s="16"/>
      <c r="F65" s="18"/>
    </row>
    <row r="66" spans="2:6">
      <c r="B66" s="19"/>
      <c r="E66" s="16"/>
      <c r="F6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1_Goal_seek_basic</vt:lpstr>
      <vt:lpstr>2_Goal_seek_middle</vt:lpstr>
      <vt:lpstr>3_Goal_seek_adv</vt:lpstr>
      <vt:lpstr>4_Goal_seek_adv_pt2</vt:lpstr>
      <vt:lpstr>3_PMT Explained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2026-07-18T08:31:20Z</dcterms:modified>
</cp:coreProperties>
</file>