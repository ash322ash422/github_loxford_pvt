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esktop\projects\python_projects\tutorial\tut_tensorflow\class\genai_tonight\todo\"/>
    </mc:Choice>
  </mc:AlternateContent>
  <xr:revisionPtr revIDLastSave="0" documentId="13_ncr:1_{B94515EA-23BE-4A3B-8EFB-4EBBB262ADF1}" xr6:coauthVersionLast="47" xr6:coauthVersionMax="47" xr10:uidLastSave="{00000000-0000-0000-0000-000000000000}"/>
  <bookViews>
    <workbookView xWindow="-120" yWindow="-120" windowWidth="29040" windowHeight="15720" tabRatio="808" activeTab="3" xr2:uid="{00000000-000D-0000-FFFF-FFFF00000000}"/>
  </bookViews>
  <sheets>
    <sheet name="LookupFunction_VLOOKUP_IFERROR" sheetId="9" r:id="rId1"/>
    <sheet name="LookupFunction_INDEX_MATCH" sheetId="11" r:id="rId2"/>
    <sheet name="Error_IFERROR_ISNUMBER_ISBLANK" sheetId="12" r:id="rId3"/>
    <sheet name="Date_Time" sheetId="10" r:id="rId4"/>
  </sheets>
  <definedNames>
    <definedName name="TaxR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0" l="1"/>
  <c r="N2" i="12"/>
  <c r="K10" i="12"/>
  <c r="K11" i="12"/>
  <c r="K12" i="12"/>
  <c r="K13" i="12"/>
  <c r="K9" i="12"/>
  <c r="J10" i="12"/>
  <c r="J11" i="12"/>
  <c r="J12" i="12"/>
  <c r="J13" i="12"/>
  <c r="J9" i="12"/>
  <c r="H3" i="12"/>
  <c r="H4" i="12"/>
  <c r="H5" i="12"/>
  <c r="H6" i="12"/>
  <c r="G6" i="10"/>
  <c r="P2" i="12"/>
  <c r="N3" i="12"/>
  <c r="N4" i="12"/>
  <c r="N5" i="12"/>
  <c r="N6" i="12"/>
  <c r="K2" i="12"/>
  <c r="K2" i="11"/>
  <c r="G2" i="9"/>
  <c r="C3" i="10"/>
  <c r="G10" i="9"/>
  <c r="G9" i="9"/>
  <c r="G3" i="9"/>
  <c r="G3" i="12"/>
  <c r="G4" i="12"/>
  <c r="G5" i="12"/>
  <c r="G6" i="12"/>
  <c r="G2" i="12"/>
  <c r="K5" i="11"/>
  <c r="K3" i="11"/>
  <c r="K4" i="11"/>
  <c r="P3" i="12"/>
  <c r="P4" i="12"/>
  <c r="P5" i="12"/>
  <c r="P6" i="12"/>
  <c r="M6" i="12"/>
  <c r="K6" i="12"/>
  <c r="J6" i="12"/>
  <c r="M3" i="12"/>
  <c r="M4" i="12"/>
  <c r="M5" i="12"/>
  <c r="M2" i="12"/>
  <c r="K3" i="12"/>
  <c r="K4" i="12"/>
  <c r="K5" i="12"/>
  <c r="J3" i="12"/>
  <c r="J4" i="12"/>
  <c r="J5" i="12"/>
  <c r="J2" i="12"/>
  <c r="H2" i="12"/>
  <c r="D3" i="10"/>
  <c r="D7" i="10"/>
  <c r="D11" i="10"/>
  <c r="D4" i="10"/>
  <c r="D8" i="10"/>
  <c r="D12" i="10"/>
  <c r="D5" i="10"/>
  <c r="D9" i="10"/>
  <c r="D13" i="10"/>
  <c r="D6" i="10"/>
  <c r="D10" i="10"/>
  <c r="D2" i="10"/>
  <c r="H9" i="12"/>
  <c r="H10" i="9"/>
  <c r="L5" i="11"/>
  <c r="L3" i="11"/>
  <c r="H4" i="9"/>
  <c r="H3" i="9"/>
  <c r="H5" i="9"/>
  <c r="H2" i="9"/>
  <c r="L4" i="11"/>
  <c r="L2" i="11"/>
  <c r="G8" i="9" l="1"/>
  <c r="G5" i="9"/>
  <c r="G4" i="9"/>
  <c r="C13" i="10" l="1"/>
  <c r="C12" i="10"/>
  <c r="C11" i="10"/>
  <c r="C10" i="10"/>
  <c r="C9" i="10"/>
  <c r="C8" i="10"/>
  <c r="C7" i="10"/>
  <c r="C6" i="10"/>
  <c r="C5" i="10"/>
  <c r="C4" i="10"/>
  <c r="C2" i="10"/>
</calcChain>
</file>

<file path=xl/sharedStrings.xml><?xml version="1.0" encoding="utf-8"?>
<sst xmlns="http://schemas.openxmlformats.org/spreadsheetml/2006/main" count="107" uniqueCount="98">
  <si>
    <t>Cost</t>
  </si>
  <si>
    <t>Price</t>
  </si>
  <si>
    <t>VLOOKUP</t>
  </si>
  <si>
    <t>Chip</t>
  </si>
  <si>
    <t>Sugar</t>
  </si>
  <si>
    <t>product</t>
  </si>
  <si>
    <t>Oatmeal</t>
  </si>
  <si>
    <t>Bread</t>
  </si>
  <si>
    <t>Description</t>
  </si>
  <si>
    <t>Example Result</t>
  </si>
  <si>
    <t>Formula in Excel</t>
  </si>
  <si>
    <t>TODAY()</t>
  </si>
  <si>
    <t>NOW()</t>
  </si>
  <si>
    <t>YEAR(TODAY())</t>
  </si>
  <si>
    <t>MONTH(TODAY())</t>
  </si>
  <si>
    <t>DAY(TODAY())</t>
  </si>
  <si>
    <t>HOUR(NOW())</t>
  </si>
  <si>
    <t>MINUTE(NOW())</t>
  </si>
  <si>
    <t>SECOND(NOW())</t>
  </si>
  <si>
    <t>WEEKDAY(TODAY())</t>
  </si>
  <si>
    <t>DATE(2025,6,22)</t>
  </si>
  <si>
    <t>TIME(14,30,0)</t>
  </si>
  <si>
    <t>14:30:00</t>
  </si>
  <si>
    <t>EOMONTH(TODAY(), 0)</t>
  </si>
  <si>
    <t xml:space="preserve">VLOOKUP (vertical) is a function that searches for a specific value in the first column of a table and returns a corresponding value from another column in the same row. </t>
  </si>
  <si>
    <r>
      <t>MATCH</t>
    </r>
    <r>
      <rPr>
        <sz val="11"/>
        <color theme="1"/>
        <rFont val="Calibri"/>
        <family val="2"/>
        <scheme val="minor"/>
      </rPr>
      <t xml:space="preserve"> → Find position (row or column number).</t>
    </r>
  </si>
  <si>
    <r>
      <t>INDEX</t>
    </r>
    <r>
      <rPr>
        <sz val="11"/>
        <color theme="1"/>
        <rFont val="Calibri"/>
        <family val="2"/>
        <scheme val="minor"/>
      </rPr>
      <t xml:space="preserve"> → Return value at that position.</t>
    </r>
  </si>
  <si>
    <t>Together → Flexible lookups for real work: HR, Sales, Inventory, Reporting, Pricing.</t>
  </si>
  <si>
    <t>✅ 1️⃣ Scenario: Find an Employee’s Department</t>
  </si>
  <si>
    <t>Context:</t>
  </si>
  <si>
    <t>You have a list of employees and their departments. You want to find which department a given employee works in.</t>
  </si>
  <si>
    <t>Employee</t>
  </si>
  <si>
    <t>Department</t>
  </si>
  <si>
    <t>John</t>
  </si>
  <si>
    <t>Sales</t>
  </si>
  <si>
    <t>Mary</t>
  </si>
  <si>
    <t>HR</t>
  </si>
  <si>
    <t>Alex</t>
  </si>
  <si>
    <t>IT</t>
  </si>
  <si>
    <t>Priya</t>
  </si>
  <si>
    <t>Marketing</t>
  </si>
  <si>
    <t>Steve</t>
  </si>
  <si>
    <t>Finance</t>
  </si>
  <si>
    <t>Goal:</t>
  </si>
  <si>
    <r>
      <t xml:space="preserve">Find which department </t>
    </r>
    <r>
      <rPr>
        <i/>
        <sz val="11"/>
        <color theme="1"/>
        <rFont val="Calibri"/>
        <family val="2"/>
        <scheme val="minor"/>
      </rPr>
      <t>Alex</t>
    </r>
    <r>
      <rPr>
        <sz val="11"/>
        <color theme="1"/>
        <rFont val="Calibri"/>
        <family val="2"/>
        <scheme val="minor"/>
      </rPr>
      <t xml:space="preserve"> works in.</t>
    </r>
  </si>
  <si>
    <t>How to do it:</t>
  </si>
  <si>
    <r>
      <t>Step 1:</t>
    </r>
    <r>
      <rPr>
        <sz val="11"/>
        <color theme="1"/>
        <rFont val="Calibri"/>
        <family val="2"/>
        <scheme val="minor"/>
      </rPr>
      <t xml:space="preserve"> Use </t>
    </r>
    <r>
      <rPr>
        <sz val="10"/>
        <color theme="1"/>
        <rFont val="Arial Unicode MS"/>
      </rPr>
      <t>MATCH</t>
    </r>
    <r>
      <rPr>
        <sz val="11"/>
        <color theme="1"/>
        <rFont val="Calibri"/>
        <family val="2"/>
        <scheme val="minor"/>
      </rPr>
      <t xml:space="preserve"> to find the row number for Alex.</t>
    </r>
  </si>
  <si>
    <r>
      <t xml:space="preserve">➡️ This returns </t>
    </r>
    <r>
      <rPr>
        <sz val="10"/>
        <color theme="1"/>
        <rFont val="Arial Unicode MS"/>
      </rPr>
      <t>3</t>
    </r>
    <r>
      <rPr>
        <sz val="11"/>
        <color theme="1"/>
        <rFont val="Calibri"/>
        <family val="2"/>
        <scheme val="minor"/>
      </rPr>
      <t xml:space="preserve"> — because Alex is the 3rd row in the range.</t>
    </r>
  </si>
  <si>
    <r>
      <t>Step 2:</t>
    </r>
    <r>
      <rPr>
        <sz val="11"/>
        <color theme="1"/>
        <rFont val="Calibri"/>
        <family val="2"/>
        <scheme val="minor"/>
      </rPr>
      <t xml:space="preserve"> Use </t>
    </r>
    <r>
      <rPr>
        <sz val="10"/>
        <color theme="1"/>
        <rFont val="Arial Unicode MS"/>
      </rPr>
      <t>INDEX</t>
    </r>
    <r>
      <rPr>
        <sz val="11"/>
        <color theme="1"/>
        <rFont val="Calibri"/>
        <family val="2"/>
        <scheme val="minor"/>
      </rPr>
      <t xml:space="preserve"> to get the department in that row.</t>
    </r>
  </si>
  <si>
    <r>
      <t xml:space="preserve">➡️ This returns </t>
    </r>
    <r>
      <rPr>
        <b/>
        <sz val="11"/>
        <color theme="1"/>
        <rFont val="Calibri"/>
        <family val="2"/>
        <scheme val="minor"/>
      </rPr>
      <t>"IT"</t>
    </r>
  </si>
  <si>
    <r>
      <t xml:space="preserve">✅ </t>
    </r>
    <r>
      <rPr>
        <b/>
        <sz val="11"/>
        <color theme="1"/>
        <rFont val="Calibri"/>
        <family val="2"/>
        <scheme val="minor"/>
      </rPr>
      <t>Result:</t>
    </r>
    <r>
      <rPr>
        <sz val="11"/>
        <color theme="1"/>
        <rFont val="Calibri"/>
        <family val="2"/>
        <scheme val="minor"/>
      </rPr>
      <t xml:space="preserve"> You used </t>
    </r>
    <r>
      <rPr>
        <sz val="10"/>
        <color theme="1"/>
        <rFont val="Arial Unicode MS"/>
      </rPr>
      <t>INDEX</t>
    </r>
    <r>
      <rPr>
        <sz val="11"/>
        <color theme="1"/>
        <rFont val="Calibri"/>
        <family val="2"/>
        <scheme val="minor"/>
      </rPr>
      <t xml:space="preserve"> &amp; </t>
    </r>
    <r>
      <rPr>
        <sz val="10"/>
        <color theme="1"/>
        <rFont val="Arial Unicode MS"/>
      </rPr>
      <t>MATCH</t>
    </r>
    <r>
      <rPr>
        <sz val="11"/>
        <color theme="1"/>
        <rFont val="Calibri"/>
        <family val="2"/>
        <scheme val="minor"/>
      </rPr>
      <t xml:space="preserve"> to look up information flexibly, instead of </t>
    </r>
    <r>
      <rPr>
        <sz val="10"/>
        <color theme="1"/>
        <rFont val="Arial Unicode MS"/>
      </rPr>
      <t>VLOOKUP</t>
    </r>
    <r>
      <rPr>
        <sz val="11"/>
        <color theme="1"/>
        <rFont val="Calibri"/>
        <family val="2"/>
        <scheme val="minor"/>
      </rPr>
      <t>.</t>
    </r>
  </si>
  <si>
    <t>formula is =MATCH("Alex", A2:A6, 0)</t>
  </si>
  <si>
    <t>formula is  =INDEX(B2:B6, MATCH("Alex", A2:A6, 0))</t>
  </si>
  <si>
    <r>
      <t xml:space="preserve">✅ </t>
    </r>
    <r>
      <rPr>
        <b/>
        <sz val="11"/>
        <color theme="1"/>
        <rFont val="Calibri"/>
        <family val="2"/>
        <scheme val="minor"/>
      </rPr>
      <t xml:space="preserve">Why not </t>
    </r>
    <r>
      <rPr>
        <b/>
        <sz val="10"/>
        <color theme="1"/>
        <rFont val="Arial Unicode MS"/>
      </rPr>
      <t>VLOOKUP</t>
    </r>
    <r>
      <rPr>
        <b/>
        <sz val="11"/>
        <color theme="1"/>
        <rFont val="Calibri"/>
        <family val="2"/>
        <scheme val="minor"/>
      </rPr>
      <t>?</t>
    </r>
  </si>
  <si>
    <r>
      <t>INDEX</t>
    </r>
    <r>
      <rPr>
        <sz val="11"/>
        <color theme="1"/>
        <rFont val="Calibri"/>
        <family val="2"/>
        <scheme val="minor"/>
      </rPr>
      <t xml:space="preserve"> &amp; </t>
    </r>
    <r>
      <rPr>
        <sz val="10"/>
        <color theme="1"/>
        <rFont val="Arial Unicode MS"/>
      </rPr>
      <t>MATCH</t>
    </r>
    <r>
      <rPr>
        <sz val="11"/>
        <color theme="1"/>
        <rFont val="Calibri"/>
        <family val="2"/>
        <scheme val="minor"/>
      </rPr>
      <t xml:space="preserve"> are better when:</t>
    </r>
  </si>
  <si>
    <t>The lookup value is not in the first column.</t>
  </si>
  <si>
    <t>You want more flexible lookups (e.g., looking left, right, up, down).</t>
  </si>
  <si>
    <t>1) What is the price of sugar</t>
  </si>
  <si>
    <t>2) What is the price of:</t>
  </si>
  <si>
    <t>3) what is the cost of Oatmeal</t>
  </si>
  <si>
    <t xml:space="preserve">4) what is the cost of: </t>
  </si>
  <si>
    <t>5) what is the cost of Milk: Need for IFERROR</t>
  </si>
  <si>
    <t>6) what is the cost of Milk (iferror)</t>
  </si>
  <si>
    <t>7) what is the cost of (iferror)</t>
  </si>
  <si>
    <t>Region</t>
  </si>
  <si>
    <t>North</t>
  </si>
  <si>
    <t>South</t>
  </si>
  <si>
    <t>1) What is the row number of Alex(MATCH) ?</t>
  </si>
  <si>
    <t>3) Which department Alex works in ?</t>
  </si>
  <si>
    <t>4) Which department following employee works in ?</t>
  </si>
  <si>
    <t>Item</t>
  </si>
  <si>
    <t>Units Sold</t>
  </si>
  <si>
    <t>Nuts</t>
  </si>
  <si>
    <t>Bolts</t>
  </si>
  <si>
    <t>Screw driver</t>
  </si>
  <si>
    <t>Bits</t>
  </si>
  <si>
    <t>comments</t>
  </si>
  <si>
    <t>"Great service, fast delivery!"</t>
  </si>
  <si>
    <t>"Requesting a refund, poor item"</t>
  </si>
  <si>
    <t>"Happy with the product"</t>
  </si>
  <si>
    <t>"Need refund process info"</t>
  </si>
  <si>
    <t>test@gmail.com</t>
  </si>
  <si>
    <t>happy@hotmail.com</t>
  </si>
  <si>
    <t>go@gmail.com</t>
  </si>
  <si>
    <t>jackhammer</t>
  </si>
  <si>
    <t>"I am satisfied"</t>
  </si>
  <si>
    <t>sales_per_unit with_error</t>
  </si>
  <si>
    <t>sales_per_unit with_IFERROR</t>
  </si>
  <si>
    <t>search_for_refund with_error</t>
  </si>
  <si>
    <t>search_for_refund  with_ISNUMBER</t>
  </si>
  <si>
    <t>sales_per_unit best_practice</t>
  </si>
  <si>
    <t>2) what is the department value in row number 4 ?</t>
  </si>
  <si>
    <t>customer_email</t>
  </si>
  <si>
    <t>cust_email absent</t>
  </si>
  <si>
    <t>cust_email missing</t>
  </si>
  <si>
    <t xml:space="preserve"> Need for IFERROR: Allows a customized error message</t>
  </si>
  <si>
    <t>honey</t>
  </si>
  <si>
    <t>chip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</si>
</sst>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[$-F800]dddd\,\ mmmm\ dd\,\ yyyy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/>
    <xf numFmtId="0" fontId="0" fillId="0" borderId="0" xfId="0" applyAlignment="1">
      <alignment horizontal="left" vertical="center" indent="1"/>
    </xf>
    <xf numFmtId="0" fontId="0" fillId="2" borderId="0" xfId="0" applyFill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4" borderId="0" xfId="0" applyFill="1"/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7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14" fontId="0" fillId="4" borderId="0" xfId="0" applyNumberFormat="1" applyFill="1"/>
    <xf numFmtId="166" fontId="0" fillId="4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8" fillId="3" borderId="1" xfId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600075</xdr:colOff>
      <xdr:row>6</xdr:row>
      <xdr:rowOff>95249</xdr:rowOff>
    </xdr:from>
    <xdr:ext cx="1285875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4401800" y="1933574"/>
          <a:ext cx="128587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This uses ISBLANK and ISERROR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go@gmail.com" TargetMode="External"/><Relationship Id="rId2" Type="http://schemas.openxmlformats.org/officeDocument/2006/relationships/hyperlink" Target="mailto:happy@hotmail.com" TargetMode="External"/><Relationship Id="rId1" Type="http://schemas.openxmlformats.org/officeDocument/2006/relationships/hyperlink" Target="mailto:test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zoomScale="145" zoomScaleNormal="145" workbookViewId="0">
      <selection activeCell="G9" sqref="G9"/>
    </sheetView>
  </sheetViews>
  <sheetFormatPr defaultRowHeight="15"/>
  <cols>
    <col min="1" max="1" width="14.42578125" bestFit="1" customWidth="1"/>
    <col min="3" max="3" width="11.5703125" customWidth="1"/>
    <col min="4" max="4" width="12.42578125" customWidth="1"/>
    <col min="5" max="5" width="38.140625" customWidth="1"/>
    <col min="7" max="7" width="16.7109375" customWidth="1"/>
    <col min="8" max="8" width="41.5703125" customWidth="1"/>
  </cols>
  <sheetData>
    <row r="1" spans="1:8">
      <c r="A1" s="28" t="s">
        <v>5</v>
      </c>
      <c r="B1" s="28" t="s">
        <v>0</v>
      </c>
      <c r="C1" s="28" t="s">
        <v>1</v>
      </c>
      <c r="D1" s="1"/>
      <c r="E1" s="1" t="s">
        <v>2</v>
      </c>
      <c r="F1" s="1" t="s">
        <v>24</v>
      </c>
    </row>
    <row r="2" spans="1:8">
      <c r="A2" s="29" t="s">
        <v>3</v>
      </c>
      <c r="B2" s="29">
        <v>10</v>
      </c>
      <c r="C2" s="29">
        <v>12</v>
      </c>
      <c r="E2" t="s">
        <v>57</v>
      </c>
      <c r="F2" s="1"/>
      <c r="G2" s="15">
        <f>VLOOKUP("Sugar",A1:C5,3,FALSE)</f>
        <v>9</v>
      </c>
      <c r="H2" t="str">
        <f ca="1" xml:space="preserve"> _xlfn.FORMULATEXT(G2)</f>
        <v>=VLOOKUP("Sugar",A1:C5,3,FALSE)</v>
      </c>
    </row>
    <row r="3" spans="1:8">
      <c r="A3" s="29" t="s">
        <v>6</v>
      </c>
      <c r="B3" s="29">
        <v>8</v>
      </c>
      <c r="C3" s="29">
        <v>11</v>
      </c>
      <c r="E3" t="s">
        <v>58</v>
      </c>
      <c r="F3" t="s">
        <v>97</v>
      </c>
      <c r="G3" s="15">
        <f>VLOOKUP(F3,A1:C5,3,FALSE)</f>
        <v>12</v>
      </c>
      <c r="H3" t="str">
        <f ca="1" xml:space="preserve"> _xlfn.FORMULATEXT(G3)</f>
        <v>=VLOOKUP(F3,A1:C5,3,FALSE)</v>
      </c>
    </row>
    <row r="4" spans="1:8">
      <c r="A4" s="29" t="s">
        <v>4</v>
      </c>
      <c r="B4" s="29">
        <v>5</v>
      </c>
      <c r="C4" s="29">
        <v>9</v>
      </c>
      <c r="E4" t="s">
        <v>59</v>
      </c>
      <c r="F4" s="1"/>
      <c r="G4" s="15">
        <f>VLOOKUP("Oatmeal",A1:C5,2,FALSE)</f>
        <v>8</v>
      </c>
      <c r="H4" t="str">
        <f ca="1">_xlfn.FORMULATEXT(G4)</f>
        <v>=VLOOKUP("Oatmeal",A1:C5,2,FALSE)</v>
      </c>
    </row>
    <row r="5" spans="1:8">
      <c r="A5" s="29" t="s">
        <v>7</v>
      </c>
      <c r="B5" s="29">
        <v>3</v>
      </c>
      <c r="C5" s="29">
        <v>4</v>
      </c>
      <c r="E5" t="s">
        <v>60</v>
      </c>
      <c r="F5" t="s">
        <v>6</v>
      </c>
      <c r="G5" s="15">
        <f>VLOOKUP(F5,A1:C5,2,FALSE)</f>
        <v>8</v>
      </c>
      <c r="H5" t="str">
        <f ca="1">_xlfn.FORMULATEXT(G5)</f>
        <v>=VLOOKUP(F5,A1:C5,2,FALSE)</v>
      </c>
    </row>
    <row r="8" spans="1:8">
      <c r="E8" t="s">
        <v>61</v>
      </c>
      <c r="G8" s="15" t="e">
        <f>VLOOKUP("Milk", A2:C5, 2, FALSE)</f>
        <v>#N/A</v>
      </c>
      <c r="H8" t="s">
        <v>95</v>
      </c>
    </row>
    <row r="9" spans="1:8">
      <c r="E9" t="s">
        <v>62</v>
      </c>
      <c r="G9" s="15" t="str">
        <f>IFERROR(VLOOKUP("Milk", A2:C5, 2, FALSE), "Product Not found")</f>
        <v>Product Not found</v>
      </c>
    </row>
    <row r="10" spans="1:8">
      <c r="E10" t="s">
        <v>63</v>
      </c>
      <c r="F10" t="s">
        <v>96</v>
      </c>
      <c r="G10" s="15" t="str">
        <f>IFERROR(VLOOKUP(F10, A2:C5, 2, FALSE), "Product Not found")</f>
        <v>Product Not found</v>
      </c>
      <c r="H10" t="str">
        <f ca="1">_xlfn.FORMULATEXT(G10)</f>
        <v>=IFERROR(VLOOKUP(F10, A2:C5, 2, FALSE), "Product Not found")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6"/>
  <sheetViews>
    <sheetView zoomScale="170" zoomScaleNormal="170" workbookViewId="0">
      <selection activeCell="B6" sqref="B6"/>
    </sheetView>
  </sheetViews>
  <sheetFormatPr defaultRowHeight="15"/>
  <cols>
    <col min="1" max="1" width="12.7109375" customWidth="1"/>
    <col min="2" max="3" width="13.28515625" customWidth="1"/>
    <col min="5" max="5" width="5.7109375" customWidth="1"/>
    <col min="9" max="9" width="22.28515625" customWidth="1"/>
    <col min="10" max="10" width="6.85546875" customWidth="1"/>
    <col min="11" max="11" width="12" customWidth="1"/>
    <col min="12" max="12" width="31.5703125" customWidth="1"/>
    <col min="15" max="15" width="20" customWidth="1"/>
  </cols>
  <sheetData>
    <row r="1" spans="1:15">
      <c r="A1" s="16" t="s">
        <v>31</v>
      </c>
      <c r="B1" s="16" t="s">
        <v>32</v>
      </c>
      <c r="C1" s="16" t="s">
        <v>64</v>
      </c>
    </row>
    <row r="2" spans="1:15">
      <c r="A2" s="17" t="s">
        <v>33</v>
      </c>
      <c r="B2" s="17" t="s">
        <v>34</v>
      </c>
      <c r="C2" s="17" t="s">
        <v>65</v>
      </c>
      <c r="F2" s="30" t="s">
        <v>67</v>
      </c>
      <c r="G2" s="30"/>
      <c r="H2" s="30"/>
      <c r="I2" s="30"/>
      <c r="K2" s="18">
        <f xml:space="preserve"> MATCH("Alex",A:A,0)</f>
        <v>4</v>
      </c>
      <c r="L2" t="str">
        <f ca="1" xml:space="preserve"> _xlfn.FORMULATEXT(K2)</f>
        <v>= MATCH("Alex",A:A,0)</v>
      </c>
    </row>
    <row r="3" spans="1:15">
      <c r="A3" s="17" t="s">
        <v>35</v>
      </c>
      <c r="B3" s="17" t="s">
        <v>36</v>
      </c>
      <c r="C3" s="17" t="s">
        <v>66</v>
      </c>
      <c r="F3" s="30" t="s">
        <v>91</v>
      </c>
      <c r="G3" s="30"/>
      <c r="H3" s="30"/>
      <c r="I3" s="30"/>
      <c r="K3" s="18" t="str">
        <f xml:space="preserve"> INDEX(B:B,4)</f>
        <v>IT</v>
      </c>
      <c r="L3" t="str">
        <f t="shared" ref="L3:L5" ca="1" si="0" xml:space="preserve"> _xlfn.FORMULATEXT(K3)</f>
        <v>= INDEX(B:B,4)</v>
      </c>
    </row>
    <row r="4" spans="1:15">
      <c r="A4" s="17" t="s">
        <v>37</v>
      </c>
      <c r="B4" s="17" t="s">
        <v>38</v>
      </c>
      <c r="C4" s="17" t="s">
        <v>65</v>
      </c>
      <c r="F4" s="30" t="s">
        <v>68</v>
      </c>
      <c r="G4" s="30"/>
      <c r="H4" s="30"/>
      <c r="I4" s="30"/>
      <c r="K4" s="19" t="str">
        <f>INDEX(B:B, MATCH("Alex", A:A, 0))</f>
        <v>IT</v>
      </c>
      <c r="L4" t="str">
        <f t="shared" ca="1" si="0"/>
        <v>=INDEX(B:B, MATCH("Alex", A:A, 0))</v>
      </c>
    </row>
    <row r="5" spans="1:15" ht="18" customHeight="1">
      <c r="A5" s="17" t="s">
        <v>39</v>
      </c>
      <c r="B5" s="17" t="s">
        <v>40</v>
      </c>
      <c r="C5" s="17" t="s">
        <v>66</v>
      </c>
      <c r="F5" s="30" t="s">
        <v>69</v>
      </c>
      <c r="G5" s="30"/>
      <c r="H5" s="30"/>
      <c r="I5" s="30"/>
      <c r="J5" s="12" t="s">
        <v>41</v>
      </c>
      <c r="K5" s="19" t="str">
        <f>INDEX(B:B, MATCH(J5, A:A, 0))</f>
        <v>Finance</v>
      </c>
      <c r="L5" t="str">
        <f t="shared" ca="1" si="0"/>
        <v>=INDEX(B:B, MATCH(J5, A:A, 0))</v>
      </c>
    </row>
    <row r="6" spans="1:15">
      <c r="A6" s="17" t="s">
        <v>41</v>
      </c>
      <c r="B6" s="17" t="s">
        <v>42</v>
      </c>
      <c r="C6" s="17" t="s">
        <v>66</v>
      </c>
    </row>
    <row r="7" spans="1:15">
      <c r="A7" s="17" t="s">
        <v>33</v>
      </c>
      <c r="B7" s="17" t="s">
        <v>38</v>
      </c>
      <c r="C7" s="17" t="s">
        <v>65</v>
      </c>
    </row>
    <row r="11" spans="1:15">
      <c r="K11" s="6" t="s">
        <v>25</v>
      </c>
    </row>
    <row r="12" spans="1:15">
      <c r="K12" s="6" t="s">
        <v>26</v>
      </c>
    </row>
    <row r="14" spans="1:15">
      <c r="K14" s="1" t="s">
        <v>27</v>
      </c>
      <c r="L14" s="1"/>
      <c r="M14" s="1"/>
      <c r="N14" s="1"/>
      <c r="O14" s="1"/>
    </row>
    <row r="17" spans="11:11" ht="23.25">
      <c r="K17" s="7" t="s">
        <v>28</v>
      </c>
    </row>
    <row r="19" spans="11:11">
      <c r="K19" s="1" t="s">
        <v>29</v>
      </c>
    </row>
    <row r="20" spans="11:11">
      <c r="K20" t="s">
        <v>30</v>
      </c>
    </row>
    <row r="22" spans="11:11">
      <c r="K22" s="1" t="s">
        <v>43</v>
      </c>
    </row>
    <row r="23" spans="11:11">
      <c r="K23" t="s">
        <v>44</v>
      </c>
    </row>
    <row r="26" spans="11:11" ht="18">
      <c r="K26" s="9" t="s">
        <v>45</v>
      </c>
    </row>
    <row r="28" spans="11:11">
      <c r="K28" s="1" t="s">
        <v>46</v>
      </c>
    </row>
    <row r="29" spans="11:11">
      <c r="K29" t="s">
        <v>51</v>
      </c>
    </row>
    <row r="31" spans="11:11">
      <c r="K31" t="s">
        <v>47</v>
      </c>
    </row>
    <row r="33" spans="11:11">
      <c r="K33" s="1" t="s">
        <v>48</v>
      </c>
    </row>
    <row r="34" spans="11:11">
      <c r="K34" t="s">
        <v>52</v>
      </c>
    </row>
    <row r="36" spans="11:11">
      <c r="K36" t="s">
        <v>49</v>
      </c>
    </row>
    <row r="40" spans="11:11">
      <c r="K40" t="s">
        <v>50</v>
      </c>
    </row>
    <row r="43" spans="11:11">
      <c r="K43" t="s">
        <v>53</v>
      </c>
    </row>
    <row r="44" spans="11:11">
      <c r="K44" s="10" t="s">
        <v>54</v>
      </c>
    </row>
    <row r="45" spans="11:11">
      <c r="K45" s="11" t="s">
        <v>55</v>
      </c>
    </row>
    <row r="46" spans="11:11">
      <c r="K46" s="11" t="s">
        <v>56</v>
      </c>
    </row>
  </sheetData>
  <mergeCells count="4">
    <mergeCell ref="F2:I2"/>
    <mergeCell ref="F3:I3"/>
    <mergeCell ref="F4:I4"/>
    <mergeCell ref="F5:I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5"/>
  <sheetViews>
    <sheetView topLeftCell="H1" zoomScale="120" zoomScaleNormal="120" workbookViewId="0">
      <selection activeCell="I15" sqref="I15"/>
    </sheetView>
  </sheetViews>
  <sheetFormatPr defaultRowHeight="15"/>
  <cols>
    <col min="1" max="1" width="13" customWidth="1"/>
    <col min="3" max="3" width="13.7109375" customWidth="1"/>
    <col min="4" max="4" width="32.7109375" customWidth="1"/>
    <col min="5" max="5" width="22.140625" customWidth="1"/>
    <col min="7" max="8" width="29.85546875" customWidth="1"/>
    <col min="9" max="9" width="11.140625" customWidth="1"/>
    <col min="10" max="10" width="30.28515625" customWidth="1"/>
    <col min="11" max="11" width="37.5703125" customWidth="1"/>
    <col min="12" max="12" width="5.7109375" customWidth="1"/>
    <col min="13" max="13" width="19.42578125" customWidth="1"/>
    <col min="14" max="14" width="24" customWidth="1"/>
    <col min="16" max="16" width="15" customWidth="1"/>
  </cols>
  <sheetData>
    <row r="1" spans="1:16" ht="70.5" customHeight="1">
      <c r="A1" s="24" t="s">
        <v>70</v>
      </c>
      <c r="B1" s="24" t="s">
        <v>34</v>
      </c>
      <c r="C1" s="24" t="s">
        <v>71</v>
      </c>
      <c r="D1" s="24" t="s">
        <v>76</v>
      </c>
      <c r="E1" s="24" t="s">
        <v>92</v>
      </c>
      <c r="G1" s="20" t="s">
        <v>86</v>
      </c>
      <c r="H1" s="20" t="s">
        <v>87</v>
      </c>
      <c r="I1" s="13"/>
      <c r="J1" s="20" t="s">
        <v>88</v>
      </c>
      <c r="K1" s="20" t="s">
        <v>89</v>
      </c>
      <c r="M1" s="21" t="s">
        <v>93</v>
      </c>
      <c r="N1" s="21" t="s">
        <v>94</v>
      </c>
      <c r="P1" s="20" t="s">
        <v>90</v>
      </c>
    </row>
    <row r="2" spans="1:16" ht="15" customHeight="1">
      <c r="A2" s="25" t="s">
        <v>72</v>
      </c>
      <c r="B2" s="25">
        <v>500</v>
      </c>
      <c r="C2" s="25">
        <v>50</v>
      </c>
      <c r="D2" s="25" t="s">
        <v>77</v>
      </c>
      <c r="E2" s="26" t="s">
        <v>81</v>
      </c>
      <c r="G2" s="18">
        <f>B2/C2</f>
        <v>10</v>
      </c>
      <c r="H2" s="18">
        <f xml:space="preserve"> IFERROR(B2/C2,"N/A")</f>
        <v>10</v>
      </c>
      <c r="J2" s="18" t="e">
        <f>SEARCH("refund", D2)</f>
        <v>#VALUE!</v>
      </c>
      <c r="K2" s="18" t="b">
        <f>ISNUMBER(SEARCH("refund", D2))</f>
        <v>0</v>
      </c>
      <c r="M2" s="15" t="b">
        <f>ISBLANK(E2)</f>
        <v>0</v>
      </c>
      <c r="N2" s="15" t="str">
        <f>IF(ISBLANK(E2), "Missing Email", "Not Missing Email")</f>
        <v>Not Missing Email</v>
      </c>
      <c r="P2" s="18">
        <f>L13</f>
        <v>0</v>
      </c>
    </row>
    <row r="3" spans="1:16" ht="15" customHeight="1">
      <c r="A3" s="25" t="s">
        <v>73</v>
      </c>
      <c r="B3" s="25">
        <v>400</v>
      </c>
      <c r="C3" s="25">
        <v>0</v>
      </c>
      <c r="D3" s="25" t="s">
        <v>78</v>
      </c>
      <c r="E3" s="26" t="s">
        <v>82</v>
      </c>
      <c r="G3" s="18" t="e">
        <f t="shared" ref="G3:G6" si="0">B3/C3</f>
        <v>#DIV/0!</v>
      </c>
      <c r="H3" s="18" t="str">
        <f t="shared" ref="H3:H6" si="1" xml:space="preserve"> IFERROR(B3/C3,"N/A")</f>
        <v>N/A</v>
      </c>
      <c r="J3" s="18">
        <f t="shared" ref="J3:J6" si="2">SEARCH("refund", D3)</f>
        <v>15</v>
      </c>
      <c r="K3" s="18" t="b">
        <f t="shared" ref="K3:K6" si="3">ISNUMBER(SEARCH("refund", D3))</f>
        <v>1</v>
      </c>
      <c r="M3" s="15" t="b">
        <f t="shared" ref="M3:M6" si="4">ISBLANK(E3)</f>
        <v>0</v>
      </c>
      <c r="N3" s="15" t="str">
        <f t="shared" ref="N3:N6" si="5">IF(ISBLANK(E3), "Missing Email", "Not Missing Email")</f>
        <v>Not Missing Email</v>
      </c>
      <c r="P3" s="18" t="str">
        <f t="shared" ref="P3:P6" si="6">IF(ISBLANK(B3),
    "No Data",
    IFERROR(B3/C3, "N/A")
)</f>
        <v>N/A</v>
      </c>
    </row>
    <row r="4" spans="1:16" ht="14.25" customHeight="1">
      <c r="A4" s="25" t="s">
        <v>74</v>
      </c>
      <c r="B4" s="25">
        <v>300</v>
      </c>
      <c r="C4" s="25">
        <v>30</v>
      </c>
      <c r="D4" s="25" t="s">
        <v>79</v>
      </c>
      <c r="E4" s="25"/>
      <c r="G4" s="18">
        <f t="shared" si="0"/>
        <v>10</v>
      </c>
      <c r="H4" s="18">
        <f t="shared" si="1"/>
        <v>10</v>
      </c>
      <c r="J4" s="18" t="e">
        <f t="shared" si="2"/>
        <v>#VALUE!</v>
      </c>
      <c r="K4" s="18" t="b">
        <f t="shared" si="3"/>
        <v>0</v>
      </c>
      <c r="M4" s="15" t="b">
        <f t="shared" si="4"/>
        <v>1</v>
      </c>
      <c r="N4" s="15" t="str">
        <f t="shared" si="5"/>
        <v>Missing Email</v>
      </c>
      <c r="P4" s="18">
        <f t="shared" si="6"/>
        <v>10</v>
      </c>
    </row>
    <row r="5" spans="1:16">
      <c r="A5" s="25" t="s">
        <v>75</v>
      </c>
      <c r="B5" s="25">
        <v>100</v>
      </c>
      <c r="C5" s="25">
        <v>50</v>
      </c>
      <c r="D5" s="25" t="s">
        <v>80</v>
      </c>
      <c r="E5" s="26" t="s">
        <v>83</v>
      </c>
      <c r="G5" s="18">
        <f t="shared" si="0"/>
        <v>2</v>
      </c>
      <c r="H5" s="18">
        <f t="shared" si="1"/>
        <v>2</v>
      </c>
      <c r="J5" s="18">
        <f t="shared" si="2"/>
        <v>7</v>
      </c>
      <c r="K5" s="18" t="b">
        <f t="shared" si="3"/>
        <v>1</v>
      </c>
      <c r="M5" s="15" t="b">
        <f t="shared" si="4"/>
        <v>0</v>
      </c>
      <c r="N5" s="15" t="str">
        <f t="shared" si="5"/>
        <v>Not Missing Email</v>
      </c>
      <c r="P5" s="18">
        <f t="shared" si="6"/>
        <v>2</v>
      </c>
    </row>
    <row r="6" spans="1:16">
      <c r="A6" s="25" t="s">
        <v>84</v>
      </c>
      <c r="B6" s="27"/>
      <c r="C6" s="25">
        <v>20</v>
      </c>
      <c r="D6" s="25" t="s">
        <v>85</v>
      </c>
      <c r="E6" s="27"/>
      <c r="G6" s="18">
        <f t="shared" si="0"/>
        <v>0</v>
      </c>
      <c r="H6" s="18">
        <f t="shared" si="1"/>
        <v>0</v>
      </c>
      <c r="J6" s="18" t="e">
        <f t="shared" si="2"/>
        <v>#VALUE!</v>
      </c>
      <c r="K6" s="18" t="b">
        <f t="shared" si="3"/>
        <v>0</v>
      </c>
      <c r="M6" s="15" t="b">
        <f t="shared" si="4"/>
        <v>1</v>
      </c>
      <c r="N6" s="15" t="str">
        <f t="shared" si="5"/>
        <v>Missing Email</v>
      </c>
      <c r="P6" s="18" t="str">
        <f t="shared" si="6"/>
        <v>No Data</v>
      </c>
    </row>
    <row r="9" spans="1:16">
      <c r="H9" t="str">
        <f ca="1" xml:space="preserve"> _xlfn.FORMULATEXT(H2)</f>
        <v>= IFERROR(B2/C2,"N/A")</v>
      </c>
      <c r="J9" t="e">
        <f xml:space="preserve"> SEARCH("Refund",D2)</f>
        <v>#VALUE!</v>
      </c>
      <c r="K9" t="b">
        <f xml:space="preserve"> ISNUMBER(SEARCH("Refund",D2))</f>
        <v>0</v>
      </c>
    </row>
    <row r="10" spans="1:16">
      <c r="J10">
        <f t="shared" ref="J10:J13" si="7" xml:space="preserve"> SEARCH("Refund",D3)</f>
        <v>15</v>
      </c>
      <c r="K10" t="b">
        <f t="shared" ref="K10:K13" si="8" xml:space="preserve"> ISNUMBER(SEARCH("Refund",D3))</f>
        <v>1</v>
      </c>
    </row>
    <row r="11" spans="1:16">
      <c r="E11" s="14"/>
      <c r="J11" t="e">
        <f t="shared" si="7"/>
        <v>#VALUE!</v>
      </c>
      <c r="K11" t="b">
        <f t="shared" si="8"/>
        <v>0</v>
      </c>
    </row>
    <row r="12" spans="1:16">
      <c r="E12" s="8"/>
      <c r="J12">
        <f t="shared" si="7"/>
        <v>7</v>
      </c>
      <c r="K12" t="b">
        <f t="shared" si="8"/>
        <v>1</v>
      </c>
    </row>
    <row r="13" spans="1:16">
      <c r="E13" s="8"/>
      <c r="J13" t="e">
        <f t="shared" si="7"/>
        <v>#VALUE!</v>
      </c>
      <c r="K13" t="b">
        <f t="shared" si="8"/>
        <v>0</v>
      </c>
    </row>
    <row r="14" spans="1:16">
      <c r="E14" s="8"/>
    </row>
    <row r="15" spans="1:16">
      <c r="E15" s="8"/>
    </row>
  </sheetData>
  <hyperlinks>
    <hyperlink ref="E2" r:id="rId1" xr:uid="{00000000-0004-0000-0200-000000000000}"/>
    <hyperlink ref="E3" r:id="rId2" xr:uid="{00000000-0004-0000-0200-000001000000}"/>
    <hyperlink ref="E5" r:id="rId3" xr:uid="{00000000-0004-0000-0200-000002000000}"/>
  </hyperlinks>
  <pageMargins left="0.7" right="0.7" top="0.75" bottom="0.75" header="0.3" footer="0.3"/>
  <pageSetup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tabSelected="1" zoomScale="160" zoomScaleNormal="160" workbookViewId="0">
      <selection activeCell="D13" sqref="D13"/>
    </sheetView>
  </sheetViews>
  <sheetFormatPr defaultRowHeight="15"/>
  <cols>
    <col min="1" max="1" width="21.5703125" customWidth="1"/>
    <col min="2" max="2" width="18.7109375" customWidth="1"/>
    <col min="3" max="3" width="28" customWidth="1"/>
    <col min="4" max="4" width="20.42578125" customWidth="1"/>
    <col min="6" max="8" width="10" bestFit="1" customWidth="1"/>
  </cols>
  <sheetData>
    <row r="1" spans="1:8">
      <c r="A1" s="3" t="s">
        <v>8</v>
      </c>
      <c r="B1" s="3" t="s">
        <v>9</v>
      </c>
      <c r="C1" s="3" t="s">
        <v>10</v>
      </c>
    </row>
    <row r="2" spans="1:8">
      <c r="A2" t="s">
        <v>11</v>
      </c>
      <c r="B2" s="4">
        <v>45830</v>
      </c>
      <c r="C2" s="22">
        <f ca="1">TODAY()</f>
        <v>46201</v>
      </c>
      <c r="D2" t="str">
        <f ca="1" xml:space="preserve"> _xlfn.FORMULATEXT(C2)</f>
        <v>=TODAY()</v>
      </c>
      <c r="F2" s="2"/>
      <c r="H2" s="2">
        <f ca="1" xml:space="preserve"> TODAY()</f>
        <v>46201</v>
      </c>
    </row>
    <row r="3" spans="1:8">
      <c r="A3" t="s">
        <v>12</v>
      </c>
      <c r="B3" s="5">
        <v>45830.458497614592</v>
      </c>
      <c r="C3" s="23">
        <f ca="1">NOW()</f>
        <v>46201.85796666667</v>
      </c>
      <c r="D3" t="str">
        <f t="shared" ref="D3:D13" ca="1" si="0" xml:space="preserve"> _xlfn.FORMULATEXT(C3)</f>
        <v>=NOW()</v>
      </c>
      <c r="E3" s="2"/>
    </row>
    <row r="4" spans="1:8">
      <c r="A4" t="s">
        <v>13</v>
      </c>
      <c r="B4">
        <v>2025</v>
      </c>
      <c r="C4" s="15">
        <f ca="1">YEAR(TODAY())</f>
        <v>2026</v>
      </c>
      <c r="D4" t="str">
        <f t="shared" ca="1" si="0"/>
        <v>=YEAR(TODAY())</v>
      </c>
    </row>
    <row r="5" spans="1:8">
      <c r="A5" t="s">
        <v>14</v>
      </c>
      <c r="B5">
        <v>6</v>
      </c>
      <c r="C5" s="15">
        <f ca="1">MONTH(TODAY())</f>
        <v>6</v>
      </c>
      <c r="D5" t="str">
        <f t="shared" ca="1" si="0"/>
        <v>=MONTH(TODAY())</v>
      </c>
    </row>
    <row r="6" spans="1:8">
      <c r="A6" t="s">
        <v>15</v>
      </c>
      <c r="B6">
        <v>22</v>
      </c>
      <c r="C6" s="15">
        <f ca="1">DAY(TODAY())</f>
        <v>28</v>
      </c>
      <c r="D6" t="str">
        <f t="shared" ca="1" si="0"/>
        <v>=DAY(TODAY())</v>
      </c>
      <c r="G6" s="2">
        <f ca="1" xml:space="preserve"> TODAY()</f>
        <v>46201</v>
      </c>
    </row>
    <row r="7" spans="1:8">
      <c r="A7" t="s">
        <v>16</v>
      </c>
      <c r="B7">
        <v>11</v>
      </c>
      <c r="C7" s="15">
        <f ca="1">HOUR(NOW())</f>
        <v>20</v>
      </c>
      <c r="D7" t="str">
        <f t="shared" ca="1" si="0"/>
        <v>=HOUR(NOW())</v>
      </c>
    </row>
    <row r="8" spans="1:8">
      <c r="A8" t="s">
        <v>17</v>
      </c>
      <c r="B8">
        <v>0</v>
      </c>
      <c r="C8" s="15">
        <f ca="1">MINUTE(NOW())</f>
        <v>35</v>
      </c>
      <c r="D8" t="str">
        <f t="shared" ca="1" si="0"/>
        <v>=MINUTE(NOW())</v>
      </c>
    </row>
    <row r="9" spans="1:8">
      <c r="A9" t="s">
        <v>18</v>
      </c>
      <c r="B9">
        <v>14</v>
      </c>
      <c r="C9" s="15">
        <f ca="1">SECOND(NOW())</f>
        <v>28</v>
      </c>
      <c r="D9" t="str">
        <f t="shared" ca="1" si="0"/>
        <v>=SECOND(NOW())</v>
      </c>
    </row>
    <row r="10" spans="1:8">
      <c r="A10" t="s">
        <v>19</v>
      </c>
      <c r="B10">
        <v>7</v>
      </c>
      <c r="C10" s="15">
        <f ca="1">WEEKDAY(TODAY())</f>
        <v>1</v>
      </c>
      <c r="D10" t="str">
        <f t="shared" ca="1" si="0"/>
        <v>=WEEKDAY(TODAY())</v>
      </c>
    </row>
    <row r="11" spans="1:8">
      <c r="A11" t="s">
        <v>20</v>
      </c>
      <c r="B11" s="4">
        <v>45830</v>
      </c>
      <c r="C11" s="22">
        <f>DATE(2025,6,22)</f>
        <v>45830</v>
      </c>
      <c r="D11" t="str">
        <f t="shared" ca="1" si="0"/>
        <v>=DATE(2025,6,22)</v>
      </c>
    </row>
    <row r="12" spans="1:8">
      <c r="A12" t="s">
        <v>21</v>
      </c>
      <c r="B12" t="s">
        <v>22</v>
      </c>
      <c r="C12" s="15">
        <f>TIME(14,30,0)</f>
        <v>0.60416666666666663</v>
      </c>
      <c r="D12" t="str">
        <f t="shared" ca="1" si="0"/>
        <v>=TIME(14,30,0)</v>
      </c>
    </row>
    <row r="13" spans="1:8">
      <c r="A13" t="s">
        <v>23</v>
      </c>
      <c r="B13" s="5">
        <v>45838</v>
      </c>
      <c r="C13" s="22">
        <f ca="1">EOMONTH(TODAY(),0)</f>
        <v>46203</v>
      </c>
      <c r="D13" t="str">
        <f t="shared" ca="1" si="0"/>
        <v>=EOMONTH(TODAY(),0)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LookupFunction_VLOOKUP_IFERROR</vt:lpstr>
      <vt:lpstr>LookupFunction_INDEX_MATCH</vt:lpstr>
      <vt:lpstr>Error_IFERROR_ISNUMBER_ISBLANK</vt:lpstr>
      <vt:lpstr>Date_Time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Ashwani Kumar</cp:lastModifiedBy>
  <cp:revision/>
  <dcterms:created xsi:type="dcterms:W3CDTF">2022-05-10T22:30:35Z</dcterms:created>
  <dcterms:modified xsi:type="dcterms:W3CDTF">2026-06-28T15:06:09Z</dcterms:modified>
  <cp:category/>
  <cp:contentStatus/>
</cp:coreProperties>
</file>