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ink/ink1.xml" ContentType="application/inkml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i\Desktop\projects\python_projects\tutorial\tut_tensorflow\class\genai_tonight\todo\"/>
    </mc:Choice>
  </mc:AlternateContent>
  <xr:revisionPtr revIDLastSave="0" documentId="13_ncr:1_{4DC12173-6B66-435A-B0BD-703CF8DFEA89}" xr6:coauthVersionLast="47" xr6:coauthVersionMax="47" xr10:uidLastSave="{00000000-0000-0000-0000-000000000000}"/>
  <bookViews>
    <workbookView xWindow="-120" yWindow="-120" windowWidth="29040" windowHeight="15720" tabRatio="808" xr2:uid="{00000000-000D-0000-FFFF-FFFF00000000}"/>
  </bookViews>
  <sheets>
    <sheet name="Formula Fundamentals" sheetId="1" r:id="rId1"/>
    <sheet name="SalesTaxRate" sheetId="3" r:id="rId2"/>
    <sheet name="Order of Operations" sheetId="4" r:id="rId3"/>
    <sheet name="OPTIONAL_basic_function" sheetId="5" r:id="rId4"/>
    <sheet name="sum_of_filtered_records_SUBTOTA" sheetId="15" r:id="rId5"/>
    <sheet name="Logical Functions" sheetId="8" r:id="rId6"/>
    <sheet name="Conditional Functions" sheetId="6" r:id="rId7"/>
  </sheets>
  <definedNames>
    <definedName name="_xlnm._FilterDatabase" localSheetId="4" hidden="1">sum_of_filtered_records_SUBTOTA!$A$1:$C$7</definedName>
    <definedName name="TaxRate">SalesTaxRate!$A$2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0" i="1" l="1"/>
  <c r="L2" i="1"/>
  <c r="L3" i="1"/>
  <c r="L4" i="1"/>
  <c r="L5" i="1"/>
  <c r="L6" i="1"/>
  <c r="L7" i="1"/>
  <c r="L8" i="1"/>
  <c r="L1" i="1"/>
  <c r="C5" i="1"/>
  <c r="D5" i="1"/>
  <c r="B5" i="1"/>
  <c r="C4" i="1"/>
  <c r="D4" i="1"/>
  <c r="B4" i="1"/>
  <c r="E3" i="1"/>
  <c r="E4" i="1"/>
  <c r="E2" i="1"/>
  <c r="K2" i="6"/>
  <c r="C26" i="8"/>
  <c r="C27" i="8"/>
  <c r="C28" i="8"/>
  <c r="C25" i="8"/>
  <c r="D16" i="8"/>
  <c r="D17" i="8"/>
  <c r="D18" i="8"/>
  <c r="D19" i="8"/>
  <c r="C16" i="8"/>
  <c r="C17" i="8"/>
  <c r="C18" i="8"/>
  <c r="C19" i="8"/>
  <c r="C15" i="8"/>
  <c r="C7" i="8"/>
  <c r="C8" i="8"/>
  <c r="C9" i="8"/>
  <c r="C10" i="8"/>
  <c r="C6" i="8"/>
  <c r="F18" i="1"/>
  <c r="F17" i="1"/>
  <c r="K15" i="6"/>
  <c r="K3" i="6"/>
  <c r="E119" i="8"/>
  <c r="D120" i="8"/>
  <c r="D121" i="8"/>
  <c r="D122" i="8"/>
  <c r="D123" i="8"/>
  <c r="E100" i="8"/>
  <c r="D105" i="8"/>
  <c r="E105" i="8"/>
  <c r="D104" i="8"/>
  <c r="E104" i="8"/>
  <c r="C86" i="8"/>
  <c r="C93" i="8"/>
  <c r="C92" i="8"/>
  <c r="F71" i="8"/>
  <c r="F74" i="8"/>
  <c r="E72" i="8"/>
  <c r="E73" i="8"/>
  <c r="E74" i="8"/>
  <c r="D74" i="8"/>
  <c r="F48" i="8"/>
  <c r="E49" i="8"/>
  <c r="E50" i="8"/>
  <c r="E51" i="8"/>
  <c r="E52" i="8"/>
  <c r="D49" i="8"/>
  <c r="D50" i="8"/>
  <c r="D51" i="8"/>
  <c r="D52" i="8"/>
  <c r="F37" i="8"/>
  <c r="F38" i="8"/>
  <c r="F39" i="8"/>
  <c r="F40" i="8"/>
  <c r="E37" i="8"/>
  <c r="E38" i="8"/>
  <c r="E39" i="8"/>
  <c r="E40" i="8"/>
  <c r="D37" i="8"/>
  <c r="D38" i="8"/>
  <c r="D39" i="8"/>
  <c r="D40" i="8"/>
  <c r="F26" i="8"/>
  <c r="F27" i="8"/>
  <c r="F28" i="8"/>
  <c r="E26" i="8"/>
  <c r="E27" i="8"/>
  <c r="E28" i="8"/>
  <c r="E25" i="8"/>
  <c r="H14" i="5"/>
  <c r="H13" i="5"/>
  <c r="H3" i="5"/>
  <c r="E48" i="8" l="1"/>
  <c r="D48" i="8"/>
  <c r="E36" i="8"/>
  <c r="F36" i="8"/>
  <c r="D36" i="8"/>
  <c r="D148" i="8"/>
  <c r="D149" i="8"/>
  <c r="D150" i="8"/>
  <c r="D151" i="8"/>
  <c r="D152" i="8"/>
  <c r="D147" i="8"/>
  <c r="E147" i="8"/>
  <c r="G49" i="8"/>
  <c r="G50" i="8"/>
  <c r="G51" i="8"/>
  <c r="G52" i="8"/>
  <c r="G48" i="8"/>
  <c r="C65" i="8"/>
  <c r="D28" i="8"/>
  <c r="D26" i="8"/>
  <c r="D27" i="8"/>
  <c r="D25" i="8"/>
  <c r="D8" i="8"/>
  <c r="D7" i="8"/>
  <c r="D9" i="8"/>
  <c r="D10" i="8"/>
  <c r="D6" i="8"/>
  <c r="E120" i="8" l="1"/>
  <c r="E121" i="8"/>
  <c r="E122" i="8"/>
  <c r="E123" i="8"/>
  <c r="D119" i="8"/>
  <c r="F49" i="8"/>
  <c r="F50" i="8"/>
  <c r="F51" i="8"/>
  <c r="F52" i="8"/>
  <c r="F14" i="15" l="1"/>
  <c r="F11" i="15"/>
  <c r="K12" i="6" l="1"/>
  <c r="K11" i="6"/>
  <c r="D157" i="8"/>
  <c r="D132" i="8"/>
  <c r="D130" i="8"/>
  <c r="D110" i="8"/>
  <c r="E103" i="8"/>
  <c r="D103" i="8"/>
  <c r="E71" i="8"/>
  <c r="D71" i="8"/>
  <c r="C63" i="8"/>
  <c r="C64" i="8"/>
  <c r="F25" i="8"/>
  <c r="B19" i="1" l="1"/>
  <c r="A19" i="1"/>
  <c r="B20" i="1" s="1"/>
  <c r="A18" i="1"/>
  <c r="A17" i="1"/>
  <c r="H19" i="5" l="1"/>
  <c r="H18" i="5"/>
  <c r="H17" i="5"/>
  <c r="H15" i="5"/>
  <c r="H12" i="5"/>
  <c r="H11" i="5"/>
  <c r="H10" i="5"/>
  <c r="H9" i="5"/>
  <c r="H8" i="5"/>
  <c r="H7" i="5"/>
  <c r="H6" i="5"/>
  <c r="F13" i="15" l="1"/>
  <c r="F10" i="15"/>
  <c r="D158" i="8" l="1"/>
  <c r="D159" i="8"/>
  <c r="D160" i="8"/>
  <c r="D161" i="8"/>
  <c r="D162" i="8"/>
  <c r="E148" i="8"/>
  <c r="E149" i="8"/>
  <c r="E150" i="8"/>
  <c r="E151" i="8"/>
  <c r="E152" i="8"/>
  <c r="D138" i="8" l="1"/>
  <c r="D139" i="8"/>
  <c r="D140" i="8"/>
  <c r="D137" i="8"/>
  <c r="D111" i="8"/>
  <c r="D112" i="8"/>
  <c r="D113" i="8"/>
  <c r="C87" i="8"/>
  <c r="C88" i="8"/>
  <c r="C89" i="8"/>
  <c r="C90" i="8"/>
  <c r="C91" i="8"/>
  <c r="D131" i="8"/>
  <c r="C132" i="8"/>
  <c r="C131" i="8"/>
  <c r="C130" i="8"/>
  <c r="E101" i="8"/>
  <c r="E102" i="8"/>
  <c r="D102" i="8"/>
  <c r="D101" i="8"/>
  <c r="D100" i="8"/>
  <c r="F72" i="8"/>
  <c r="F73" i="8"/>
  <c r="D72" i="8"/>
  <c r="D73" i="8"/>
  <c r="C62" i="8"/>
  <c r="C8" i="1" l="1"/>
  <c r="H4" i="5"/>
  <c r="H2" i="5"/>
  <c r="I2" i="5"/>
  <c r="D15" i="8" l="1"/>
  <c r="K10" i="6"/>
  <c r="B4" i="4"/>
  <c r="K4" i="6" l="1"/>
  <c r="B7" i="4"/>
  <c r="B6" i="4"/>
  <c r="I4" i="5"/>
</calcChain>
</file>

<file path=xl/sharedStrings.xml><?xml version="1.0" encoding="utf-8"?>
<sst xmlns="http://schemas.openxmlformats.org/spreadsheetml/2006/main" count="318" uniqueCount="228">
  <si>
    <t>Tax Rate</t>
  </si>
  <si>
    <t>Revenue</t>
  </si>
  <si>
    <t>Cost</t>
  </si>
  <si>
    <t>Profit</t>
  </si>
  <si>
    <t>* and / evaluated first</t>
  </si>
  <si>
    <t>Fortune</t>
  </si>
  <si>
    <t>Country</t>
  </si>
  <si>
    <t>United States</t>
  </si>
  <si>
    <t>India</t>
  </si>
  <si>
    <t>Philippines</t>
  </si>
  <si>
    <t>chip</t>
  </si>
  <si>
    <t>raisin</t>
  </si>
  <si>
    <t>cookie</t>
  </si>
  <si>
    <t>Total</t>
  </si>
  <si>
    <t>State Tax</t>
  </si>
  <si>
    <t>10 - 4 * 0.1 = 10 -0.6 = 9.6</t>
  </si>
  <si>
    <t>(10 - 4) * 0.1 = 6*0.1 = 0.6</t>
  </si>
  <si>
    <t>Tax(Wrong)</t>
  </si>
  <si>
    <t>Tax(Right)</t>
  </si>
  <si>
    <t>Use parenthesis to control order</t>
  </si>
  <si>
    <t xml:space="preserve">  + and - evaluated second</t>
  </si>
  <si>
    <t>Name of products</t>
  </si>
  <si>
    <t>Sales</t>
  </si>
  <si>
    <t>How many products sold (WRONG)</t>
  </si>
  <si>
    <t>How many products sold (RIGHT)</t>
  </si>
  <si>
    <t>cake</t>
  </si>
  <si>
    <t>new cake</t>
  </si>
  <si>
    <t>old cake</t>
  </si>
  <si>
    <t>Average sold</t>
  </si>
  <si>
    <t>Name</t>
  </si>
  <si>
    <t xml:space="preserve"> Grab value from different sheet</t>
  </si>
  <si>
    <t>chips</t>
  </si>
  <si>
    <t>bread</t>
  </si>
  <si>
    <t>sugar</t>
  </si>
  <si>
    <t>Bare company</t>
  </si>
  <si>
    <t>Order of operation</t>
  </si>
  <si>
    <t>profit split among 4 partners</t>
  </si>
  <si>
    <t>age</t>
  </si>
  <si>
    <t>candie</t>
  </si>
  <si>
    <t>pepsi</t>
  </si>
  <si>
    <t>sales_agent_id</t>
  </si>
  <si>
    <t>company name1</t>
  </si>
  <si>
    <t>company name2</t>
  </si>
  <si>
    <t>sales</t>
  </si>
  <si>
    <t>target</t>
  </si>
  <si>
    <t>is_sales_target_same</t>
  </si>
  <si>
    <t>is_target_SmallerThanEqualTo_sales</t>
  </si>
  <si>
    <t>Compare numeric values</t>
  </si>
  <si>
    <t>CreditScore</t>
  </si>
  <si>
    <t>YearsEmployed</t>
  </si>
  <si>
    <t>should_loan_money</t>
  </si>
  <si>
    <t>budget</t>
  </si>
  <si>
    <t>actualSpending</t>
  </si>
  <si>
    <t>spending_within_budget</t>
  </si>
  <si>
    <t>name</t>
  </si>
  <si>
    <t>gary</t>
  </si>
  <si>
    <t>Khush</t>
  </si>
  <si>
    <t>Carlos</t>
  </si>
  <si>
    <t>status</t>
  </si>
  <si>
    <t>status_retrench</t>
  </si>
  <si>
    <t>years_in_service</t>
  </si>
  <si>
    <t>is_sales_GreaterThanTarget</t>
  </si>
  <si>
    <t>to_loan_or_not_to_loan</t>
  </si>
  <si>
    <t>is_on_track</t>
  </si>
  <si>
    <t>Nested IF:</t>
  </si>
  <si>
    <r>
      <t>Scenario:</t>
    </r>
    <r>
      <rPr>
        <sz val="11"/>
        <color theme="1"/>
        <rFont val="Calibri"/>
        <family val="2"/>
        <scheme val="minor"/>
      </rPr>
      <t xml:space="preserve"> You assign performance categories to sales reps based on their quarterly sales (in </t>
    </r>
    <r>
      <rPr>
        <b/>
        <sz val="11"/>
        <color theme="1"/>
        <rFont val="Calibri"/>
        <family val="2"/>
        <scheme val="minor"/>
      </rPr>
      <t>Column B</t>
    </r>
    <r>
      <rPr>
        <sz val="11"/>
        <color theme="1"/>
        <rFont val="Calibri"/>
        <family val="2"/>
        <scheme val="minor"/>
      </rPr>
      <t>):</t>
    </r>
  </si>
  <si>
    <r>
      <t>≥ 100,000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Outstanding</t>
    </r>
  </si>
  <si>
    <r>
      <t>≥ 75,000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Excellent</t>
    </r>
  </si>
  <si>
    <r>
      <t>≥ 50,000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Good</t>
    </r>
  </si>
  <si>
    <r>
      <t>≥ 25,000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Fair</t>
    </r>
  </si>
  <si>
    <r>
      <t>&lt; 25,000</t>
    </r>
    <r>
      <rPr>
        <sz val="11"/>
        <color theme="1"/>
        <rFont val="Calibri"/>
        <family val="2"/>
        <scheme val="minor"/>
      </rPr>
      <t xml:space="preserve"> → </t>
    </r>
    <r>
      <rPr>
        <i/>
        <sz val="11"/>
        <color theme="1"/>
        <rFont val="Calibri"/>
        <family val="2"/>
        <scheme val="minor"/>
      </rPr>
      <t>Needs Improvement</t>
    </r>
  </si>
  <si>
    <t>sales_rep</t>
  </si>
  <si>
    <t>quarterly_sales</t>
  </si>
  <si>
    <t>Arora</t>
  </si>
  <si>
    <t>Gudmundsson</t>
  </si>
  <si>
    <t>Rodriguez</t>
  </si>
  <si>
    <t>Khan</t>
  </si>
  <si>
    <t>Konrad</t>
  </si>
  <si>
    <t>Odoo</t>
  </si>
  <si>
    <t>performanceRating</t>
  </si>
  <si>
    <t>PerformanceRating</t>
  </si>
  <si>
    <t>YearsOfService</t>
  </si>
  <si>
    <t>Excellent</t>
  </si>
  <si>
    <t>Poor</t>
  </si>
  <si>
    <t>Subpar</t>
  </si>
  <si>
    <t>grant_bonus</t>
  </si>
  <si>
    <t>BMI</t>
  </si>
  <si>
    <t>Systolic BP (mmHg)</t>
  </si>
  <si>
    <t>Ratings</t>
  </si>
  <si>
    <t>Sales_rep</t>
  </si>
  <si>
    <t>Gauss</t>
  </si>
  <si>
    <t>Eisenstein</t>
  </si>
  <si>
    <t>Newton</t>
  </si>
  <si>
    <t>Liebniez</t>
  </si>
  <si>
    <t>Euler</t>
  </si>
  <si>
    <t>Good</t>
  </si>
  <si>
    <t>Ramanujan</t>
  </si>
  <si>
    <t>Satisfactory</t>
  </si>
  <si>
    <t>City</t>
  </si>
  <si>
    <t>Shangai</t>
  </si>
  <si>
    <t>Shimla</t>
  </si>
  <si>
    <t>GoodSales_Shangai_Shimla</t>
  </si>
  <si>
    <t>Miami</t>
  </si>
  <si>
    <t>Lucent Tech</t>
  </si>
  <si>
    <t>region</t>
  </si>
  <si>
    <t>salary</t>
  </si>
  <si>
    <t>Immanuel Kant</t>
  </si>
  <si>
    <t>North</t>
  </si>
  <si>
    <t>Karl Max</t>
  </si>
  <si>
    <t>South</t>
  </si>
  <si>
    <t>Rumi</t>
  </si>
  <si>
    <t>Socrates</t>
  </si>
  <si>
    <t>Plato</t>
  </si>
  <si>
    <t>Ralph Waldo Emerson</t>
  </si>
  <si>
    <t>sum of salary =</t>
  </si>
  <si>
    <t>sum_filtered of salary =</t>
  </si>
  <si>
    <t>2) Now put the formula and then filter based on region. You will see the sum_filtered of salary changes based on filtered criteria</t>
  </si>
  <si>
    <t>Most product sold</t>
  </si>
  <si>
    <t>Least number of products sold</t>
  </si>
  <si>
    <t>2nd most sold</t>
  </si>
  <si>
    <t>3nd most sold</t>
  </si>
  <si>
    <t>2nd least sold</t>
  </si>
  <si>
    <t># of products sold (WRONG)</t>
  </si>
  <si>
    <t>This gives me the count of numeric data</t>
  </si>
  <si>
    <t># of products sold (RIGHT)</t>
  </si>
  <si>
    <t>count of products</t>
  </si>
  <si>
    <t>This gives me the count of non empty cells</t>
  </si>
  <si>
    <t>What is the median of Sales</t>
  </si>
  <si>
    <t>Which agent_id appears most often (MODE)</t>
  </si>
  <si>
    <t>Excel can be used as calculator</t>
  </si>
  <si>
    <t>IBM</t>
  </si>
  <si>
    <t>Cisco</t>
  </si>
  <si>
    <t>Scenario: Compare sales and target</t>
  </si>
  <si>
    <t>sham</t>
  </si>
  <si>
    <t>ravi</t>
  </si>
  <si>
    <t>sameer</t>
  </si>
  <si>
    <r>
      <t xml:space="preserve">OR: </t>
    </r>
    <r>
      <rPr>
        <sz val="11"/>
        <color theme="1"/>
        <rFont val="Calibri"/>
        <family val="2"/>
        <scheme val="minor"/>
      </rPr>
      <t>Scenario: A car dealer offers financing if the applicant either has a good credit score(&gt;700) or a stable job history(&gt; 2 years).</t>
    </r>
  </si>
  <si>
    <r>
      <rPr>
        <b/>
        <sz val="11"/>
        <color theme="1"/>
        <rFont val="Calibri"/>
        <family val="2"/>
        <scheme val="minor"/>
      </rPr>
      <t>IF:</t>
    </r>
    <r>
      <rPr>
        <sz val="11"/>
        <color theme="1"/>
        <rFont val="Calibri"/>
        <family val="2"/>
        <scheme val="minor"/>
      </rPr>
      <t xml:space="preserve"> 1) Retrench if years_of_service &gt; 25.       2) Reclassify people as Young(&lt;20) and Adult(&gt;20)  3) Reclassify people as Young(0-35), middle age(35-60), senior(60+)</t>
    </r>
  </si>
  <si>
    <t>status_age_2class</t>
  </si>
  <si>
    <t>status_age_3class</t>
  </si>
  <si>
    <r>
      <rPr>
        <b/>
        <sz val="11"/>
        <color theme="1"/>
        <rFont val="Calibri"/>
        <family val="2"/>
        <scheme val="minor"/>
      </rPr>
      <t>IF + OR (practice):</t>
    </r>
    <r>
      <rPr>
        <sz val="11"/>
        <color theme="1"/>
        <rFont val="Calibri"/>
        <family val="2"/>
        <scheme val="minor"/>
      </rPr>
      <t xml:space="preserve"> Scenario: Employees get a bonus if they either excel in performance(Excellent) or have been with the company for more than 5 years.</t>
    </r>
  </si>
  <si>
    <t>Neha</t>
  </si>
  <si>
    <t>Ruchi</t>
  </si>
  <si>
    <t>Rebecca</t>
  </si>
  <si>
    <t>nancy</t>
  </si>
  <si>
    <r>
      <t>IF + AND (practice): Scenario:</t>
    </r>
    <r>
      <rPr>
        <sz val="11"/>
        <color theme="1"/>
        <rFont val="Calibri"/>
        <family val="2"/>
        <scheme val="minor"/>
      </rPr>
      <t xml:space="preserve"> In a health clinic, you want to flag patients who are both overweight(&gt;25) and have high blood pressure(&gt;130)</t>
    </r>
  </si>
  <si>
    <t>Ram</t>
  </si>
  <si>
    <t>Aristotle</t>
  </si>
  <si>
    <r>
      <rPr>
        <b/>
        <sz val="11"/>
        <color theme="1"/>
        <rFont val="Calibri"/>
        <family val="2"/>
        <scheme val="minor"/>
      </rPr>
      <t xml:space="preserve">IF + AND + OR: Scenario: </t>
    </r>
    <r>
      <rPr>
        <sz val="11"/>
        <color theme="1"/>
        <rFont val="Calibri"/>
        <family val="2"/>
        <scheme val="minor"/>
      </rPr>
      <t>Awarding a 15% bonus only if sales exceed 70,000 and either rating is “Excellent” or “Good”</t>
    </r>
  </si>
  <si>
    <t>Sales amount</t>
  </si>
  <si>
    <r>
      <rPr>
        <b/>
        <sz val="11"/>
        <color theme="1"/>
        <rFont val="Calibri"/>
        <family val="2"/>
        <scheme val="minor"/>
      </rPr>
      <t>IF + AND + OR (PRACTICE):</t>
    </r>
    <r>
      <rPr>
        <sz val="11"/>
        <color theme="1"/>
        <rFont val="Calibri"/>
        <family val="2"/>
        <scheme val="minor"/>
      </rPr>
      <t xml:space="preserve"> Scenario: You want to flag sales above 70,000 that were made in either Shangai or Miami.</t>
    </r>
  </si>
  <si>
    <t>Product</t>
  </si>
  <si>
    <t>Sold quantity</t>
  </si>
  <si>
    <t>avg_filtered of salary=</t>
  </si>
  <si>
    <t>avg of salary=</t>
  </si>
  <si>
    <r>
      <rPr>
        <b/>
        <sz val="11"/>
        <color theme="1"/>
        <rFont val="Calibri"/>
        <family val="2"/>
        <scheme val="minor"/>
      </rPr>
      <t>AND: (Practice)</t>
    </r>
    <r>
      <rPr>
        <sz val="11"/>
        <color theme="1"/>
        <rFont val="Calibri"/>
        <family val="2"/>
        <scheme val="minor"/>
      </rPr>
      <t xml:space="preserve"> Scenario: You track your budget and your actual expense/spending, and want to flag only those months where your spending was within 90%–110% of your budget (i.e., near target).</t>
    </r>
  </si>
  <si>
    <r>
      <rPr>
        <b/>
        <sz val="11"/>
        <color theme="1"/>
        <rFont val="Calibri"/>
        <family val="2"/>
        <scheme val="minor"/>
      </rPr>
      <t>AND:</t>
    </r>
    <r>
      <rPr>
        <sz val="11"/>
        <color theme="1"/>
        <rFont val="Calibri"/>
        <family val="2"/>
        <scheme val="minor"/>
      </rPr>
      <t xml:space="preserve"> Scenario: Find employees who Work in Sales and Earn more than 50,000</t>
    </r>
  </si>
  <si>
    <t>Department</t>
  </si>
  <si>
    <t>Salary</t>
  </si>
  <si>
    <t>HR</t>
  </si>
  <si>
    <t>IT</t>
  </si>
  <si>
    <t>Behring</t>
  </si>
  <si>
    <t>Khorana</t>
  </si>
  <si>
    <t>Crick</t>
  </si>
  <si>
    <t>Watson</t>
  </si>
  <si>
    <t>Jobs</t>
  </si>
  <si>
    <t>Employees_sales_GT50000</t>
  </si>
  <si>
    <r>
      <rPr>
        <b/>
        <sz val="11"/>
        <color theme="1"/>
        <rFont val="Calibri"/>
        <family val="2"/>
        <scheme val="minor"/>
      </rPr>
      <t>IF + AND:(PRACTICE)</t>
    </r>
    <r>
      <rPr>
        <sz val="11"/>
        <color theme="1"/>
        <rFont val="Calibri"/>
        <family val="2"/>
        <scheme val="minor"/>
      </rPr>
      <t xml:space="preserve"> Scenario: You track your budget in Column A and your actual expense/spending in Column B, and want to flag only those months where your spending was within 90%–110% of your budget (i.e., near target).</t>
    </r>
  </si>
  <si>
    <t>Bonus</t>
  </si>
  <si>
    <t>are_names_same</t>
  </si>
  <si>
    <t>are_names_different</t>
  </si>
  <si>
    <t>Lucent Techno</t>
  </si>
  <si>
    <t>Enviro Company</t>
  </si>
  <si>
    <t>enviro company</t>
  </si>
  <si>
    <t>is_sales_target_different</t>
  </si>
  <si>
    <t xml:space="preserve">REWORDED: find spending that is &gt; 90% of budget and find spending that is &lt; 110% of budget </t>
  </si>
  <si>
    <t>Bonus_amount_15</t>
  </si>
  <si>
    <t>eligible_for_bonus_15</t>
  </si>
  <si>
    <t>Step1) Find whether spending is within budget. Step2) Print On track or Off track based on step1</t>
  </si>
  <si>
    <t>Step1: Find employees who are eligible for bonus. Step2) Give them bonus</t>
  </si>
  <si>
    <t>eligible_for_loan</t>
  </si>
  <si>
    <t>Step1) Find candidates who are eligible for loan. Step2) Print Loan approve or Loan deny based on step1</t>
  </si>
  <si>
    <t>Darwin</t>
  </si>
  <si>
    <t>Linnaeus</t>
  </si>
  <si>
    <t>Mendel</t>
  </si>
  <si>
    <t>STEP1) Find applicant with good credit score. Step2) Find applicant with stable job history. Step3) Apply OR to step1 and step2</t>
  </si>
  <si>
    <t>has_good_credit</t>
  </si>
  <si>
    <t>has_stable_job</t>
  </si>
  <si>
    <t>Hooke</t>
  </si>
  <si>
    <t>Pasteur</t>
  </si>
  <si>
    <t>Step1) Find employees who work in sales Step2) Find employees who earn &gt; 50K, Step3) Apply AND to step1 and step2</t>
  </si>
  <si>
    <t>is_empl_in_sales</t>
  </si>
  <si>
    <t>is_salary_GT_50K</t>
  </si>
  <si>
    <t>Employees_sales_GT_50K</t>
  </si>
  <si>
    <t>Employees_sales_NOT_GT_50K</t>
  </si>
  <si>
    <t xml:space="preserve"> State rate in percent</t>
  </si>
  <si>
    <t>Sales Tax</t>
  </si>
  <si>
    <t>Tx Rate</t>
  </si>
  <si>
    <t>Order of operation:</t>
  </si>
  <si>
    <t>&lt;- Now I can control my order of operation by using parenthesis</t>
  </si>
  <si>
    <t xml:space="preserve">strawberry </t>
  </si>
  <si>
    <t>Count of blanks in Sales</t>
  </si>
  <si>
    <t>Count of blanks in table</t>
  </si>
  <si>
    <r>
      <t>1) select</t>
    </r>
    <r>
      <rPr>
        <b/>
        <sz val="11"/>
        <color theme="1"/>
        <rFont val="Calibri"/>
        <family val="2"/>
        <scheme val="minor"/>
      </rPr>
      <t xml:space="preserve"> header row</t>
    </r>
    <r>
      <rPr>
        <sz val="11"/>
        <color theme="1"/>
        <rFont val="Calibri"/>
        <family val="2"/>
        <scheme val="minor"/>
      </rPr>
      <t xml:space="preserve"> and then </t>
    </r>
    <r>
      <rPr>
        <b/>
        <sz val="11"/>
        <color theme="1"/>
        <rFont val="Calibri"/>
        <family val="2"/>
        <scheme val="minor"/>
      </rPr>
      <t>Data -&gt; Filter</t>
    </r>
    <r>
      <rPr>
        <sz val="11"/>
        <color theme="1"/>
        <rFont val="Calibri"/>
        <family val="2"/>
        <scheme val="minor"/>
      </rPr>
      <t>. You will see filter on headers</t>
    </r>
  </si>
  <si>
    <t xml:space="preserve">These are TRUE / FALSE </t>
  </si>
  <si>
    <t>compare text using = and NOT</t>
  </si>
  <si>
    <t>Keanu</t>
  </si>
  <si>
    <t>pinaki</t>
  </si>
  <si>
    <t>geeta</t>
  </si>
  <si>
    <r>
      <t xml:space="preserve">IF + OR: </t>
    </r>
    <r>
      <rPr>
        <sz val="11"/>
        <color theme="1"/>
        <rFont val="Calibri"/>
        <family val="2"/>
        <scheme val="minor"/>
      </rPr>
      <t>Scenario: A car dealer offers financing if the applicant either has a good credit score(&gt;700) or a stable job history(&gt;2).</t>
    </r>
    <r>
      <rPr>
        <b/>
        <sz val="11"/>
        <color theme="1"/>
        <rFont val="Calibri"/>
        <family val="2"/>
        <scheme val="minor"/>
      </rPr>
      <t xml:space="preserve">  </t>
    </r>
    <r>
      <rPr>
        <sz val="11"/>
        <color theme="1"/>
        <rFont val="Calibri"/>
        <family val="2"/>
        <scheme val="minor"/>
      </rPr>
      <t>Create a separate column with value Loan Approve or Loan deny</t>
    </r>
  </si>
  <si>
    <t>rahim</t>
  </si>
  <si>
    <r>
      <rPr>
        <b/>
        <sz val="11"/>
        <color theme="1"/>
        <rFont val="Calibri"/>
        <family val="2"/>
        <scheme val="minor"/>
      </rPr>
      <t>IF + AND:</t>
    </r>
    <r>
      <rPr>
        <sz val="11"/>
        <color theme="1"/>
        <rFont val="Calibri"/>
        <family val="2"/>
        <scheme val="minor"/>
      </rPr>
      <t xml:space="preserve"> Scenario: Find employees who Work in Sales and Earn more than 50,000. These people get bonus Create a column Bonus that displays Eligible or Not eligible for bonus</t>
    </r>
  </si>
  <si>
    <t>Sales_agent</t>
  </si>
  <si>
    <t>Tom</t>
  </si>
  <si>
    <t>John</t>
  </si>
  <si>
    <t>Sum of all breads that were sold in United States by Tom (sumifs)</t>
  </si>
  <si>
    <t>john</t>
  </si>
  <si>
    <t>NOTE: This is optional because it is covered later in Data Analysis</t>
  </si>
  <si>
    <t>is_11</t>
  </si>
  <si>
    <t>is_4</t>
  </si>
  <si>
    <t>marks</t>
  </si>
  <si>
    <t>Sum of all products that were sold in  United States (SUMIF)</t>
  </si>
  <si>
    <t>Average of profit in Phillipine (AVERAGEIF)</t>
  </si>
  <si>
    <t>Count of Fortune product (COUNTIF)</t>
  </si>
  <si>
    <t>Sum of all breads that were sold in United States (SUMIFS)</t>
  </si>
  <si>
    <t>Average of profit of bread that were sold in Phillipine (AVERAGEIFS)</t>
  </si>
  <si>
    <t>Count of rows that shows Fortune that were sold in US (COUNTIFS)</t>
  </si>
  <si>
    <t>ctrl + ~ show formulas and numbers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</si>
</sst>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2" tint="-0.499984740745262"/>
      <name val="Calibri"/>
      <family val="2"/>
      <scheme val="minor"/>
    </font>
    <font>
      <b/>
      <sz val="11"/>
      <color theme="2" tint="-0.499984740745262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48">
    <xf numFmtId="0" fontId="0" fillId="0" borderId="0" xfId="0"/>
    <xf numFmtId="0" fontId="1" fillId="0" borderId="0" xfId="0" applyFont="1"/>
    <xf numFmtId="9" fontId="0" fillId="0" borderId="0" xfId="0" applyNumberFormat="1"/>
    <xf numFmtId="0" fontId="0" fillId="2" borderId="0" xfId="0" applyFill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9" fontId="0" fillId="0" borderId="0" xfId="1" applyFont="1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0" fillId="0" borderId="0" xfId="0" applyAlignment="1">
      <alignment horizontal="left" vertical="center" indent="1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right" vertical="center"/>
    </xf>
    <xf numFmtId="0" fontId="0" fillId="0" borderId="0" xfId="0" applyAlignment="1">
      <alignment horizontal="right" vertical="center"/>
    </xf>
    <xf numFmtId="0" fontId="1" fillId="0" borderId="0" xfId="0" applyFont="1" applyAlignment="1">
      <alignment horizontal="left"/>
    </xf>
    <xf numFmtId="0" fontId="0" fillId="0" borderId="0" xfId="0" applyAlignment="1">
      <alignment vertical="center" wrapText="1"/>
    </xf>
    <xf numFmtId="3" fontId="0" fillId="0" borderId="0" xfId="0" applyNumberFormat="1" applyAlignment="1">
      <alignment vertical="center" wrapText="1"/>
    </xf>
    <xf numFmtId="0" fontId="0" fillId="3" borderId="0" xfId="0" applyFill="1"/>
    <xf numFmtId="0" fontId="3" fillId="4" borderId="0" xfId="0" applyFont="1" applyFill="1"/>
    <xf numFmtId="0" fontId="0" fillId="5" borderId="0" xfId="0" applyFill="1"/>
    <xf numFmtId="0" fontId="1" fillId="5" borderId="0" xfId="0" applyFont="1" applyFill="1"/>
    <xf numFmtId="0" fontId="5" fillId="5" borderId="0" xfId="0" applyFont="1" applyFill="1"/>
    <xf numFmtId="0" fontId="6" fillId="5" borderId="0" xfId="0" applyFont="1" applyFill="1"/>
    <xf numFmtId="0" fontId="3" fillId="3" borderId="0" xfId="0" applyFont="1" applyFill="1"/>
    <xf numFmtId="0" fontId="1" fillId="5" borderId="0" xfId="0" applyFont="1" applyFill="1" applyAlignment="1">
      <alignment vertical="center" wrapText="1"/>
    </xf>
    <xf numFmtId="0" fontId="0" fillId="5" borderId="0" xfId="0" applyFill="1" applyAlignment="1">
      <alignment vertical="center" wrapText="1"/>
    </xf>
    <xf numFmtId="3" fontId="0" fillId="5" borderId="0" xfId="0" applyNumberFormat="1" applyFill="1" applyAlignment="1">
      <alignment vertical="center" wrapText="1"/>
    </xf>
    <xf numFmtId="0" fontId="3" fillId="3" borderId="0" xfId="0" applyFont="1" applyFill="1" applyAlignment="1">
      <alignment vertical="center" wrapText="1"/>
    </xf>
    <xf numFmtId="0" fontId="1" fillId="5" borderId="0" xfId="0" applyFont="1" applyFill="1" applyAlignment="1">
      <alignment horizontal="left" vertical="center" indent="1"/>
    </xf>
    <xf numFmtId="0" fontId="0" fillId="5" borderId="0" xfId="0" applyFill="1" applyAlignment="1">
      <alignment horizontal="left" vertical="center" indent="1"/>
    </xf>
    <xf numFmtId="0" fontId="1" fillId="5" borderId="0" xfId="0" applyFont="1" applyFill="1" applyAlignment="1">
      <alignment horizontal="center"/>
    </xf>
    <xf numFmtId="0" fontId="0" fillId="5" borderId="0" xfId="0" applyFill="1" applyAlignment="1">
      <alignment horizontal="center"/>
    </xf>
    <xf numFmtId="0" fontId="1" fillId="0" borderId="0" xfId="0" applyFont="1" applyAlignment="1">
      <alignment horizontal="center"/>
    </xf>
    <xf numFmtId="0" fontId="3" fillId="3" borderId="0" xfId="0" applyFont="1" applyFill="1" applyAlignment="1">
      <alignment horizontal="center"/>
    </xf>
    <xf numFmtId="0" fontId="1" fillId="3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1" fillId="5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3" fillId="3" borderId="0" xfId="0" applyFont="1" applyFill="1" applyAlignment="1">
      <alignment horizontal="center" vertical="center" wrapText="1"/>
    </xf>
    <xf numFmtId="0" fontId="0" fillId="5" borderId="0" xfId="0" applyFill="1" applyAlignment="1">
      <alignment horizontal="center" vertical="center" wrapText="1"/>
    </xf>
    <xf numFmtId="3" fontId="0" fillId="5" borderId="0" xfId="0" applyNumberFormat="1" applyFill="1" applyAlignment="1">
      <alignment horizontal="center" vertical="center" wrapText="1"/>
    </xf>
    <xf numFmtId="3" fontId="3" fillId="3" borderId="0" xfId="0" applyNumberFormat="1" applyFont="1" applyFill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0" xfId="0" applyFont="1" applyAlignment="1">
      <alignment horizontal="left"/>
    </xf>
    <xf numFmtId="0" fontId="1" fillId="0" borderId="0" xfId="0" applyFont="1"/>
    <xf numFmtId="0" fontId="0" fillId="0" borderId="0" xfId="0" applyAlignment="1">
      <alignment horizontal="left"/>
    </xf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ustomXml" Target="../ink/ink1.xml"/><Relationship Id="rId4" Type="http://schemas.openxmlformats.org/officeDocument/2006/relationships/image" Target="../media/image2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571034</xdr:colOff>
      <xdr:row>4</xdr:row>
      <xdr:rowOff>17001</xdr:rowOff>
    </xdr:from>
    <xdr:to>
      <xdr:col>2</xdr:col>
      <xdr:colOff>571394</xdr:colOff>
      <xdr:row>4</xdr:row>
      <xdr:rowOff>17361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1">
          <xdr14:nvContentPartPr>
            <xdr14:cNvPr id="15" name="Ink 14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14:cNvPr>
            <xdr14:cNvContentPartPr/>
          </xdr14:nvContentPartPr>
          <xdr14:nvPr macro=""/>
          <xdr14:xfrm>
            <a:off x="2007111" y="771674"/>
            <a:ext cx="360" cy="360"/>
          </xdr14:xfrm>
        </xdr:contentPart>
      </mc:Choice>
      <mc:Fallback xmlns="">
        <xdr:pic>
          <xdr:nvPicPr>
            <xdr:cNvPr id="15" name="Ink 14"/>
            <xdr:cNvPicPr/>
          </xdr:nvPicPr>
          <xdr:blipFill>
            <a:blip xmlns:r="http://schemas.openxmlformats.org/officeDocument/2006/relationships" r:embed="rId4"/>
            <a:stretch>
              <a:fillRect/>
            </a:stretch>
          </xdr:blipFill>
          <xdr:spPr>
            <a:xfrm>
              <a:off x="2001351" y="765914"/>
              <a:ext cx="11880" cy="1188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ax="32767" units="cm"/>
          <inkml:channel name="Y" type="integer" max="32767" units="cm"/>
          <inkml:channel name="F" type="integer" max="8191" units="in"/>
          <inkml:channel name="T" type="integer" max="2.14748E9" units="dev"/>
        </inkml:traceFormat>
        <inkml:channelProperties>
          <inkml:channelProperty channel="X" name="resolution" value="393.73947" units="1/cm"/>
          <inkml:channelProperty channel="Y" name="resolution" value="393.73947" units="1/cm"/>
          <inkml:channelProperty channel="F" name="resolution" value="249.9771" units="1/in"/>
          <inkml:channelProperty channel="T" name="resolution" value="1" units="1/dev"/>
        </inkml:channelProperties>
      </inkml:inkSource>
      <inkml:timestamp xml:id="ts0" timeString="2025-06-27T15:31:21.393"/>
    </inkml:context>
    <inkml:brush xml:id="br0">
      <inkml:brushProperty name="width" value="0.06667" units="cm"/>
      <inkml:brushProperty name="height" value="0.06667" units="cm"/>
    </inkml:brush>
  </inkml:definitions>
  <inkml:traceGroup>
    <inkml:annotationXML>
      <emma:emma xmlns:emma="http://www.w3.org/2003/04/emma" version="1.0">
        <emma:interpretation id="{FAABDB1E-7F40-4BBB-85D5-4A7BF5D16D8E}" emma:medium="tactile" emma:mode="ink">
          <msink:context xmlns:msink="http://schemas.microsoft.com/ink/2010/main" type="inkDrawing" rotatedBoundingBox="5575,2143 5590,2143 5590,2158 5575,2158" shapeName="Other"/>
        </emma:interpretation>
      </emma:emma>
    </inkml:annotationXML>
    <inkml:trace contextRef="#ctx0" brushRef="#br0">0 0 1247 0,'0'0'-107'0,"0"0"5"0,0 0 18 15,0 0 1-15,0 0-59 0,0 0-106 16,0 0 231-16</inkml:trace>
  </inkml:traceGroup>
</inkml: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3"/>
  <sheetViews>
    <sheetView tabSelected="1" zoomScale="130" zoomScaleNormal="130" workbookViewId="0">
      <selection activeCell="E24" sqref="E24"/>
    </sheetView>
  </sheetViews>
  <sheetFormatPr defaultRowHeight="15" x14ac:dyDescent="0.25"/>
  <cols>
    <col min="1" max="1" width="16.85546875" customWidth="1"/>
    <col min="6" max="6" width="18" customWidth="1"/>
  </cols>
  <sheetData>
    <row r="1" spans="1:12" x14ac:dyDescent="0.25">
      <c r="A1" s="17"/>
      <c r="B1" s="17" t="s">
        <v>38</v>
      </c>
      <c r="C1" s="17" t="s">
        <v>32</v>
      </c>
      <c r="D1" s="17" t="s">
        <v>39</v>
      </c>
      <c r="E1" s="18" t="s">
        <v>13</v>
      </c>
      <c r="F1" t="s">
        <v>195</v>
      </c>
      <c r="K1">
        <v>1</v>
      </c>
      <c r="L1">
        <f xml:space="preserve"> K1 * 30</f>
        <v>30</v>
      </c>
    </row>
    <row r="2" spans="1:12" x14ac:dyDescent="0.25">
      <c r="A2" s="17" t="s">
        <v>1</v>
      </c>
      <c r="B2" s="17">
        <v>10</v>
      </c>
      <c r="C2" s="17">
        <v>7</v>
      </c>
      <c r="D2" s="17">
        <v>5</v>
      </c>
      <c r="E2" s="18">
        <f xml:space="preserve"> B2 + C2 + D2</f>
        <v>22</v>
      </c>
      <c r="F2" s="17">
        <v>10</v>
      </c>
      <c r="K2">
        <v>2</v>
      </c>
      <c r="L2">
        <f t="shared" ref="L2:L8" si="0" xml:space="preserve"> K2 * 30</f>
        <v>60</v>
      </c>
    </row>
    <row r="3" spans="1:12" ht="14.25" customHeight="1" x14ac:dyDescent="0.25">
      <c r="A3" s="17" t="s">
        <v>2</v>
      </c>
      <c r="B3" s="17">
        <v>4</v>
      </c>
      <c r="C3" s="17">
        <v>3</v>
      </c>
      <c r="D3" s="17">
        <v>2</v>
      </c>
      <c r="E3" s="18">
        <f t="shared" ref="E3:E4" si="1" xml:space="preserve"> B3 + C3 + D3</f>
        <v>9</v>
      </c>
      <c r="K3">
        <v>3</v>
      </c>
      <c r="L3">
        <f t="shared" si="0"/>
        <v>90</v>
      </c>
    </row>
    <row r="4" spans="1:12" s="1" customFormat="1" x14ac:dyDescent="0.25">
      <c r="A4" s="18" t="s">
        <v>3</v>
      </c>
      <c r="B4" s="18">
        <f>B2 - B3</f>
        <v>6</v>
      </c>
      <c r="C4" s="18">
        <f t="shared" ref="C4:D4" si="2">C2 - C3</f>
        <v>4</v>
      </c>
      <c r="D4" s="18">
        <f t="shared" si="2"/>
        <v>3</v>
      </c>
      <c r="E4" s="18">
        <f t="shared" si="1"/>
        <v>13</v>
      </c>
      <c r="K4" s="1">
        <v>3</v>
      </c>
      <c r="L4">
        <f t="shared" si="0"/>
        <v>90</v>
      </c>
    </row>
    <row r="5" spans="1:12" x14ac:dyDescent="0.25">
      <c r="A5" s="18" t="s">
        <v>14</v>
      </c>
      <c r="B5" s="18">
        <f>B4*$F$2/100</f>
        <v>0.6</v>
      </c>
      <c r="C5" s="18">
        <f t="shared" ref="C5:D5" si="3">C4*$F$2/100</f>
        <v>0.4</v>
      </c>
      <c r="D5" s="18">
        <f t="shared" si="3"/>
        <v>0.3</v>
      </c>
      <c r="E5" s="5"/>
      <c r="G5" s="17"/>
      <c r="H5" s="17"/>
      <c r="I5" s="17"/>
      <c r="K5">
        <v>4</v>
      </c>
      <c r="L5">
        <f t="shared" si="0"/>
        <v>120</v>
      </c>
    </row>
    <row r="6" spans="1:12" x14ac:dyDescent="0.25">
      <c r="K6">
        <v>43</v>
      </c>
      <c r="L6">
        <f t="shared" si="0"/>
        <v>1290</v>
      </c>
    </row>
    <row r="7" spans="1:12" x14ac:dyDescent="0.25">
      <c r="K7">
        <v>4</v>
      </c>
      <c r="L7">
        <f t="shared" si="0"/>
        <v>120</v>
      </c>
    </row>
    <row r="8" spans="1:12" x14ac:dyDescent="0.25">
      <c r="A8" s="43" t="s">
        <v>36</v>
      </c>
      <c r="B8" s="43"/>
      <c r="C8" s="4">
        <f xml:space="preserve"> E4/4</f>
        <v>3.25</v>
      </c>
      <c r="K8">
        <v>34</v>
      </c>
      <c r="L8">
        <f t="shared" si="0"/>
        <v>1020</v>
      </c>
    </row>
    <row r="9" spans="1:12" x14ac:dyDescent="0.25">
      <c r="A9" s="6"/>
      <c r="B9" s="4"/>
      <c r="C9" s="4"/>
    </row>
    <row r="10" spans="1:12" x14ac:dyDescent="0.25">
      <c r="A10" s="4" t="s">
        <v>196</v>
      </c>
      <c r="B10" s="4"/>
      <c r="C10" s="4">
        <f xml:space="preserve"> E4 * SalesTaxRate!$A$2</f>
        <v>5.2</v>
      </c>
      <c r="D10" s="44" t="s">
        <v>30</v>
      </c>
      <c r="E10" s="44"/>
      <c r="F10" s="44"/>
    </row>
    <row r="16" spans="1:12" x14ac:dyDescent="0.25">
      <c r="A16" s="1" t="s">
        <v>129</v>
      </c>
    </row>
    <row r="17" spans="1:6" x14ac:dyDescent="0.25">
      <c r="A17" s="3">
        <f>5+4</f>
        <v>9</v>
      </c>
      <c r="B17">
        <v>1</v>
      </c>
      <c r="F17">
        <f xml:space="preserve"> 6+7</f>
        <v>13</v>
      </c>
    </row>
    <row r="18" spans="1:6" x14ac:dyDescent="0.25">
      <c r="A18" s="3">
        <f>8-2</f>
        <v>6</v>
      </c>
      <c r="B18">
        <v>3</v>
      </c>
      <c r="F18">
        <f xml:space="preserve"> 6*5</f>
        <v>30</v>
      </c>
    </row>
    <row r="19" spans="1:6" x14ac:dyDescent="0.25">
      <c r="A19" s="3">
        <f>A18+B18</f>
        <v>9</v>
      </c>
      <c r="B19" s="3">
        <f>4+2</f>
        <v>6</v>
      </c>
    </row>
    <row r="20" spans="1:6" x14ac:dyDescent="0.25">
      <c r="A20">
        <v>3</v>
      </c>
      <c r="B20" s="3">
        <f>B19+A19</f>
        <v>15</v>
      </c>
    </row>
    <row r="23" spans="1:6" x14ac:dyDescent="0.25">
      <c r="C23" s="1" t="s">
        <v>227</v>
      </c>
    </row>
  </sheetData>
  <mergeCells count="2">
    <mergeCell ref="A8:B8"/>
    <mergeCell ref="D10:F10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zoomScale="130" zoomScaleNormal="130" workbookViewId="0">
      <selection activeCell="A2" sqref="A2"/>
    </sheetView>
  </sheetViews>
  <sheetFormatPr defaultRowHeight="15" x14ac:dyDescent="0.25"/>
  <cols>
    <col min="1" max="1" width="11.7109375" customWidth="1"/>
  </cols>
  <sheetData>
    <row r="1" spans="1:1" x14ac:dyDescent="0.25">
      <c r="A1" s="1" t="s">
        <v>197</v>
      </c>
    </row>
    <row r="2" spans="1:1" x14ac:dyDescent="0.25">
      <c r="A2" s="2">
        <v>0.4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zoomScale="120" zoomScaleNormal="120" workbookViewId="0">
      <selection activeCell="I5" sqref="I5"/>
    </sheetView>
  </sheetViews>
  <sheetFormatPr defaultRowHeight="15" x14ac:dyDescent="0.25"/>
  <cols>
    <col min="1" max="1" width="11.140625" customWidth="1"/>
    <col min="8" max="8" width="26.7109375" customWidth="1"/>
  </cols>
  <sheetData>
    <row r="1" spans="1:9" x14ac:dyDescent="0.25">
      <c r="B1" t="s">
        <v>31</v>
      </c>
      <c r="D1" t="s">
        <v>0</v>
      </c>
    </row>
    <row r="2" spans="1:9" x14ac:dyDescent="0.25">
      <c r="A2" t="s">
        <v>1</v>
      </c>
      <c r="B2">
        <v>10</v>
      </c>
      <c r="D2" s="7">
        <v>0.1</v>
      </c>
      <c r="H2" t="s">
        <v>35</v>
      </c>
    </row>
    <row r="3" spans="1:9" x14ac:dyDescent="0.25">
      <c r="A3" t="s">
        <v>2</v>
      </c>
      <c r="B3">
        <v>4</v>
      </c>
      <c r="D3" s="7"/>
      <c r="H3" t="s">
        <v>15</v>
      </c>
    </row>
    <row r="4" spans="1:9" x14ac:dyDescent="0.25">
      <c r="A4" s="4" t="s">
        <v>3</v>
      </c>
      <c r="B4" s="4">
        <f xml:space="preserve"> B2-B3</f>
        <v>6</v>
      </c>
      <c r="H4" t="s">
        <v>16</v>
      </c>
      <c r="I4" t="s">
        <v>199</v>
      </c>
    </row>
    <row r="5" spans="1:9" x14ac:dyDescent="0.25">
      <c r="A5" s="4"/>
      <c r="B5" s="4"/>
    </row>
    <row r="6" spans="1:9" x14ac:dyDescent="0.25">
      <c r="A6" s="4" t="s">
        <v>17</v>
      </c>
      <c r="B6" s="4">
        <f xml:space="preserve"> B2 -B3 * D2</f>
        <v>9.6</v>
      </c>
    </row>
    <row r="7" spans="1:9" x14ac:dyDescent="0.25">
      <c r="A7" s="4" t="s">
        <v>18</v>
      </c>
      <c r="B7" s="4">
        <f xml:space="preserve"> (B2-B3) * D2</f>
        <v>0.60000000000000009</v>
      </c>
    </row>
    <row r="8" spans="1:9" x14ac:dyDescent="0.25">
      <c r="A8" s="4"/>
      <c r="B8" s="4"/>
    </row>
    <row r="9" spans="1:9" x14ac:dyDescent="0.25">
      <c r="A9" s="4" t="s">
        <v>198</v>
      </c>
    </row>
    <row r="10" spans="1:9" x14ac:dyDescent="0.25">
      <c r="A10" s="44" t="s">
        <v>4</v>
      </c>
      <c r="B10" s="44"/>
      <c r="C10" s="44"/>
    </row>
    <row r="11" spans="1:9" x14ac:dyDescent="0.25">
      <c r="A11" s="44" t="s">
        <v>20</v>
      </c>
      <c r="B11" s="44"/>
      <c r="C11" s="44"/>
    </row>
    <row r="12" spans="1:9" x14ac:dyDescent="0.25">
      <c r="A12" s="44" t="s">
        <v>19</v>
      </c>
      <c r="B12" s="44"/>
      <c r="C12" s="44"/>
      <c r="D12" s="44"/>
    </row>
  </sheetData>
  <mergeCells count="3">
    <mergeCell ref="A10:C10"/>
    <mergeCell ref="A11:C11"/>
    <mergeCell ref="A12:D12"/>
  </mergeCells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L26"/>
  <sheetViews>
    <sheetView zoomScale="130" zoomScaleNormal="130" workbookViewId="0">
      <selection sqref="A1:C9"/>
    </sheetView>
  </sheetViews>
  <sheetFormatPr defaultRowHeight="15" x14ac:dyDescent="0.25"/>
  <cols>
    <col min="1" max="1" width="17.28515625" customWidth="1"/>
    <col min="2" max="2" width="9.7109375" customWidth="1"/>
    <col min="3" max="3" width="13.7109375" customWidth="1"/>
    <col min="4" max="4" width="7.85546875" customWidth="1"/>
    <col min="5" max="5" width="32.85546875" customWidth="1"/>
    <col min="6" max="6" width="12" bestFit="1" customWidth="1"/>
    <col min="9" max="9" width="35.85546875" customWidth="1"/>
  </cols>
  <sheetData>
    <row r="1" spans="1:12" x14ac:dyDescent="0.25">
      <c r="A1" s="20" t="s">
        <v>21</v>
      </c>
      <c r="B1" s="20" t="s">
        <v>22</v>
      </c>
      <c r="C1" s="20" t="s">
        <v>40</v>
      </c>
      <c r="D1" s="1"/>
    </row>
    <row r="2" spans="1:12" x14ac:dyDescent="0.25">
      <c r="A2" s="19" t="s">
        <v>10</v>
      </c>
      <c r="B2" s="19">
        <v>97</v>
      </c>
      <c r="C2" s="19">
        <v>3</v>
      </c>
      <c r="E2" s="46" t="s">
        <v>23</v>
      </c>
      <c r="F2" s="46"/>
      <c r="G2" s="46"/>
      <c r="H2" s="1">
        <f xml:space="preserve"> SUM(B2,B3,B4,B5,B6,B7,B8)</f>
        <v>292</v>
      </c>
      <c r="I2" s="44" t="str">
        <f ca="1" xml:space="preserve"> _xlfn.FORMULATEXT(H2)</f>
        <v>= SUM(B2,B3,B4,B5,B6,B7,B8)</v>
      </c>
      <c r="J2" s="44"/>
    </row>
    <row r="3" spans="1:12" x14ac:dyDescent="0.25">
      <c r="A3" s="19" t="s">
        <v>11</v>
      </c>
      <c r="B3" s="19">
        <v>77</v>
      </c>
      <c r="C3" s="19">
        <v>3</v>
      </c>
      <c r="E3" s="46" t="s">
        <v>23</v>
      </c>
      <c r="F3" s="46"/>
      <c r="G3" s="46"/>
      <c r="H3" s="1">
        <f xml:space="preserve"> SUM(B2:B8)</f>
        <v>292</v>
      </c>
      <c r="I3" s="8"/>
    </row>
    <row r="4" spans="1:12" x14ac:dyDescent="0.25">
      <c r="A4" s="19" t="s">
        <v>12</v>
      </c>
      <c r="B4" s="19">
        <v>53</v>
      </c>
      <c r="C4" s="19">
        <v>3</v>
      </c>
      <c r="E4" s="46" t="s">
        <v>24</v>
      </c>
      <c r="F4" s="46"/>
      <c r="G4" s="46"/>
      <c r="H4" s="1">
        <f xml:space="preserve"> SUM(B:B)</f>
        <v>326</v>
      </c>
      <c r="I4" t="str">
        <f ca="1">_xlfn.FORMULATEXT(H4)</f>
        <v>= SUM(B:B)</v>
      </c>
    </row>
    <row r="5" spans="1:12" x14ac:dyDescent="0.25">
      <c r="A5" s="19" t="s">
        <v>25</v>
      </c>
      <c r="B5" s="19">
        <v>53</v>
      </c>
      <c r="C5" s="19">
        <v>1</v>
      </c>
      <c r="E5" s="1"/>
      <c r="F5" s="1"/>
      <c r="G5" s="1"/>
      <c r="H5" s="1"/>
    </row>
    <row r="6" spans="1:12" x14ac:dyDescent="0.25">
      <c r="A6" s="19" t="s">
        <v>26</v>
      </c>
      <c r="B6" s="19">
        <v>12</v>
      </c>
      <c r="C6" s="19">
        <v>2</v>
      </c>
      <c r="E6" s="46" t="s">
        <v>117</v>
      </c>
      <c r="F6" s="46"/>
      <c r="G6" s="46"/>
      <c r="H6" s="1">
        <f xml:space="preserve"> MAX(B:B)</f>
        <v>97</v>
      </c>
    </row>
    <row r="7" spans="1:12" x14ac:dyDescent="0.25">
      <c r="A7" s="19"/>
      <c r="B7" s="19"/>
      <c r="C7" s="19"/>
      <c r="E7" s="46" t="s">
        <v>118</v>
      </c>
      <c r="F7" s="46"/>
      <c r="G7" s="46"/>
      <c r="H7" s="1">
        <f xml:space="preserve"> MIN(B:B)</f>
        <v>12</v>
      </c>
    </row>
    <row r="8" spans="1:12" x14ac:dyDescent="0.25">
      <c r="A8" s="19" t="s">
        <v>27</v>
      </c>
      <c r="B8" s="19"/>
      <c r="C8" s="19"/>
      <c r="E8" s="46" t="s">
        <v>119</v>
      </c>
      <c r="F8" s="46"/>
      <c r="G8" s="46"/>
      <c r="H8" s="1">
        <f xml:space="preserve"> LARGE(B:B,2)</f>
        <v>77</v>
      </c>
    </row>
    <row r="9" spans="1:12" x14ac:dyDescent="0.25">
      <c r="A9" s="19" t="s">
        <v>200</v>
      </c>
      <c r="B9" s="19">
        <v>34</v>
      </c>
      <c r="C9" s="19">
        <v>1</v>
      </c>
      <c r="E9" s="46" t="s">
        <v>120</v>
      </c>
      <c r="F9" s="46"/>
      <c r="G9" s="46"/>
      <c r="H9" s="1">
        <f xml:space="preserve"> LARGE(B:B,3)</f>
        <v>53</v>
      </c>
      <c r="J9" s="8"/>
      <c r="K9" s="8"/>
      <c r="L9" s="8"/>
    </row>
    <row r="10" spans="1:12" x14ac:dyDescent="0.25">
      <c r="E10" s="46" t="s">
        <v>121</v>
      </c>
      <c r="F10" s="46"/>
      <c r="G10" s="46"/>
      <c r="H10" s="1">
        <f xml:space="preserve"> SMALL(B:B,2)</f>
        <v>34</v>
      </c>
      <c r="I10" s="9" t="s">
        <v>123</v>
      </c>
    </row>
    <row r="11" spans="1:12" x14ac:dyDescent="0.25">
      <c r="E11" s="46" t="s">
        <v>122</v>
      </c>
      <c r="F11" s="46"/>
      <c r="G11" s="46"/>
      <c r="H11" s="1">
        <f xml:space="preserve"> COUNT(A:A)</f>
        <v>0</v>
      </c>
      <c r="I11" t="s">
        <v>123</v>
      </c>
    </row>
    <row r="12" spans="1:12" x14ac:dyDescent="0.25">
      <c r="E12" s="46" t="s">
        <v>124</v>
      </c>
      <c r="F12" s="46"/>
      <c r="G12" s="46"/>
      <c r="H12" s="1">
        <f xml:space="preserve"> COUNT(B:B)</f>
        <v>6</v>
      </c>
      <c r="I12" t="s">
        <v>126</v>
      </c>
    </row>
    <row r="13" spans="1:12" x14ac:dyDescent="0.25">
      <c r="E13" s="46" t="s">
        <v>125</v>
      </c>
      <c r="F13" s="46"/>
      <c r="G13" s="46"/>
      <c r="H13" s="1">
        <f xml:space="preserve"> COUNTA(A:A)-1</f>
        <v>8</v>
      </c>
    </row>
    <row r="14" spans="1:12" x14ac:dyDescent="0.25">
      <c r="E14" s="45" t="s">
        <v>201</v>
      </c>
      <c r="F14" s="45"/>
      <c r="G14" s="45"/>
      <c r="H14" s="1">
        <f>COUNTBLANK(B1:B9)</f>
        <v>2</v>
      </c>
    </row>
    <row r="15" spans="1:12" x14ac:dyDescent="0.25">
      <c r="E15" s="45" t="s">
        <v>202</v>
      </c>
      <c r="F15" s="45"/>
      <c r="G15" s="45"/>
      <c r="H15" s="1">
        <f xml:space="preserve"> COUNTBLANK(A2:C8)</f>
        <v>5</v>
      </c>
    </row>
    <row r="16" spans="1:12" x14ac:dyDescent="0.25">
      <c r="E16" s="14"/>
      <c r="F16" s="14"/>
      <c r="G16" s="14"/>
      <c r="H16" s="1"/>
    </row>
    <row r="17" spans="1:8" x14ac:dyDescent="0.25">
      <c r="E17" s="45" t="s">
        <v>28</v>
      </c>
      <c r="F17" s="45"/>
      <c r="G17" s="45"/>
      <c r="H17" s="1">
        <f xml:space="preserve"> AVERAGE(B:B)</f>
        <v>54.333333333333336</v>
      </c>
    </row>
    <row r="18" spans="1:8" x14ac:dyDescent="0.25">
      <c r="E18" s="45" t="s">
        <v>127</v>
      </c>
      <c r="F18" s="45"/>
      <c r="G18" s="45"/>
      <c r="H18" s="1">
        <f xml:space="preserve"> MEDIAN(B:B)</f>
        <v>53</v>
      </c>
    </row>
    <row r="19" spans="1:8" x14ac:dyDescent="0.25">
      <c r="E19" s="45" t="s">
        <v>128</v>
      </c>
      <c r="F19" s="45"/>
      <c r="G19" s="45"/>
      <c r="H19" s="1">
        <f xml:space="preserve"> MODE(C:C)</f>
        <v>3</v>
      </c>
    </row>
    <row r="21" spans="1:8" x14ac:dyDescent="0.25">
      <c r="A21" s="1" t="s">
        <v>217</v>
      </c>
    </row>
    <row r="22" spans="1:8" x14ac:dyDescent="0.25">
      <c r="E22" s="1"/>
      <c r="F22" s="1"/>
      <c r="G22" s="1"/>
      <c r="H22" s="1"/>
    </row>
    <row r="23" spans="1:8" x14ac:dyDescent="0.25">
      <c r="E23" s="1"/>
      <c r="F23" s="1"/>
      <c r="G23" s="1"/>
      <c r="H23" s="1"/>
    </row>
    <row r="24" spans="1:8" x14ac:dyDescent="0.25">
      <c r="E24" s="1"/>
      <c r="F24" s="1"/>
      <c r="G24" s="1"/>
      <c r="H24" s="1"/>
    </row>
    <row r="25" spans="1:8" x14ac:dyDescent="0.25">
      <c r="E25" s="1"/>
      <c r="F25" s="1"/>
      <c r="G25" s="1"/>
      <c r="H25" s="1"/>
    </row>
    <row r="26" spans="1:8" x14ac:dyDescent="0.25">
      <c r="E26" s="1"/>
      <c r="F26" s="1"/>
      <c r="G26" s="1"/>
      <c r="H26" s="1"/>
    </row>
  </sheetData>
  <sortState xmlns:xlrd2="http://schemas.microsoft.com/office/spreadsheetml/2017/richdata2" ref="A2:B8">
    <sortCondition descending="1" ref="B1:B8"/>
  </sortState>
  <mergeCells count="17">
    <mergeCell ref="I2:J2"/>
    <mergeCell ref="E10:G10"/>
    <mergeCell ref="E11:G11"/>
    <mergeCell ref="E12:G12"/>
    <mergeCell ref="E13:G13"/>
    <mergeCell ref="E2:G2"/>
    <mergeCell ref="E4:G4"/>
    <mergeCell ref="E6:G6"/>
    <mergeCell ref="E7:G7"/>
    <mergeCell ref="E8:G8"/>
    <mergeCell ref="E9:G9"/>
    <mergeCell ref="E3:G3"/>
    <mergeCell ref="E14:G14"/>
    <mergeCell ref="E19:G19"/>
    <mergeCell ref="E17:G17"/>
    <mergeCell ref="E18:G18"/>
    <mergeCell ref="E15:G15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14"/>
  <sheetViews>
    <sheetView zoomScale="140" zoomScaleNormal="140" workbookViewId="0">
      <selection activeCell="C19" sqref="C19"/>
    </sheetView>
  </sheetViews>
  <sheetFormatPr defaultRowHeight="15" x14ac:dyDescent="0.25"/>
  <cols>
    <col min="1" max="1" width="18.7109375" customWidth="1"/>
    <col min="2" max="2" width="23.5703125" customWidth="1"/>
    <col min="5" max="5" width="20.7109375" customWidth="1"/>
    <col min="8" max="8" width="15.7109375" customWidth="1"/>
  </cols>
  <sheetData>
    <row r="1" spans="1:9" x14ac:dyDescent="0.25">
      <c r="A1" s="1" t="s">
        <v>54</v>
      </c>
      <c r="B1" s="1" t="s">
        <v>104</v>
      </c>
      <c r="C1" s="1" t="s">
        <v>105</v>
      </c>
    </row>
    <row r="2" spans="1:9" ht="13.5" customHeight="1" x14ac:dyDescent="0.25">
      <c r="A2" t="s">
        <v>106</v>
      </c>
      <c r="B2" t="s">
        <v>107</v>
      </c>
      <c r="C2">
        <v>20000</v>
      </c>
    </row>
    <row r="3" spans="1:9" x14ac:dyDescent="0.25">
      <c r="A3" t="s">
        <v>108</v>
      </c>
      <c r="B3" t="s">
        <v>109</v>
      </c>
      <c r="C3">
        <v>40000</v>
      </c>
    </row>
    <row r="4" spans="1:9" ht="15.75" customHeight="1" x14ac:dyDescent="0.25">
      <c r="A4" t="s">
        <v>110</v>
      </c>
      <c r="B4" t="s">
        <v>107</v>
      </c>
      <c r="C4">
        <v>34000</v>
      </c>
      <c r="F4" t="s">
        <v>203</v>
      </c>
    </row>
    <row r="5" spans="1:9" x14ac:dyDescent="0.25">
      <c r="A5" t="s">
        <v>111</v>
      </c>
      <c r="B5" t="s">
        <v>109</v>
      </c>
      <c r="C5">
        <v>40000</v>
      </c>
      <c r="F5" t="s">
        <v>116</v>
      </c>
    </row>
    <row r="6" spans="1:9" ht="18.600000000000001" customHeight="1" x14ac:dyDescent="0.25">
      <c r="A6" t="s">
        <v>112</v>
      </c>
      <c r="B6" t="s">
        <v>109</v>
      </c>
      <c r="C6">
        <v>60000</v>
      </c>
    </row>
    <row r="7" spans="1:9" ht="20.25" customHeight="1" x14ac:dyDescent="0.25">
      <c r="A7" t="s">
        <v>113</v>
      </c>
      <c r="B7" t="s">
        <v>107</v>
      </c>
      <c r="C7">
        <v>90000</v>
      </c>
    </row>
    <row r="10" spans="1:9" x14ac:dyDescent="0.25">
      <c r="E10" s="1" t="s">
        <v>114</v>
      </c>
      <c r="F10" s="21">
        <f xml:space="preserve"> SUM(C2:C7)</f>
        <v>284000</v>
      </c>
      <c r="H10" s="4"/>
      <c r="I10" s="4"/>
    </row>
    <row r="11" spans="1:9" x14ac:dyDescent="0.25">
      <c r="E11" s="1" t="s">
        <v>154</v>
      </c>
      <c r="F11" s="22">
        <f xml:space="preserve"> AVERAGE(C2:C7)</f>
        <v>47333.333333333336</v>
      </c>
    </row>
    <row r="13" spans="1:9" x14ac:dyDescent="0.25">
      <c r="E13" s="1" t="s">
        <v>115</v>
      </c>
      <c r="F13" s="21">
        <f xml:space="preserve"> SUBTOTAL(9,C2:C7)</f>
        <v>284000</v>
      </c>
    </row>
    <row r="14" spans="1:9" x14ac:dyDescent="0.25">
      <c r="E14" s="1" t="s">
        <v>153</v>
      </c>
      <c r="F14" s="22">
        <f xml:space="preserve"> SUBTOTAL(101, C2:C7)</f>
        <v>47333.333333333336</v>
      </c>
    </row>
  </sheetData>
  <autoFilter ref="A1:C7" xr:uid="{00000000-0001-0000-0400-000000000000}"/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162"/>
  <sheetViews>
    <sheetView topLeftCell="A112" zoomScale="145" zoomScaleNormal="145" workbookViewId="0">
      <selection activeCell="F52" sqref="F52"/>
    </sheetView>
  </sheetViews>
  <sheetFormatPr defaultRowHeight="15" x14ac:dyDescent="0.25"/>
  <cols>
    <col min="1" max="1" width="17.28515625" customWidth="1"/>
    <col min="2" max="2" width="18.28515625" customWidth="1"/>
    <col min="3" max="3" width="21" customWidth="1"/>
    <col min="4" max="4" width="24.85546875" customWidth="1"/>
    <col min="5" max="5" width="30.28515625" customWidth="1"/>
    <col min="6" max="6" width="27.140625" customWidth="1"/>
    <col min="7" max="7" width="28.7109375" customWidth="1"/>
  </cols>
  <sheetData>
    <row r="1" spans="1:4" x14ac:dyDescent="0.25">
      <c r="A1" s="1" t="s">
        <v>204</v>
      </c>
    </row>
    <row r="2" spans="1:4" x14ac:dyDescent="0.25">
      <c r="A2" s="1"/>
    </row>
    <row r="3" spans="1:4" x14ac:dyDescent="0.25">
      <c r="A3" s="1"/>
    </row>
    <row r="4" spans="1:4" x14ac:dyDescent="0.25">
      <c r="A4" s="1" t="s">
        <v>205</v>
      </c>
    </row>
    <row r="5" spans="1:4" x14ac:dyDescent="0.25">
      <c r="A5" s="30" t="s">
        <v>41</v>
      </c>
      <c r="B5" s="30" t="s">
        <v>42</v>
      </c>
      <c r="C5" s="33" t="s">
        <v>169</v>
      </c>
      <c r="D5" s="33" t="s">
        <v>170</v>
      </c>
    </row>
    <row r="6" spans="1:4" x14ac:dyDescent="0.25">
      <c r="A6" s="31" t="s">
        <v>172</v>
      </c>
      <c r="B6" s="31" t="s">
        <v>34</v>
      </c>
      <c r="C6" s="33" t="b">
        <f xml:space="preserve"> A6 = B6</f>
        <v>0</v>
      </c>
      <c r="D6" s="33" t="b">
        <f xml:space="preserve"> NOT(A6=B6)</f>
        <v>1</v>
      </c>
    </row>
    <row r="7" spans="1:4" x14ac:dyDescent="0.25">
      <c r="A7" s="31" t="s">
        <v>172</v>
      </c>
      <c r="B7" s="31" t="s">
        <v>172</v>
      </c>
      <c r="C7" s="33" t="b">
        <f t="shared" ref="C7:C10" si="0" xml:space="preserve"> A7 = B7</f>
        <v>1</v>
      </c>
      <c r="D7" s="33" t="b">
        <f t="shared" ref="D7:D10" si="1" xml:space="preserve"> NOT(A7=B7)</f>
        <v>0</v>
      </c>
    </row>
    <row r="8" spans="1:4" x14ac:dyDescent="0.25">
      <c r="A8" s="31" t="s">
        <v>172</v>
      </c>
      <c r="B8" s="31" t="s">
        <v>173</v>
      </c>
      <c r="C8" s="33" t="b">
        <f t="shared" si="0"/>
        <v>1</v>
      </c>
      <c r="D8" s="33" t="b">
        <f xml:space="preserve"> NOT(A8=B8)</f>
        <v>0</v>
      </c>
    </row>
    <row r="9" spans="1:4" x14ac:dyDescent="0.25">
      <c r="A9" s="31" t="s">
        <v>103</v>
      </c>
      <c r="B9" s="31" t="s">
        <v>171</v>
      </c>
      <c r="C9" s="33" t="b">
        <f t="shared" si="0"/>
        <v>0</v>
      </c>
      <c r="D9" s="33" t="b">
        <f t="shared" si="1"/>
        <v>1</v>
      </c>
    </row>
    <row r="10" spans="1:4" x14ac:dyDescent="0.25">
      <c r="A10" s="31" t="s">
        <v>130</v>
      </c>
      <c r="B10" s="31" t="s">
        <v>131</v>
      </c>
      <c r="C10" s="33" t="b">
        <f t="shared" si="0"/>
        <v>0</v>
      </c>
      <c r="D10" s="33" t="b">
        <f t="shared" si="1"/>
        <v>1</v>
      </c>
    </row>
    <row r="11" spans="1:4" x14ac:dyDescent="0.25">
      <c r="A11" s="31"/>
      <c r="B11" s="31"/>
      <c r="C11" s="33"/>
      <c r="D11" s="33"/>
    </row>
    <row r="13" spans="1:4" x14ac:dyDescent="0.25">
      <c r="A13" s="1" t="s">
        <v>47</v>
      </c>
    </row>
    <row r="14" spans="1:4" x14ac:dyDescent="0.25">
      <c r="B14" s="32" t="s">
        <v>220</v>
      </c>
      <c r="C14" s="32" t="s">
        <v>218</v>
      </c>
      <c r="D14" s="32" t="s">
        <v>219</v>
      </c>
    </row>
    <row r="15" spans="1:4" x14ac:dyDescent="0.25">
      <c r="A15" s="1"/>
      <c r="B15" s="8">
        <v>11</v>
      </c>
      <c r="C15" s="34" t="b">
        <f xml:space="preserve"> B15=11</f>
        <v>1</v>
      </c>
      <c r="D15" s="34" t="b">
        <f xml:space="preserve"> B15 = 4</f>
        <v>0</v>
      </c>
    </row>
    <row r="16" spans="1:4" x14ac:dyDescent="0.25">
      <c r="A16" s="1"/>
      <c r="B16" s="8">
        <v>12</v>
      </c>
      <c r="C16" s="34" t="b">
        <f t="shared" ref="C16:C19" si="2" xml:space="preserve"> B16=11</f>
        <v>0</v>
      </c>
      <c r="D16" s="34" t="b">
        <f t="shared" ref="D16:D19" si="3" xml:space="preserve"> B16 = 4</f>
        <v>0</v>
      </c>
    </row>
    <row r="17" spans="1:6" x14ac:dyDescent="0.25">
      <c r="A17" s="1"/>
      <c r="B17" s="8">
        <v>11</v>
      </c>
      <c r="C17" s="34" t="b">
        <f t="shared" si="2"/>
        <v>1</v>
      </c>
      <c r="D17" s="34" t="b">
        <f t="shared" si="3"/>
        <v>0</v>
      </c>
    </row>
    <row r="18" spans="1:6" x14ac:dyDescent="0.25">
      <c r="A18" s="1"/>
      <c r="B18" s="8">
        <v>4</v>
      </c>
      <c r="C18" s="34" t="b">
        <f t="shared" si="2"/>
        <v>0</v>
      </c>
      <c r="D18" s="34" t="b">
        <f t="shared" si="3"/>
        <v>1</v>
      </c>
    </row>
    <row r="19" spans="1:6" x14ac:dyDescent="0.25">
      <c r="A19" s="1"/>
      <c r="B19" s="8">
        <v>4</v>
      </c>
      <c r="C19" s="34" t="b">
        <f t="shared" si="2"/>
        <v>0</v>
      </c>
      <c r="D19" s="34" t="b">
        <f t="shared" si="3"/>
        <v>1</v>
      </c>
    </row>
    <row r="20" spans="1:6" x14ac:dyDescent="0.25">
      <c r="A20" s="1"/>
      <c r="B20" s="8"/>
      <c r="C20" s="34"/>
      <c r="D20" s="34"/>
    </row>
    <row r="21" spans="1:6" x14ac:dyDescent="0.25">
      <c r="A21" s="1"/>
    </row>
    <row r="22" spans="1:6" x14ac:dyDescent="0.25">
      <c r="A22" s="1"/>
    </row>
    <row r="23" spans="1:6" x14ac:dyDescent="0.25">
      <c r="A23" s="1" t="s">
        <v>132</v>
      </c>
    </row>
    <row r="24" spans="1:6" x14ac:dyDescent="0.25">
      <c r="A24" s="20" t="s">
        <v>44</v>
      </c>
      <c r="B24" s="20" t="s">
        <v>43</v>
      </c>
      <c r="C24" s="23" t="s">
        <v>45</v>
      </c>
      <c r="D24" s="23" t="s">
        <v>174</v>
      </c>
      <c r="E24" s="23" t="s">
        <v>61</v>
      </c>
      <c r="F24" s="23" t="s">
        <v>46</v>
      </c>
    </row>
    <row r="25" spans="1:6" x14ac:dyDescent="0.25">
      <c r="A25" s="19">
        <v>10</v>
      </c>
      <c r="B25" s="19">
        <v>5</v>
      </c>
      <c r="C25" s="23" t="b">
        <f xml:space="preserve"> A25 = B25</f>
        <v>0</v>
      </c>
      <c r="D25" s="23" t="b">
        <f xml:space="preserve"> NOT(A25=B25)</f>
        <v>1</v>
      </c>
      <c r="E25" s="23" t="b">
        <f>B25&gt;A25</f>
        <v>0</v>
      </c>
      <c r="F25" s="23" t="b">
        <f xml:space="preserve"> A25&lt;=B25</f>
        <v>0</v>
      </c>
    </row>
    <row r="26" spans="1:6" x14ac:dyDescent="0.25">
      <c r="A26" s="19">
        <v>10</v>
      </c>
      <c r="B26" s="19">
        <v>10</v>
      </c>
      <c r="C26" s="23" t="b">
        <f t="shared" ref="C26:C28" si="4" xml:space="preserve"> A26 = B26</f>
        <v>1</v>
      </c>
      <c r="D26" s="23" t="b">
        <f t="shared" ref="D26:D28" si="5" xml:space="preserve"> NOT(A26=B26)</f>
        <v>0</v>
      </c>
      <c r="E26" s="23" t="b">
        <f t="shared" ref="E26:E28" si="6">B26&gt;A26</f>
        <v>0</v>
      </c>
      <c r="F26" s="23" t="b">
        <f t="shared" ref="F26:F28" si="7" xml:space="preserve"> A26&lt;=B26</f>
        <v>1</v>
      </c>
    </row>
    <row r="27" spans="1:6" x14ac:dyDescent="0.25">
      <c r="A27" s="19">
        <v>10</v>
      </c>
      <c r="B27" s="19">
        <v>15</v>
      </c>
      <c r="C27" s="23" t="b">
        <f t="shared" si="4"/>
        <v>0</v>
      </c>
      <c r="D27" s="23" t="b">
        <f t="shared" si="5"/>
        <v>1</v>
      </c>
      <c r="E27" s="23" t="b">
        <f t="shared" si="6"/>
        <v>1</v>
      </c>
      <c r="F27" s="23" t="b">
        <f t="shared" si="7"/>
        <v>1</v>
      </c>
    </row>
    <row r="28" spans="1:6" x14ac:dyDescent="0.25">
      <c r="A28" s="19">
        <v>10</v>
      </c>
      <c r="B28" s="19">
        <v>3</v>
      </c>
      <c r="C28" s="23" t="b">
        <f t="shared" si="4"/>
        <v>0</v>
      </c>
      <c r="D28" s="23" t="b">
        <f t="shared" si="5"/>
        <v>1</v>
      </c>
      <c r="E28" s="23" t="b">
        <f t="shared" si="6"/>
        <v>0</v>
      </c>
      <c r="F28" s="23" t="b">
        <f t="shared" si="7"/>
        <v>0</v>
      </c>
    </row>
    <row r="29" spans="1:6" x14ac:dyDescent="0.25">
      <c r="C29" s="4"/>
      <c r="D29" s="4"/>
      <c r="E29" s="4"/>
      <c r="F29" s="4"/>
    </row>
    <row r="30" spans="1:6" x14ac:dyDescent="0.25">
      <c r="C30" s="4"/>
      <c r="D30" s="4"/>
      <c r="E30" s="4"/>
      <c r="F30" s="4"/>
    </row>
    <row r="33" spans="1:7" x14ac:dyDescent="0.25">
      <c r="A33" s="42" t="s">
        <v>136</v>
      </c>
      <c r="B33" s="42"/>
      <c r="C33" s="42"/>
      <c r="D33" s="42"/>
      <c r="E33" s="42"/>
    </row>
    <row r="34" spans="1:7" x14ac:dyDescent="0.25">
      <c r="A34" t="s">
        <v>185</v>
      </c>
    </row>
    <row r="35" spans="1:7" x14ac:dyDescent="0.25">
      <c r="A35" s="30" t="s">
        <v>54</v>
      </c>
      <c r="B35" s="30" t="s">
        <v>48</v>
      </c>
      <c r="C35" s="30" t="s">
        <v>49</v>
      </c>
      <c r="D35" s="34" t="s">
        <v>186</v>
      </c>
      <c r="E35" s="34" t="s">
        <v>187</v>
      </c>
      <c r="F35" s="33" t="s">
        <v>50</v>
      </c>
    </row>
    <row r="36" spans="1:7" x14ac:dyDescent="0.25">
      <c r="A36" s="31" t="s">
        <v>182</v>
      </c>
      <c r="B36" s="31">
        <v>600</v>
      </c>
      <c r="C36" s="31">
        <v>1</v>
      </c>
      <c r="D36" s="35" t="b">
        <f xml:space="preserve"> B36 &gt;= 700</f>
        <v>0</v>
      </c>
      <c r="E36" s="35" t="b">
        <f xml:space="preserve"> C36 &gt;=2</f>
        <v>0</v>
      </c>
      <c r="F36" s="33" t="b">
        <f xml:space="preserve"> OR( B36 &gt;= 700, C36 &gt;=2 )</f>
        <v>0</v>
      </c>
    </row>
    <row r="37" spans="1:7" x14ac:dyDescent="0.25">
      <c r="A37" s="31" t="s">
        <v>188</v>
      </c>
      <c r="B37" s="31">
        <v>400</v>
      </c>
      <c r="C37" s="31">
        <v>3</v>
      </c>
      <c r="D37" s="35" t="b">
        <f t="shared" ref="D37:D40" si="8" xml:space="preserve"> B37 &gt;= 700</f>
        <v>0</v>
      </c>
      <c r="E37" s="35" t="b">
        <f t="shared" ref="E37:E40" si="9" xml:space="preserve"> C37 &gt;=2</f>
        <v>1</v>
      </c>
      <c r="F37" s="33" t="b">
        <f t="shared" ref="F37:F40" si="10" xml:space="preserve"> OR( B37 &gt;= 700, C37 &gt;=2 )</f>
        <v>1</v>
      </c>
    </row>
    <row r="38" spans="1:7" x14ac:dyDescent="0.25">
      <c r="A38" s="31" t="s">
        <v>183</v>
      </c>
      <c r="B38" s="31">
        <v>800</v>
      </c>
      <c r="C38" s="31">
        <v>1</v>
      </c>
      <c r="D38" s="35" t="b">
        <f t="shared" si="8"/>
        <v>1</v>
      </c>
      <c r="E38" s="35" t="b">
        <f t="shared" si="9"/>
        <v>0</v>
      </c>
      <c r="F38" s="33" t="b">
        <f t="shared" si="10"/>
        <v>1</v>
      </c>
    </row>
    <row r="39" spans="1:7" x14ac:dyDescent="0.25">
      <c r="A39" s="31" t="s">
        <v>184</v>
      </c>
      <c r="B39" s="31">
        <v>900</v>
      </c>
      <c r="C39" s="31">
        <v>3</v>
      </c>
      <c r="D39" s="35" t="b">
        <f t="shared" si="8"/>
        <v>1</v>
      </c>
      <c r="E39" s="35" t="b">
        <f t="shared" si="9"/>
        <v>1</v>
      </c>
      <c r="F39" s="33" t="b">
        <f t="shared" si="10"/>
        <v>1</v>
      </c>
    </row>
    <row r="40" spans="1:7" x14ac:dyDescent="0.25">
      <c r="A40" s="31" t="s">
        <v>189</v>
      </c>
      <c r="B40" s="31">
        <v>300</v>
      </c>
      <c r="C40" s="31">
        <v>6</v>
      </c>
      <c r="D40" s="35" t="b">
        <f t="shared" si="8"/>
        <v>0</v>
      </c>
      <c r="E40" s="35" t="b">
        <f t="shared" si="9"/>
        <v>1</v>
      </c>
      <c r="F40" s="33" t="b">
        <f t="shared" si="10"/>
        <v>1</v>
      </c>
    </row>
    <row r="45" spans="1:7" x14ac:dyDescent="0.25">
      <c r="A45" s="47" t="s">
        <v>156</v>
      </c>
      <c r="B45" s="47"/>
      <c r="C45" s="47"/>
      <c r="D45" s="47"/>
    </row>
    <row r="46" spans="1:7" x14ac:dyDescent="0.25">
      <c r="A46" t="s">
        <v>190</v>
      </c>
    </row>
    <row r="47" spans="1:7" ht="18" customHeight="1" x14ac:dyDescent="0.25">
      <c r="A47" s="36" t="s">
        <v>29</v>
      </c>
      <c r="B47" s="36" t="s">
        <v>157</v>
      </c>
      <c r="C47" s="36" t="s">
        <v>158</v>
      </c>
      <c r="D47" s="37" t="s">
        <v>191</v>
      </c>
      <c r="E47" s="37" t="s">
        <v>192</v>
      </c>
      <c r="F47" s="38" t="s">
        <v>193</v>
      </c>
      <c r="G47" s="38" t="s">
        <v>194</v>
      </c>
    </row>
    <row r="48" spans="1:7" x14ac:dyDescent="0.25">
      <c r="A48" s="39" t="s">
        <v>161</v>
      </c>
      <c r="B48" s="39" t="s">
        <v>159</v>
      </c>
      <c r="C48" s="40">
        <v>40000</v>
      </c>
      <c r="D48" s="41" t="b">
        <f xml:space="preserve"> B48="Sales"</f>
        <v>0</v>
      </c>
      <c r="E48" s="41" t="b">
        <f xml:space="preserve">  C48&gt;50000</f>
        <v>0</v>
      </c>
      <c r="F48" s="33" t="b">
        <f>AND(B48="Sales", C48&gt;50000)</f>
        <v>0</v>
      </c>
      <c r="G48" s="33" t="b">
        <f xml:space="preserve"> NOT(AND(B48="Sales", C48&gt;50000))</f>
        <v>1</v>
      </c>
    </row>
    <row r="49" spans="1:7" x14ac:dyDescent="0.25">
      <c r="A49" s="39" t="s">
        <v>162</v>
      </c>
      <c r="B49" s="39" t="s">
        <v>159</v>
      </c>
      <c r="C49" s="40">
        <v>55000</v>
      </c>
      <c r="D49" s="41" t="b">
        <f t="shared" ref="D49:D52" si="11" xml:space="preserve"> B49="Sales"</f>
        <v>0</v>
      </c>
      <c r="E49" s="41" t="b">
        <f t="shared" ref="E49:E52" si="12" xml:space="preserve">  C49&gt;50000</f>
        <v>1</v>
      </c>
      <c r="F49" s="33" t="b">
        <f t="shared" ref="F49:F52" si="13">AND(B49="Sales", C49&gt;50000)</f>
        <v>0</v>
      </c>
      <c r="G49" s="33" t="b">
        <f t="shared" ref="G49:G52" si="14" xml:space="preserve"> NOT(AND(B49="Sales", C49&gt;50000))</f>
        <v>1</v>
      </c>
    </row>
    <row r="50" spans="1:7" x14ac:dyDescent="0.25">
      <c r="A50" s="39" t="s">
        <v>163</v>
      </c>
      <c r="B50" s="39" t="s">
        <v>22</v>
      </c>
      <c r="C50" s="40">
        <v>49000</v>
      </c>
      <c r="D50" s="41" t="b">
        <f t="shared" si="11"/>
        <v>1</v>
      </c>
      <c r="E50" s="41" t="b">
        <f t="shared" si="12"/>
        <v>0</v>
      </c>
      <c r="F50" s="33" t="b">
        <f t="shared" si="13"/>
        <v>0</v>
      </c>
      <c r="G50" s="33" t="b">
        <f t="shared" si="14"/>
        <v>1</v>
      </c>
    </row>
    <row r="51" spans="1:7" x14ac:dyDescent="0.25">
      <c r="A51" s="39" t="s">
        <v>164</v>
      </c>
      <c r="B51" s="39" t="s">
        <v>22</v>
      </c>
      <c r="C51" s="40">
        <v>56000</v>
      </c>
      <c r="D51" s="41" t="b">
        <f t="shared" si="11"/>
        <v>1</v>
      </c>
      <c r="E51" s="41" t="b">
        <f t="shared" si="12"/>
        <v>1</v>
      </c>
      <c r="F51" s="33" t="b">
        <f t="shared" si="13"/>
        <v>1</v>
      </c>
      <c r="G51" s="33" t="b">
        <f t="shared" si="14"/>
        <v>0</v>
      </c>
    </row>
    <row r="52" spans="1:7" x14ac:dyDescent="0.25">
      <c r="A52" s="39" t="s">
        <v>165</v>
      </c>
      <c r="B52" s="39" t="s">
        <v>22</v>
      </c>
      <c r="C52" s="40">
        <v>60000</v>
      </c>
      <c r="D52" s="41" t="b">
        <f t="shared" si="11"/>
        <v>1</v>
      </c>
      <c r="E52" s="41" t="b">
        <f t="shared" si="12"/>
        <v>1</v>
      </c>
      <c r="F52" s="33" t="b">
        <f t="shared" si="13"/>
        <v>1</v>
      </c>
      <c r="G52" s="33" t="b">
        <f t="shared" si="14"/>
        <v>0</v>
      </c>
    </row>
    <row r="59" spans="1:7" x14ac:dyDescent="0.25">
      <c r="A59" t="s">
        <v>155</v>
      </c>
    </row>
    <row r="60" spans="1:7" x14ac:dyDescent="0.25">
      <c r="A60" t="s">
        <v>175</v>
      </c>
    </row>
    <row r="61" spans="1:7" x14ac:dyDescent="0.25">
      <c r="A61" s="20" t="s">
        <v>51</v>
      </c>
      <c r="B61" s="20" t="s">
        <v>52</v>
      </c>
      <c r="C61" s="23" t="s">
        <v>53</v>
      </c>
    </row>
    <row r="62" spans="1:7" x14ac:dyDescent="0.25">
      <c r="A62" s="19">
        <v>300</v>
      </c>
      <c r="B62" s="19">
        <v>290</v>
      </c>
      <c r="C62" s="23" t="b">
        <f xml:space="preserve"> AND(B62 &gt;= A62 * 0.9, B62 &lt;= A62 * 1.1)</f>
        <v>1</v>
      </c>
    </row>
    <row r="63" spans="1:7" x14ac:dyDescent="0.25">
      <c r="A63" s="19">
        <v>400</v>
      </c>
      <c r="B63" s="19">
        <v>500</v>
      </c>
      <c r="C63" s="23" t="b">
        <f t="shared" ref="C63:C65" si="15" xml:space="preserve"> AND(B63 &gt;= A63 * 0.9, B63 &lt;= A63 * 1.1)</f>
        <v>0</v>
      </c>
    </row>
    <row r="64" spans="1:7" x14ac:dyDescent="0.25">
      <c r="A64" s="19">
        <v>500</v>
      </c>
      <c r="B64" s="19">
        <v>510</v>
      </c>
      <c r="C64" s="23" t="b">
        <f t="shared" si="15"/>
        <v>1</v>
      </c>
    </row>
    <row r="65" spans="1:6" x14ac:dyDescent="0.25">
      <c r="A65" s="19">
        <v>400</v>
      </c>
      <c r="B65" s="19">
        <v>410</v>
      </c>
      <c r="C65" s="23" t="b">
        <f t="shared" si="15"/>
        <v>1</v>
      </c>
    </row>
    <row r="66" spans="1:6" x14ac:dyDescent="0.25">
      <c r="C66" s="4"/>
    </row>
    <row r="69" spans="1:6" x14ac:dyDescent="0.25">
      <c r="A69" t="s">
        <v>137</v>
      </c>
    </row>
    <row r="70" spans="1:6" x14ac:dyDescent="0.25">
      <c r="A70" s="20" t="s">
        <v>54</v>
      </c>
      <c r="B70" s="20" t="s">
        <v>37</v>
      </c>
      <c r="C70" s="20" t="s">
        <v>60</v>
      </c>
      <c r="D70" s="23" t="s">
        <v>59</v>
      </c>
      <c r="E70" s="23" t="s">
        <v>138</v>
      </c>
      <c r="F70" s="23" t="s">
        <v>139</v>
      </c>
    </row>
    <row r="71" spans="1:6" x14ac:dyDescent="0.25">
      <c r="A71" s="19" t="s">
        <v>55</v>
      </c>
      <c r="B71" s="19">
        <v>20</v>
      </c>
      <c r="C71" s="19">
        <v>20</v>
      </c>
      <c r="D71" s="23" t="str">
        <f xml:space="preserve"> IF(C71&gt;25,"Retrench","No retrench")</f>
        <v>No retrench</v>
      </c>
      <c r="E71" s="23" t="str">
        <f xml:space="preserve"> IF(B71&gt; 20,"Adult","Youth")</f>
        <v>Youth</v>
      </c>
      <c r="F71" s="23" t="str">
        <f>IF(B71 &lt;= 35, "Young",
   IF(B71 &lt;= 60, "Middle-aged", "Senior"))</f>
        <v>Young</v>
      </c>
    </row>
    <row r="72" spans="1:6" x14ac:dyDescent="0.25">
      <c r="A72" s="19" t="s">
        <v>56</v>
      </c>
      <c r="B72" s="19">
        <v>39</v>
      </c>
      <c r="C72" s="19">
        <v>10</v>
      </c>
      <c r="D72" s="23" t="str">
        <f t="shared" ref="D72:D74" si="16" xml:space="preserve"> IF(C72&gt;25,"Retrench","No retrench")</f>
        <v>No retrench</v>
      </c>
      <c r="E72" s="23" t="str">
        <f t="shared" ref="E72:E74" si="17" xml:space="preserve"> IF(B72&gt; 20,"Adult","Youth")</f>
        <v>Adult</v>
      </c>
      <c r="F72" s="23" t="str">
        <f t="shared" ref="F72:F74" si="18">IF(B72 &lt;= 35, "Young",
   IF(B72 &lt;= 60, "Middle-aged", "Senior"))</f>
        <v>Middle-aged</v>
      </c>
    </row>
    <row r="73" spans="1:6" x14ac:dyDescent="0.25">
      <c r="A73" s="19" t="s">
        <v>57</v>
      </c>
      <c r="B73" s="19">
        <v>78</v>
      </c>
      <c r="C73" s="19">
        <v>34</v>
      </c>
      <c r="D73" s="23" t="str">
        <f t="shared" si="16"/>
        <v>Retrench</v>
      </c>
      <c r="E73" s="23" t="str">
        <f t="shared" si="17"/>
        <v>Adult</v>
      </c>
      <c r="F73" s="23" t="str">
        <f t="shared" si="18"/>
        <v>Senior</v>
      </c>
    </row>
    <row r="74" spans="1:6" x14ac:dyDescent="0.25">
      <c r="A74" s="19" t="s">
        <v>206</v>
      </c>
      <c r="B74" s="19">
        <v>19</v>
      </c>
      <c r="C74" s="19">
        <v>26</v>
      </c>
      <c r="D74" s="23" t="str">
        <f t="shared" si="16"/>
        <v>Retrench</v>
      </c>
      <c r="E74" s="23" t="str">
        <f t="shared" si="17"/>
        <v>Youth</v>
      </c>
      <c r="F74" s="23" t="str">
        <f t="shared" si="18"/>
        <v>Young</v>
      </c>
    </row>
    <row r="75" spans="1:6" x14ac:dyDescent="0.25">
      <c r="D75" s="4"/>
      <c r="E75" s="4"/>
      <c r="F75" s="4"/>
    </row>
    <row r="76" spans="1:6" x14ac:dyDescent="0.25">
      <c r="D76" s="9"/>
      <c r="E76" s="9"/>
    </row>
    <row r="77" spans="1:6" x14ac:dyDescent="0.25">
      <c r="A77" s="1" t="s">
        <v>64</v>
      </c>
      <c r="D77" s="9"/>
      <c r="E77" s="9"/>
    </row>
    <row r="78" spans="1:6" x14ac:dyDescent="0.25">
      <c r="A78" s="1" t="s">
        <v>65</v>
      </c>
      <c r="D78" s="9"/>
      <c r="E78" s="9"/>
    </row>
    <row r="79" spans="1:6" x14ac:dyDescent="0.25">
      <c r="A79" s="11" t="s">
        <v>66</v>
      </c>
      <c r="D79" s="9"/>
      <c r="E79" s="9"/>
    </row>
    <row r="80" spans="1:6" x14ac:dyDescent="0.25">
      <c r="A80" s="11" t="s">
        <v>67</v>
      </c>
      <c r="D80" s="9"/>
      <c r="E80" s="9"/>
    </row>
    <row r="81" spans="1:5" x14ac:dyDescent="0.25">
      <c r="A81" s="11" t="s">
        <v>68</v>
      </c>
      <c r="D81" s="9"/>
      <c r="E81" s="9"/>
    </row>
    <row r="82" spans="1:5" x14ac:dyDescent="0.25">
      <c r="A82" s="11" t="s">
        <v>69</v>
      </c>
      <c r="D82" s="9"/>
      <c r="E82" s="9"/>
    </row>
    <row r="83" spans="1:5" x14ac:dyDescent="0.25">
      <c r="A83" s="11" t="s">
        <v>70</v>
      </c>
      <c r="D83" s="9"/>
      <c r="E83" s="9"/>
    </row>
    <row r="84" spans="1:5" x14ac:dyDescent="0.25">
      <c r="A84" s="11"/>
      <c r="D84" s="9"/>
      <c r="E84" s="9"/>
    </row>
    <row r="85" spans="1:5" x14ac:dyDescent="0.25">
      <c r="A85" s="28" t="s">
        <v>71</v>
      </c>
      <c r="B85" s="20" t="s">
        <v>72</v>
      </c>
      <c r="C85" s="23" t="s">
        <v>79</v>
      </c>
      <c r="D85" s="9"/>
      <c r="E85" s="9"/>
    </row>
    <row r="86" spans="1:5" x14ac:dyDescent="0.25">
      <c r="A86" s="29" t="s">
        <v>75</v>
      </c>
      <c r="B86" s="19">
        <v>85000</v>
      </c>
      <c r="C86" s="23" t="str">
        <f>IF(B86&gt;=100000, "Outstanding",
   IF(B86&gt;=75000, "Excellent",
      IF(B86&gt;=50000, "Good",
         IF(B86&gt;=25000, "Fair", "Needs Improvement")
      )
   )
)</f>
        <v>Excellent</v>
      </c>
      <c r="D86" s="9"/>
      <c r="E86" s="9"/>
    </row>
    <row r="87" spans="1:5" x14ac:dyDescent="0.25">
      <c r="A87" s="29" t="s">
        <v>74</v>
      </c>
      <c r="B87" s="19">
        <v>30000</v>
      </c>
      <c r="C87" s="23" t="str">
        <f t="shared" ref="C87:C93" si="19">IF(B87&gt;=100000, "Outstanding",
   IF(B87&gt;=75000, "Excellent",
      IF(B87&gt;=50000, "Good",
         IF(B87&gt;=25000, "Fair", "Needs Improvement")
      )
   )
)</f>
        <v>Fair</v>
      </c>
      <c r="D87" s="9"/>
      <c r="E87" s="9"/>
    </row>
    <row r="88" spans="1:5" x14ac:dyDescent="0.25">
      <c r="A88" s="29" t="s">
        <v>76</v>
      </c>
      <c r="B88" s="19">
        <v>45000</v>
      </c>
      <c r="C88" s="23" t="str">
        <f t="shared" si="19"/>
        <v>Fair</v>
      </c>
      <c r="D88" s="9"/>
      <c r="E88" s="9"/>
    </row>
    <row r="89" spans="1:5" x14ac:dyDescent="0.25">
      <c r="A89" s="29" t="s">
        <v>73</v>
      </c>
      <c r="B89" s="19">
        <v>23000</v>
      </c>
      <c r="C89" s="23" t="str">
        <f t="shared" si="19"/>
        <v>Needs Improvement</v>
      </c>
      <c r="D89" s="9"/>
      <c r="E89" s="9"/>
    </row>
    <row r="90" spans="1:5" x14ac:dyDescent="0.25">
      <c r="A90" s="29" t="s">
        <v>77</v>
      </c>
      <c r="B90" s="19">
        <v>20000</v>
      </c>
      <c r="C90" s="23" t="str">
        <f t="shared" si="19"/>
        <v>Needs Improvement</v>
      </c>
      <c r="D90" s="9"/>
      <c r="E90" s="9"/>
    </row>
    <row r="91" spans="1:5" x14ac:dyDescent="0.25">
      <c r="A91" s="29" t="s">
        <v>78</v>
      </c>
      <c r="B91" s="19">
        <v>60000</v>
      </c>
      <c r="C91" s="23" t="str">
        <f t="shared" si="19"/>
        <v>Good</v>
      </c>
      <c r="D91" s="9"/>
      <c r="E91" s="9"/>
    </row>
    <row r="92" spans="1:5" x14ac:dyDescent="0.25">
      <c r="A92" s="29" t="s">
        <v>207</v>
      </c>
      <c r="B92" s="19">
        <v>30000</v>
      </c>
      <c r="C92" s="23" t="str">
        <f t="shared" si="19"/>
        <v>Fair</v>
      </c>
      <c r="D92" s="9"/>
      <c r="E92" s="9"/>
    </row>
    <row r="93" spans="1:5" x14ac:dyDescent="0.25">
      <c r="A93" s="29" t="s">
        <v>208</v>
      </c>
      <c r="B93" s="19">
        <v>89000</v>
      </c>
      <c r="C93" s="23" t="str">
        <f t="shared" si="19"/>
        <v>Excellent</v>
      </c>
      <c r="D93" s="9"/>
      <c r="E93" s="9"/>
    </row>
    <row r="94" spans="1:5" x14ac:dyDescent="0.25">
      <c r="A94" s="10"/>
      <c r="D94" s="9"/>
      <c r="E94" s="9"/>
    </row>
    <row r="95" spans="1:5" x14ac:dyDescent="0.25">
      <c r="A95" s="10"/>
      <c r="D95" s="9"/>
      <c r="E95" s="9"/>
    </row>
    <row r="96" spans="1:5" x14ac:dyDescent="0.25">
      <c r="D96" s="9"/>
      <c r="E96" s="9"/>
    </row>
    <row r="97" spans="1:5" x14ac:dyDescent="0.25">
      <c r="A97" s="1" t="s">
        <v>209</v>
      </c>
      <c r="E97" s="9"/>
    </row>
    <row r="98" spans="1:5" x14ac:dyDescent="0.25">
      <c r="A98" t="s">
        <v>181</v>
      </c>
      <c r="E98" s="9"/>
    </row>
    <row r="99" spans="1:5" x14ac:dyDescent="0.25">
      <c r="A99" s="20" t="s">
        <v>54</v>
      </c>
      <c r="B99" s="20" t="s">
        <v>48</v>
      </c>
      <c r="C99" s="20" t="s">
        <v>49</v>
      </c>
      <c r="D99" s="23" t="s">
        <v>180</v>
      </c>
      <c r="E99" s="23" t="s">
        <v>62</v>
      </c>
    </row>
    <row r="100" spans="1:5" x14ac:dyDescent="0.25">
      <c r="A100" s="19" t="s">
        <v>133</v>
      </c>
      <c r="B100" s="19">
        <v>700</v>
      </c>
      <c r="C100" s="19">
        <v>5</v>
      </c>
      <c r="D100" s="23" t="b">
        <f xml:space="preserve"> OR( B100 &gt;= 700, C100 &gt;=2 )</f>
        <v>1</v>
      </c>
      <c r="E100" s="23" t="str">
        <f>IF( OR( B100&gt;=700, C100&gt;=2 ), "Loan Approve", "Loan Deny" )</f>
        <v>Loan Approve</v>
      </c>
    </row>
    <row r="101" spans="1:5" x14ac:dyDescent="0.25">
      <c r="A101" s="19" t="s">
        <v>134</v>
      </c>
      <c r="B101" s="19">
        <v>300</v>
      </c>
      <c r="C101" s="19">
        <v>2</v>
      </c>
      <c r="D101" s="23" t="b">
        <f t="shared" ref="D101:D102" si="20" xml:space="preserve"> OR( B101 &gt;= 700, C101 &gt;=2 )</f>
        <v>1</v>
      </c>
      <c r="E101" s="23" t="str">
        <f t="shared" ref="E101:E102" si="21">IF( OR( B101&gt;=700, C101&gt;=2 ), "Loan Approve", "Loan Deny" )</f>
        <v>Loan Approve</v>
      </c>
    </row>
    <row r="102" spans="1:5" x14ac:dyDescent="0.25">
      <c r="A102" s="19" t="s">
        <v>135</v>
      </c>
      <c r="B102" s="19">
        <v>500</v>
      </c>
      <c r="C102" s="19">
        <v>1</v>
      </c>
      <c r="D102" s="23" t="b">
        <f t="shared" si="20"/>
        <v>0</v>
      </c>
      <c r="E102" s="23" t="str">
        <f t="shared" si="21"/>
        <v>Loan Deny</v>
      </c>
    </row>
    <row r="103" spans="1:5" x14ac:dyDescent="0.25">
      <c r="A103" s="19" t="s">
        <v>57</v>
      </c>
      <c r="B103" s="19">
        <v>800</v>
      </c>
      <c r="C103" s="19">
        <v>1</v>
      </c>
      <c r="D103" s="23" t="b">
        <f t="shared" ref="D103:D105" si="22" xml:space="preserve"> OR( B103 &gt;= 700, C103 &gt;=2 )</f>
        <v>1</v>
      </c>
      <c r="E103" s="23" t="str">
        <f t="shared" ref="E103:E105" si="23">IF( OR( B103&gt;=700, C103&gt;=2 ), "Loan Approve", "Loan Deny" )</f>
        <v>Loan Approve</v>
      </c>
    </row>
    <row r="104" spans="1:5" x14ac:dyDescent="0.25">
      <c r="A104" s="19" t="s">
        <v>210</v>
      </c>
      <c r="B104" s="19">
        <v>400</v>
      </c>
      <c r="C104" s="19">
        <v>4</v>
      </c>
      <c r="D104" s="23" t="b">
        <f t="shared" si="22"/>
        <v>1</v>
      </c>
      <c r="E104" s="23" t="str">
        <f t="shared" si="23"/>
        <v>Loan Approve</v>
      </c>
    </row>
    <row r="105" spans="1:5" x14ac:dyDescent="0.25">
      <c r="A105" s="19" t="s">
        <v>208</v>
      </c>
      <c r="B105" s="19">
        <v>300</v>
      </c>
      <c r="C105" s="19">
        <v>1</v>
      </c>
      <c r="D105" s="23" t="b">
        <f t="shared" si="22"/>
        <v>0</v>
      </c>
      <c r="E105" s="23" t="str">
        <f t="shared" si="23"/>
        <v>Loan Deny</v>
      </c>
    </row>
    <row r="106" spans="1:5" x14ac:dyDescent="0.25">
      <c r="C106" s="4"/>
      <c r="D106" s="4"/>
    </row>
    <row r="107" spans="1:5" x14ac:dyDescent="0.25">
      <c r="C107" s="4"/>
      <c r="D107" s="4"/>
    </row>
    <row r="108" spans="1:5" x14ac:dyDescent="0.25">
      <c r="A108" t="s">
        <v>140</v>
      </c>
      <c r="C108" s="4"/>
      <c r="D108" s="4"/>
    </row>
    <row r="109" spans="1:5" x14ac:dyDescent="0.25">
      <c r="A109" s="20" t="s">
        <v>29</v>
      </c>
      <c r="B109" s="20" t="s">
        <v>80</v>
      </c>
      <c r="C109" s="20" t="s">
        <v>81</v>
      </c>
      <c r="D109" s="23" t="s">
        <v>85</v>
      </c>
      <c r="E109" s="4"/>
    </row>
    <row r="110" spans="1:5" x14ac:dyDescent="0.25">
      <c r="A110" s="19" t="s">
        <v>141</v>
      </c>
      <c r="B110" s="19" t="s">
        <v>82</v>
      </c>
      <c r="C110" s="19">
        <v>6</v>
      </c>
      <c r="D110" s="23" t="str">
        <f>IF( OR( B110="Excellent", C110&gt;5 ), "Bonus", "No Bonus" )</f>
        <v>Bonus</v>
      </c>
      <c r="E110" s="4"/>
    </row>
    <row r="111" spans="1:5" x14ac:dyDescent="0.25">
      <c r="A111" s="19" t="s">
        <v>142</v>
      </c>
      <c r="B111" s="19" t="s">
        <v>82</v>
      </c>
      <c r="C111" s="19">
        <v>2</v>
      </c>
      <c r="D111" s="23" t="str">
        <f t="shared" ref="D111:D113" si="24">IF( OR( B111="Excellent", C111&gt;5 ), "Bonus", "No Bonus" )</f>
        <v>Bonus</v>
      </c>
      <c r="E111" s="4"/>
    </row>
    <row r="112" spans="1:5" x14ac:dyDescent="0.25">
      <c r="A112" s="19" t="s">
        <v>143</v>
      </c>
      <c r="B112" s="19" t="s">
        <v>83</v>
      </c>
      <c r="C112" s="19">
        <v>2</v>
      </c>
      <c r="D112" s="23" t="str">
        <f t="shared" si="24"/>
        <v>No Bonus</v>
      </c>
      <c r="E112" s="4"/>
    </row>
    <row r="113" spans="1:5" x14ac:dyDescent="0.25">
      <c r="A113" s="19" t="s">
        <v>144</v>
      </c>
      <c r="B113" s="19" t="s">
        <v>84</v>
      </c>
      <c r="C113" s="19">
        <v>8</v>
      </c>
      <c r="D113" s="23" t="str">
        <f t="shared" si="24"/>
        <v>Bonus</v>
      </c>
      <c r="E113" s="4"/>
    </row>
    <row r="114" spans="1:5" x14ac:dyDescent="0.25">
      <c r="D114" s="4"/>
      <c r="E114" s="4"/>
    </row>
    <row r="115" spans="1:5" x14ac:dyDescent="0.25">
      <c r="D115" s="4"/>
      <c r="E115" s="4"/>
    </row>
    <row r="116" spans="1:5" x14ac:dyDescent="0.25">
      <c r="C116" s="4"/>
      <c r="D116" s="4"/>
    </row>
    <row r="117" spans="1:5" x14ac:dyDescent="0.25">
      <c r="A117" t="s">
        <v>211</v>
      </c>
    </row>
    <row r="118" spans="1:5" x14ac:dyDescent="0.25">
      <c r="A118" s="24" t="s">
        <v>29</v>
      </c>
      <c r="B118" s="24" t="s">
        <v>157</v>
      </c>
      <c r="C118" s="24" t="s">
        <v>158</v>
      </c>
      <c r="D118" s="27" t="s">
        <v>166</v>
      </c>
      <c r="E118" s="27" t="s">
        <v>168</v>
      </c>
    </row>
    <row r="119" spans="1:5" x14ac:dyDescent="0.25">
      <c r="A119" s="25" t="s">
        <v>161</v>
      </c>
      <c r="B119" s="25" t="s">
        <v>22</v>
      </c>
      <c r="C119" s="26">
        <v>40000</v>
      </c>
      <c r="D119" s="23" t="b">
        <f>AND(B119="Sales", C119&gt;50000)</f>
        <v>0</v>
      </c>
      <c r="E119" s="23" t="str">
        <f>IF(AND(B119="Sales", C119&gt;50000), "Eligible", "Not Eligible")</f>
        <v>Not Eligible</v>
      </c>
    </row>
    <row r="120" spans="1:5" x14ac:dyDescent="0.25">
      <c r="A120" s="25" t="s">
        <v>162</v>
      </c>
      <c r="B120" s="25" t="s">
        <v>159</v>
      </c>
      <c r="C120" s="26">
        <v>55000</v>
      </c>
      <c r="D120" s="23" t="b">
        <f t="shared" ref="D120:D123" si="25">AND(B120="Sales", C120&gt;50000)</f>
        <v>0</v>
      </c>
      <c r="E120" s="23" t="str">
        <f t="shared" ref="E120:E123" si="26">IF(AND(B120="Sales", C120&gt;50000), "Eligible", "Not Eligible")</f>
        <v>Not Eligible</v>
      </c>
    </row>
    <row r="121" spans="1:5" x14ac:dyDescent="0.25">
      <c r="A121" s="25" t="s">
        <v>163</v>
      </c>
      <c r="B121" s="25" t="s">
        <v>22</v>
      </c>
      <c r="C121" s="26">
        <v>52000</v>
      </c>
      <c r="D121" s="23" t="b">
        <f t="shared" si="25"/>
        <v>1</v>
      </c>
      <c r="E121" s="23" t="str">
        <f t="shared" si="26"/>
        <v>Eligible</v>
      </c>
    </row>
    <row r="122" spans="1:5" x14ac:dyDescent="0.25">
      <c r="A122" s="25" t="s">
        <v>164</v>
      </c>
      <c r="B122" s="25" t="s">
        <v>160</v>
      </c>
      <c r="C122" s="26">
        <v>48000</v>
      </c>
      <c r="D122" s="23" t="b">
        <f t="shared" si="25"/>
        <v>0</v>
      </c>
      <c r="E122" s="23" t="str">
        <f t="shared" si="26"/>
        <v>Not Eligible</v>
      </c>
    </row>
    <row r="123" spans="1:5" x14ac:dyDescent="0.25">
      <c r="A123" s="25" t="s">
        <v>165</v>
      </c>
      <c r="B123" s="25" t="s">
        <v>22</v>
      </c>
      <c r="C123" s="26">
        <v>60000</v>
      </c>
      <c r="D123" s="23" t="b">
        <f t="shared" si="25"/>
        <v>1</v>
      </c>
      <c r="E123" s="23" t="str">
        <f t="shared" si="26"/>
        <v>Eligible</v>
      </c>
    </row>
    <row r="124" spans="1:5" x14ac:dyDescent="0.25">
      <c r="A124" s="15"/>
      <c r="B124" s="15"/>
      <c r="C124" s="16"/>
      <c r="D124" s="4"/>
    </row>
    <row r="125" spans="1:5" x14ac:dyDescent="0.25">
      <c r="A125" s="15"/>
      <c r="B125" s="15"/>
      <c r="C125" s="16"/>
      <c r="D125" s="4"/>
    </row>
    <row r="126" spans="1:5" x14ac:dyDescent="0.25">
      <c r="C126" s="4"/>
    </row>
    <row r="127" spans="1:5" x14ac:dyDescent="0.25">
      <c r="A127" t="s">
        <v>167</v>
      </c>
    </row>
    <row r="128" spans="1:5" x14ac:dyDescent="0.25">
      <c r="A128" t="s">
        <v>178</v>
      </c>
    </row>
    <row r="129" spans="1:5" x14ac:dyDescent="0.25">
      <c r="A129" s="1" t="s">
        <v>51</v>
      </c>
      <c r="B129" s="1" t="s">
        <v>52</v>
      </c>
      <c r="C129" s="4" t="s">
        <v>53</v>
      </c>
      <c r="D129" s="4" t="s">
        <v>63</v>
      </c>
    </row>
    <row r="130" spans="1:5" x14ac:dyDescent="0.25">
      <c r="A130">
        <v>300</v>
      </c>
      <c r="B130">
        <v>290</v>
      </c>
      <c r="C130" s="4" t="b">
        <f xml:space="preserve"> AND(B130 &gt;= A130 * 0.9, B130 &lt;= A130 * 1.1)</f>
        <v>1</v>
      </c>
      <c r="D130" s="4" t="str">
        <f>IF(
  AND(B130 &gt;= A130 * 0.9, B130 &lt;= A130 * 1.1),
  "On Track",
  "Off Track"
)</f>
        <v>On Track</v>
      </c>
    </row>
    <row r="131" spans="1:5" x14ac:dyDescent="0.25">
      <c r="A131">
        <v>400</v>
      </c>
      <c r="B131">
        <v>500</v>
      </c>
      <c r="C131" s="4" t="b">
        <f t="shared" ref="C131:C132" si="27" xml:space="preserve"> AND(B131 &gt;= A131 * 0.9, B131 &lt;= A131 * 1.1)</f>
        <v>0</v>
      </c>
      <c r="D131" s="4" t="str">
        <f t="shared" ref="D131" si="28">IF(
  AND(B131 &gt;= A131 * 0.9, B131 &lt;= A131 * 1.1),
  "On Track",
  "Off Track"
)</f>
        <v>Off Track</v>
      </c>
    </row>
    <row r="132" spans="1:5" x14ac:dyDescent="0.25">
      <c r="A132">
        <v>500</v>
      </c>
      <c r="B132">
        <v>510</v>
      </c>
      <c r="C132" s="4" t="b">
        <f t="shared" si="27"/>
        <v>1</v>
      </c>
      <c r="D132" s="4" t="str">
        <f>IF(
  AND(B132 &gt;= A132 * 0.9, B132 &lt;= A132 * 1.1),
  "On Track",
  "Off Track"
)</f>
        <v>On Track</v>
      </c>
    </row>
    <row r="133" spans="1:5" x14ac:dyDescent="0.25">
      <c r="C133" s="4"/>
      <c r="D133" s="4"/>
    </row>
    <row r="134" spans="1:5" x14ac:dyDescent="0.25">
      <c r="C134" s="4"/>
    </row>
    <row r="135" spans="1:5" x14ac:dyDescent="0.25">
      <c r="A135" s="1" t="s">
        <v>145</v>
      </c>
      <c r="C135" s="4"/>
    </row>
    <row r="136" spans="1:5" x14ac:dyDescent="0.25">
      <c r="A136" s="1" t="s">
        <v>29</v>
      </c>
      <c r="B136" s="1" t="s">
        <v>86</v>
      </c>
      <c r="C136" s="1" t="s">
        <v>87</v>
      </c>
      <c r="D136" s="4" t="s">
        <v>58</v>
      </c>
    </row>
    <row r="137" spans="1:5" x14ac:dyDescent="0.25">
      <c r="A137" t="s">
        <v>146</v>
      </c>
      <c r="B137">
        <v>26</v>
      </c>
      <c r="C137">
        <v>135</v>
      </c>
      <c r="D137" s="4" t="str">
        <f>IF(AND(B137 &gt;= 25, C137 &gt;= 130), "Needs Attention", "OK")</f>
        <v>Needs Attention</v>
      </c>
    </row>
    <row r="138" spans="1:5" x14ac:dyDescent="0.25">
      <c r="A138" t="s">
        <v>147</v>
      </c>
      <c r="B138">
        <v>27</v>
      </c>
      <c r="C138">
        <v>110</v>
      </c>
      <c r="D138" s="4" t="str">
        <f t="shared" ref="D138:D140" si="29">IF(AND(B138 &gt;= 25, C138 &gt;= 130), "Needs Attention", "OK")</f>
        <v>OK</v>
      </c>
    </row>
    <row r="139" spans="1:5" x14ac:dyDescent="0.25">
      <c r="A139" t="s">
        <v>112</v>
      </c>
      <c r="B139">
        <v>12</v>
      </c>
      <c r="C139">
        <v>140</v>
      </c>
      <c r="D139" s="4" t="str">
        <f t="shared" si="29"/>
        <v>OK</v>
      </c>
    </row>
    <row r="140" spans="1:5" x14ac:dyDescent="0.25">
      <c r="A140" t="s">
        <v>94</v>
      </c>
      <c r="B140">
        <v>10</v>
      </c>
      <c r="C140">
        <v>112</v>
      </c>
      <c r="D140" s="4" t="str">
        <f t="shared" si="29"/>
        <v>OK</v>
      </c>
    </row>
    <row r="141" spans="1:5" x14ac:dyDescent="0.25">
      <c r="C141" s="4"/>
    </row>
    <row r="142" spans="1:5" x14ac:dyDescent="0.25">
      <c r="C142" s="4"/>
    </row>
    <row r="143" spans="1:5" x14ac:dyDescent="0.25">
      <c r="A143" s="1"/>
      <c r="B143" s="1"/>
      <c r="C143" s="1"/>
    </row>
    <row r="144" spans="1:5" x14ac:dyDescent="0.25">
      <c r="A144" t="s">
        <v>148</v>
      </c>
      <c r="C144" s="9"/>
      <c r="D144" s="9"/>
      <c r="E144" s="9"/>
    </row>
    <row r="145" spans="1:12" x14ac:dyDescent="0.25">
      <c r="A145" t="s">
        <v>179</v>
      </c>
      <c r="C145" s="9"/>
      <c r="D145" s="9"/>
      <c r="E145" s="9"/>
    </row>
    <row r="146" spans="1:12" x14ac:dyDescent="0.25">
      <c r="A146" s="1" t="s">
        <v>89</v>
      </c>
      <c r="B146" s="1" t="s">
        <v>149</v>
      </c>
      <c r="C146" s="1" t="s">
        <v>88</v>
      </c>
      <c r="D146" s="1" t="s">
        <v>177</v>
      </c>
      <c r="E146" s="4" t="s">
        <v>176</v>
      </c>
    </row>
    <row r="147" spans="1:12" x14ac:dyDescent="0.25">
      <c r="A147" t="s">
        <v>93</v>
      </c>
      <c r="B147">
        <v>70000</v>
      </c>
      <c r="C147" t="s">
        <v>82</v>
      </c>
      <c r="D147" s="4" t="b">
        <f>AND(B147&gt;=70000,OR(C147="Excellent",C147="Good"))</f>
        <v>1</v>
      </c>
      <c r="E147" s="4">
        <f>IF( AND( B147&gt;=70000, OR(C147="Excellent", C147="Good") ), B147*0.15, 0  )</f>
        <v>10500</v>
      </c>
    </row>
    <row r="148" spans="1:12" x14ac:dyDescent="0.25">
      <c r="A148" t="s">
        <v>90</v>
      </c>
      <c r="B148">
        <v>80000</v>
      </c>
      <c r="C148" t="s">
        <v>95</v>
      </c>
      <c r="D148" s="4" t="b">
        <f t="shared" ref="D148:D152" si="30">AND(B148&gt;=70000,OR(C148="Excellent",C148="Good"))</f>
        <v>1</v>
      </c>
      <c r="E148" s="4">
        <f>IF( AND( B148&gt;=70000, OR(C148="Excellent", C148="Good") ), B148*0.15, 0  )</f>
        <v>12000</v>
      </c>
    </row>
    <row r="149" spans="1:12" x14ac:dyDescent="0.25">
      <c r="A149" t="s">
        <v>92</v>
      </c>
      <c r="B149">
        <v>60000</v>
      </c>
      <c r="C149" s="9" t="s">
        <v>95</v>
      </c>
      <c r="D149" s="4" t="b">
        <f t="shared" si="30"/>
        <v>0</v>
      </c>
      <c r="E149" s="4">
        <f t="shared" ref="E149:E152" si="31">IF( AND( B149&gt;=70000, OR(C149="Excellent", C149="Good") ), B149*0.15, 0  )</f>
        <v>0</v>
      </c>
      <c r="F149" s="9"/>
    </row>
    <row r="150" spans="1:12" x14ac:dyDescent="0.25">
      <c r="A150" t="s">
        <v>91</v>
      </c>
      <c r="B150">
        <v>90000</v>
      </c>
      <c r="C150" t="s">
        <v>82</v>
      </c>
      <c r="D150" s="4" t="b">
        <f t="shared" si="30"/>
        <v>1</v>
      </c>
      <c r="E150" s="4">
        <f t="shared" si="31"/>
        <v>13500</v>
      </c>
    </row>
    <row r="151" spans="1:12" x14ac:dyDescent="0.25">
      <c r="A151" t="s">
        <v>94</v>
      </c>
      <c r="B151">
        <v>10000</v>
      </c>
      <c r="C151" t="s">
        <v>82</v>
      </c>
      <c r="D151" s="4" t="b">
        <f t="shared" si="30"/>
        <v>0</v>
      </c>
      <c r="E151" s="4">
        <f t="shared" si="31"/>
        <v>0</v>
      </c>
    </row>
    <row r="152" spans="1:12" x14ac:dyDescent="0.25">
      <c r="A152" t="s">
        <v>96</v>
      </c>
      <c r="B152">
        <v>70000</v>
      </c>
      <c r="C152" t="s">
        <v>97</v>
      </c>
      <c r="D152" s="4" t="b">
        <f t="shared" si="30"/>
        <v>0</v>
      </c>
      <c r="E152" s="4">
        <f t="shared" si="31"/>
        <v>0</v>
      </c>
    </row>
    <row r="153" spans="1:12" x14ac:dyDescent="0.25">
      <c r="C153" s="9"/>
      <c r="D153" s="8"/>
      <c r="E153" s="1"/>
      <c r="G153" s="44"/>
      <c r="H153" s="44"/>
      <c r="I153" s="44"/>
      <c r="J153" s="44"/>
      <c r="K153" s="44"/>
      <c r="L153" s="44"/>
    </row>
    <row r="154" spans="1:12" x14ac:dyDescent="0.25">
      <c r="D154" s="44"/>
      <c r="E154" s="44"/>
      <c r="F154" s="44"/>
      <c r="G154" s="44"/>
      <c r="H154" s="44"/>
    </row>
    <row r="155" spans="1:12" x14ac:dyDescent="0.25">
      <c r="A155" t="s">
        <v>150</v>
      </c>
      <c r="D155" s="8"/>
      <c r="E155" s="8"/>
      <c r="F155" s="8"/>
      <c r="G155" s="8"/>
      <c r="H155" s="8"/>
    </row>
    <row r="156" spans="1:12" x14ac:dyDescent="0.25">
      <c r="A156" s="1" t="s">
        <v>89</v>
      </c>
      <c r="B156" s="1" t="s">
        <v>22</v>
      </c>
      <c r="C156" s="12" t="s">
        <v>98</v>
      </c>
      <c r="D156" s="4" t="s">
        <v>101</v>
      </c>
    </row>
    <row r="157" spans="1:12" x14ac:dyDescent="0.25">
      <c r="A157" t="s">
        <v>93</v>
      </c>
      <c r="B157">
        <v>70000</v>
      </c>
      <c r="C157" s="13" t="s">
        <v>102</v>
      </c>
      <c r="D157" s="4" t="str">
        <f>IF(
  AND( OR(C157="Shangai", C157="Miami"), B157 &gt;= 70000 ),
  "Yes",
  "No"
)</f>
        <v>Yes</v>
      </c>
    </row>
    <row r="158" spans="1:12" x14ac:dyDescent="0.25">
      <c r="A158" t="s">
        <v>90</v>
      </c>
      <c r="B158">
        <v>80000</v>
      </c>
      <c r="C158" s="13" t="s">
        <v>99</v>
      </c>
      <c r="D158" s="4" t="str">
        <f t="shared" ref="D158:D162" si="32">IF(
  AND( OR(C158="Shangai", C158="Miami"), B158 &gt;= 70000 ),
  "Yes",
  "No"
)</f>
        <v>Yes</v>
      </c>
    </row>
    <row r="159" spans="1:12" x14ac:dyDescent="0.25">
      <c r="A159" t="s">
        <v>92</v>
      </c>
      <c r="B159">
        <v>60000</v>
      </c>
      <c r="C159" s="13" t="s">
        <v>100</v>
      </c>
      <c r="D159" s="4" t="str">
        <f t="shared" si="32"/>
        <v>No</v>
      </c>
    </row>
    <row r="160" spans="1:12" x14ac:dyDescent="0.25">
      <c r="A160" t="s">
        <v>91</v>
      </c>
      <c r="B160">
        <v>90000</v>
      </c>
      <c r="C160" s="13" t="s">
        <v>99</v>
      </c>
      <c r="D160" s="4" t="str">
        <f t="shared" si="32"/>
        <v>Yes</v>
      </c>
    </row>
    <row r="161" spans="1:4" x14ac:dyDescent="0.25">
      <c r="A161" t="s">
        <v>94</v>
      </c>
      <c r="B161">
        <v>10000</v>
      </c>
      <c r="C161" s="13" t="s">
        <v>99</v>
      </c>
      <c r="D161" s="4" t="str">
        <f t="shared" si="32"/>
        <v>No</v>
      </c>
    </row>
    <row r="162" spans="1:4" x14ac:dyDescent="0.25">
      <c r="A162" t="s">
        <v>96</v>
      </c>
      <c r="B162">
        <v>70000</v>
      </c>
      <c r="C162" s="13" t="s">
        <v>102</v>
      </c>
      <c r="D162" s="4" t="str">
        <f t="shared" si="32"/>
        <v>Yes</v>
      </c>
    </row>
  </sheetData>
  <mergeCells count="4">
    <mergeCell ref="D154:H154"/>
    <mergeCell ref="G153:L153"/>
    <mergeCell ref="A33:E33"/>
    <mergeCell ref="A45:D45"/>
  </mergeCells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K15"/>
  <sheetViews>
    <sheetView zoomScale="130" zoomScaleNormal="130" workbookViewId="0">
      <selection activeCell="J18" sqref="J18"/>
    </sheetView>
  </sheetViews>
  <sheetFormatPr defaultRowHeight="15" x14ac:dyDescent="0.25"/>
  <cols>
    <col min="1" max="1" width="21.42578125" customWidth="1"/>
    <col min="2" max="3" width="14.140625" customWidth="1"/>
    <col min="4" max="4" width="15.28515625" customWidth="1"/>
    <col min="5" max="5" width="11.5703125" customWidth="1"/>
    <col min="6" max="6" width="7" customWidth="1"/>
    <col min="10" max="10" width="36" customWidth="1"/>
  </cols>
  <sheetData>
    <row r="1" spans="1:11" x14ac:dyDescent="0.25">
      <c r="A1" s="30" t="s">
        <v>151</v>
      </c>
      <c r="B1" s="30" t="s">
        <v>6</v>
      </c>
      <c r="C1" s="30" t="s">
        <v>212</v>
      </c>
      <c r="D1" s="30" t="s">
        <v>152</v>
      </c>
      <c r="E1" s="30" t="s">
        <v>3</v>
      </c>
    </row>
    <row r="2" spans="1:11" x14ac:dyDescent="0.25">
      <c r="A2" s="31" t="s">
        <v>31</v>
      </c>
      <c r="B2" s="31" t="s">
        <v>7</v>
      </c>
      <c r="C2" s="31" t="s">
        <v>213</v>
      </c>
      <c r="D2" s="31">
        <v>28</v>
      </c>
      <c r="E2" s="31">
        <v>23</v>
      </c>
      <c r="G2" s="42" t="s">
        <v>221</v>
      </c>
      <c r="H2" s="42"/>
      <c r="I2" s="42"/>
      <c r="J2" s="42"/>
      <c r="K2" s="1">
        <f xml:space="preserve"> SUMIF(B:B,"United States", D:D)</f>
        <v>265</v>
      </c>
    </row>
    <row r="3" spans="1:11" x14ac:dyDescent="0.25">
      <c r="A3" s="31" t="s">
        <v>32</v>
      </c>
      <c r="B3" s="31" t="s">
        <v>7</v>
      </c>
      <c r="C3" s="31" t="s">
        <v>216</v>
      </c>
      <c r="D3" s="31">
        <v>32</v>
      </c>
      <c r="E3" s="31">
        <v>65</v>
      </c>
      <c r="G3" s="42" t="s">
        <v>222</v>
      </c>
      <c r="H3" s="42"/>
      <c r="I3" s="42"/>
      <c r="J3" s="42"/>
      <c r="K3" s="1">
        <f xml:space="preserve"> AVERAGEIF(B:B,"Philippines",E:E)</f>
        <v>67</v>
      </c>
    </row>
    <row r="4" spans="1:11" x14ac:dyDescent="0.25">
      <c r="A4" s="31" t="s">
        <v>33</v>
      </c>
      <c r="B4" s="31" t="s">
        <v>7</v>
      </c>
      <c r="C4" s="31" t="s">
        <v>214</v>
      </c>
      <c r="D4" s="31">
        <v>52</v>
      </c>
      <c r="E4" s="31">
        <v>67</v>
      </c>
      <c r="G4" s="42" t="s">
        <v>223</v>
      </c>
      <c r="H4" s="42"/>
      <c r="I4" s="42"/>
      <c r="J4" s="42"/>
      <c r="K4" s="1">
        <f xml:space="preserve"> COUNTIF(A:A,"Fortune")</f>
        <v>3</v>
      </c>
    </row>
    <row r="5" spans="1:11" x14ac:dyDescent="0.25">
      <c r="A5" s="31" t="s">
        <v>5</v>
      </c>
      <c r="B5" s="31" t="s">
        <v>7</v>
      </c>
      <c r="C5" s="31" t="s">
        <v>214</v>
      </c>
      <c r="D5" s="31">
        <v>98</v>
      </c>
      <c r="E5" s="31">
        <v>67</v>
      </c>
      <c r="G5" s="1"/>
      <c r="H5" s="1"/>
      <c r="I5" s="1"/>
      <c r="J5" s="1"/>
    </row>
    <row r="6" spans="1:11" x14ac:dyDescent="0.25">
      <c r="A6" s="31" t="s">
        <v>31</v>
      </c>
      <c r="B6" s="31" t="s">
        <v>8</v>
      </c>
      <c r="C6" s="31" t="s">
        <v>213</v>
      </c>
      <c r="D6" s="31">
        <v>75</v>
      </c>
      <c r="E6" s="31">
        <v>67</v>
      </c>
      <c r="G6" s="42"/>
      <c r="H6" s="42"/>
      <c r="I6" s="42"/>
      <c r="J6" s="42"/>
    </row>
    <row r="7" spans="1:11" x14ac:dyDescent="0.25">
      <c r="A7" s="31" t="s">
        <v>5</v>
      </c>
      <c r="B7" s="31" t="s">
        <v>8</v>
      </c>
      <c r="C7" s="31" t="s">
        <v>214</v>
      </c>
      <c r="D7" s="31">
        <v>54</v>
      </c>
      <c r="E7" s="31">
        <v>67</v>
      </c>
      <c r="G7" s="1"/>
      <c r="H7" s="1"/>
      <c r="I7" s="1"/>
      <c r="J7" s="1"/>
    </row>
    <row r="8" spans="1:11" x14ac:dyDescent="0.25">
      <c r="A8" s="31" t="s">
        <v>31</v>
      </c>
      <c r="B8" s="31" t="s">
        <v>9</v>
      </c>
      <c r="C8" s="31" t="s">
        <v>213</v>
      </c>
      <c r="D8" s="31">
        <v>55</v>
      </c>
      <c r="E8" s="31">
        <v>67</v>
      </c>
      <c r="G8" s="1"/>
      <c r="H8" s="1"/>
      <c r="I8" s="1"/>
      <c r="J8" s="1"/>
    </row>
    <row r="9" spans="1:11" x14ac:dyDescent="0.25">
      <c r="A9" s="31" t="s">
        <v>32</v>
      </c>
      <c r="B9" s="31" t="s">
        <v>9</v>
      </c>
      <c r="C9" s="31" t="s">
        <v>214</v>
      </c>
      <c r="D9" s="31">
        <v>41</v>
      </c>
      <c r="E9" s="31">
        <v>67</v>
      </c>
      <c r="G9" s="1"/>
      <c r="H9" s="1"/>
      <c r="I9" s="1"/>
      <c r="J9" s="1"/>
    </row>
    <row r="10" spans="1:11" x14ac:dyDescent="0.25">
      <c r="A10" s="31" t="s">
        <v>33</v>
      </c>
      <c r="B10" s="31" t="s">
        <v>9</v>
      </c>
      <c r="C10" s="31" t="s">
        <v>214</v>
      </c>
      <c r="D10" s="31">
        <v>92</v>
      </c>
      <c r="E10" s="31">
        <v>67</v>
      </c>
      <c r="G10" s="42" t="s">
        <v>224</v>
      </c>
      <c r="H10" s="42"/>
      <c r="I10" s="42"/>
      <c r="J10" s="42"/>
      <c r="K10" s="1">
        <f>SUMIFS(D:D,B:B,"United States",A:A,"bread")</f>
        <v>87</v>
      </c>
    </row>
    <row r="11" spans="1:11" x14ac:dyDescent="0.25">
      <c r="A11" s="31" t="s">
        <v>5</v>
      </c>
      <c r="B11" s="31" t="s">
        <v>9</v>
      </c>
      <c r="C11" s="31" t="s">
        <v>214</v>
      </c>
      <c r="D11" s="31">
        <v>100</v>
      </c>
      <c r="E11" s="31">
        <v>67</v>
      </c>
      <c r="G11" s="42" t="s">
        <v>225</v>
      </c>
      <c r="H11" s="42"/>
      <c r="I11" s="42"/>
      <c r="J11" s="42"/>
      <c r="K11" s="1">
        <f>AVERAGEIFS(E:E,B:B,"Philippines",A:A,"Bread")</f>
        <v>67</v>
      </c>
    </row>
    <row r="12" spans="1:11" x14ac:dyDescent="0.25">
      <c r="A12" s="31" t="s">
        <v>32</v>
      </c>
      <c r="B12" s="31" t="s">
        <v>7</v>
      </c>
      <c r="C12" s="31" t="s">
        <v>213</v>
      </c>
      <c r="D12" s="31">
        <v>55</v>
      </c>
      <c r="E12" s="31">
        <v>65</v>
      </c>
      <c r="G12" s="42" t="s">
        <v>226</v>
      </c>
      <c r="H12" s="42"/>
      <c r="I12" s="42"/>
      <c r="J12" s="42"/>
      <c r="K12" s="1">
        <f>COUNTIFS(B:B,"United States",A:A,"Fortune")</f>
        <v>1</v>
      </c>
    </row>
    <row r="13" spans="1:11" x14ac:dyDescent="0.25">
      <c r="A13" s="31" t="s">
        <v>32</v>
      </c>
      <c r="B13" s="31" t="s">
        <v>8</v>
      </c>
      <c r="C13" s="31" t="s">
        <v>213</v>
      </c>
      <c r="D13" s="31">
        <v>33</v>
      </c>
      <c r="E13" s="31">
        <v>67</v>
      </c>
    </row>
    <row r="14" spans="1:11" x14ac:dyDescent="0.25">
      <c r="A14" s="31" t="s">
        <v>33</v>
      </c>
      <c r="B14" s="31" t="s">
        <v>8</v>
      </c>
      <c r="C14" s="31" t="s">
        <v>213</v>
      </c>
      <c r="D14" s="31">
        <v>40</v>
      </c>
      <c r="E14" s="31">
        <v>67</v>
      </c>
    </row>
    <row r="15" spans="1:11" x14ac:dyDescent="0.25">
      <c r="G15" s="42" t="s">
        <v>215</v>
      </c>
      <c r="H15" s="42"/>
      <c r="I15" s="42"/>
      <c r="J15" s="42"/>
      <c r="K15">
        <f>SUMIFS(D:D,B:B,"United States",A:A,"bread",C:C,"Tom")</f>
        <v>55</v>
      </c>
    </row>
  </sheetData>
  <mergeCells count="8">
    <mergeCell ref="G15:J15"/>
    <mergeCell ref="G11:J11"/>
    <mergeCell ref="G12:J12"/>
    <mergeCell ref="G2:J2"/>
    <mergeCell ref="G3:J3"/>
    <mergeCell ref="G4:J4"/>
    <mergeCell ref="G6:J6"/>
    <mergeCell ref="G10:J10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</vt:i4>
      </vt:variant>
    </vt:vector>
  </HeadingPairs>
  <TitlesOfParts>
    <vt:vector size="8" baseType="lpstr">
      <vt:lpstr>Formula Fundamentals</vt:lpstr>
      <vt:lpstr>SalesTaxRate</vt:lpstr>
      <vt:lpstr>Order of Operations</vt:lpstr>
      <vt:lpstr>OPTIONAL_basic_function</vt:lpstr>
      <vt:lpstr>sum_of_filtered_records_SUBTOTA</vt:lpstr>
      <vt:lpstr>Logical Functions</vt:lpstr>
      <vt:lpstr>Conditional Functions</vt:lpstr>
      <vt:lpstr>TaxRate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Kevin Stratvert</dc:creator>
  <cp:keywords/>
  <dc:description/>
  <cp:lastModifiedBy>Ashwani Kumar</cp:lastModifiedBy>
  <cp:revision/>
  <dcterms:created xsi:type="dcterms:W3CDTF">2022-05-10T22:30:35Z</dcterms:created>
  <dcterms:modified xsi:type="dcterms:W3CDTF">2026-06-28T13:41:15Z</dcterms:modified>
  <cp:category/>
  <cp:contentStatus/>
</cp:coreProperties>
</file>