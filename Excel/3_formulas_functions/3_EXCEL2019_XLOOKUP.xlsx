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DA_5month_Tue_Thur_730PM\tut_excel\3_formulas_functions\"/>
    </mc:Choice>
  </mc:AlternateContent>
  <xr:revisionPtr revIDLastSave="0" documentId="13_ncr:1_{788E1976-3D6D-41D3-8F19-9FE6E2776E9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_XLOOKUP_basic" sheetId="1" r:id="rId1"/>
    <sheet name="2_XLOOKUP_adv" sheetId="2" r:id="rId2"/>
    <sheet name="2_BON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 a="1"/>
  <c r="J12" i="1" s="1"/>
  <c r="J11" i="1"/>
  <c r="J17" i="1" a="1"/>
  <c r="J17" i="1" s="1"/>
  <c r="J6" i="1" a="1"/>
  <c r="J6" i="1" s="1"/>
  <c r="J16" i="1"/>
  <c r="J5" i="1"/>
  <c r="H3" i="2"/>
  <c r="H4" i="2"/>
  <c r="H5" i="2"/>
  <c r="H6" i="2"/>
  <c r="H7" i="2"/>
  <c r="H2" i="2"/>
  <c r="I2" i="2"/>
  <c r="I3" i="2"/>
  <c r="I4" i="2"/>
  <c r="I5" i="2"/>
  <c r="I6" i="2"/>
  <c r="I7" i="2"/>
  <c r="K16" i="1"/>
  <c r="K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<sst xmlns="http://schemas.openxmlformats.org/spreadsheetml/2006/main" count="85" uniqueCount="38">
  <si>
    <t>name</t>
  </si>
  <si>
    <t>emp id</t>
  </si>
  <si>
    <t>gender</t>
  </si>
  <si>
    <t>education</t>
  </si>
  <si>
    <t>Job title</t>
  </si>
  <si>
    <t>age</t>
  </si>
  <si>
    <t>m</t>
  </si>
  <si>
    <t>BE</t>
  </si>
  <si>
    <t>Mgr</t>
  </si>
  <si>
    <t>BS</t>
  </si>
  <si>
    <t>Dev</t>
  </si>
  <si>
    <t>MS</t>
  </si>
  <si>
    <t>CFO</t>
  </si>
  <si>
    <t>Job title(XLOOKUP):</t>
  </si>
  <si>
    <t>1) Create a column BONUS</t>
  </si>
  <si>
    <t>2) USE formula: = XLOOKUP(E2,'2_XLOOKUP_BONUS'!$A$1:$A$3,'2_XLOOKUP_BONUS'!$B$1:$B$3,"Title not found")</t>
  </si>
  <si>
    <t>MIND THE $ SIGN IN FRONT OF CELL…this will lock the values</t>
  </si>
  <si>
    <t>Job Title(partial match):</t>
  </si>
  <si>
    <t>Partial Name</t>
  </si>
  <si>
    <t>Detailed data(XLOOKUP):</t>
  </si>
  <si>
    <t>&lt;- If there are multiple matches, then it returns the first one</t>
  </si>
  <si>
    <r>
      <t xml:space="preserve">Key Tip: </t>
    </r>
    <r>
      <rPr>
        <sz val="10"/>
        <color theme="1"/>
        <rFont val="Arial Unicode MS"/>
      </rPr>
      <t>XLOOKUP</t>
    </r>
    <r>
      <rPr>
        <sz val="11"/>
        <color theme="1"/>
        <rFont val="Calibri"/>
        <family val="2"/>
        <scheme val="minor"/>
      </rPr>
      <t xml:space="preserve"> replaces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LOOKUP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INDEX + MATCH</t>
    </r>
    <r>
      <rPr>
        <sz val="11"/>
        <color theme="1"/>
        <rFont val="Calibri"/>
        <family val="2"/>
        <scheme val="minor"/>
      </rPr>
      <t>.</t>
    </r>
  </si>
  <si>
    <t>BONUS_WRONG</t>
  </si>
  <si>
    <t>Richard Feynman</t>
  </si>
  <si>
    <t>Stephen Hawking</t>
  </si>
  <si>
    <t>Max Planck</t>
  </si>
  <si>
    <t>Ernest Rutherford</t>
  </si>
  <si>
    <t>Enrico Fermi</t>
  </si>
  <si>
    <t>Murray Gell-Mann</t>
  </si>
  <si>
    <t>Each title is getting bonus as shown. CFO is getting blessed.</t>
  </si>
  <si>
    <t>Feynm</t>
  </si>
  <si>
    <t>EXAMPLE1: Based on name typed, look up Job title</t>
  </si>
  <si>
    <t>EXAMPLE2 (PRACTICE): Based on Emp ID typed, look up Education</t>
  </si>
  <si>
    <t>EMP ID:</t>
  </si>
  <si>
    <t>Education(XLOOKUP):</t>
  </si>
  <si>
    <t>Exact Name:</t>
  </si>
  <si>
    <t>BONUS</t>
  </si>
  <si>
    <t>GOAL: I have recvd a sheet that shows how much bonus to give each Job title. The bonuses are in sheet 2_BONUS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</si>
</sst>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opLeftCell="A10" zoomScale="130" zoomScaleNormal="130" workbookViewId="0">
      <selection activeCell="J16" sqref="J16"/>
    </sheetView>
  </sheetViews>
  <sheetFormatPr defaultRowHeight="15"/>
  <cols>
    <col min="1" max="1" width="19.85546875" customWidth="1"/>
    <col min="9" max="9" width="25.7109375" customWidth="1"/>
    <col min="10" max="10" width="18.7109375" style="10" customWidth="1"/>
  </cols>
  <sheetData>
    <row r="1" spans="1:15" ht="19.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I1" s="3"/>
    </row>
    <row r="2" spans="1:15" ht="15.75" thickBot="1">
      <c r="A2" s="8" t="s">
        <v>23</v>
      </c>
      <c r="B2" s="9">
        <v>11</v>
      </c>
      <c r="C2" s="9" t="s">
        <v>6</v>
      </c>
      <c r="D2" s="9" t="s">
        <v>7</v>
      </c>
      <c r="E2" s="9" t="s">
        <v>8</v>
      </c>
      <c r="F2" s="9">
        <v>23</v>
      </c>
    </row>
    <row r="3" spans="1:15" ht="15.75" thickBot="1">
      <c r="A3" s="8" t="s">
        <v>24</v>
      </c>
      <c r="B3" s="9">
        <v>12</v>
      </c>
      <c r="C3" s="9" t="s">
        <v>6</v>
      </c>
      <c r="D3" s="9" t="s">
        <v>9</v>
      </c>
      <c r="E3" s="9" t="s">
        <v>10</v>
      </c>
      <c r="F3" s="9">
        <v>34</v>
      </c>
      <c r="I3" s="1" t="s">
        <v>31</v>
      </c>
    </row>
    <row r="4" spans="1:15" ht="15.75" thickBot="1">
      <c r="A4" s="8" t="s">
        <v>25</v>
      </c>
      <c r="B4" s="9">
        <v>13</v>
      </c>
      <c r="C4" s="9" t="s">
        <v>6</v>
      </c>
      <c r="D4" s="9" t="s">
        <v>11</v>
      </c>
      <c r="E4" s="9" t="s">
        <v>10</v>
      </c>
      <c r="F4" s="9">
        <v>23</v>
      </c>
      <c r="I4" t="s">
        <v>35</v>
      </c>
      <c r="J4" s="11" t="s">
        <v>23</v>
      </c>
    </row>
    <row r="5" spans="1:15" ht="15.75" thickBot="1">
      <c r="A5" s="8" t="s">
        <v>26</v>
      </c>
      <c r="B5" s="9">
        <v>14</v>
      </c>
      <c r="C5" s="9" t="s">
        <v>6</v>
      </c>
      <c r="D5" s="9" t="s">
        <v>7</v>
      </c>
      <c r="E5" s="9" t="s">
        <v>8</v>
      </c>
      <c r="F5" s="9">
        <v>23</v>
      </c>
      <c r="I5" t="s">
        <v>13</v>
      </c>
      <c r="J5" s="5" t="str">
        <f xml:space="preserve"> _xlfn.XLOOKUP(J4,A:A,E:E,"No such person")</f>
        <v>Mgr</v>
      </c>
      <c r="K5" s="14" t="str">
        <f ca="1" xml:space="preserve"> _xlfn.FORMULATEXT(J5)</f>
        <v>= XLOOKUP(J4,A:A,E:E,"No such person")</v>
      </c>
      <c r="L5" s="1"/>
      <c r="M5" s="1"/>
      <c r="N5" s="1"/>
      <c r="O5" s="1"/>
    </row>
    <row r="6" spans="1:15" ht="15.75" thickBot="1">
      <c r="A6" s="8" t="s">
        <v>27</v>
      </c>
      <c r="B6" s="9">
        <v>15</v>
      </c>
      <c r="C6" s="9" t="s">
        <v>6</v>
      </c>
      <c r="D6" s="9" t="s">
        <v>9</v>
      </c>
      <c r="E6" s="9" t="s">
        <v>8</v>
      </c>
      <c r="F6" s="9">
        <v>67</v>
      </c>
      <c r="I6" t="s">
        <v>19</v>
      </c>
      <c r="J6" s="5" t="str" cm="1">
        <f t="array" ref="J6:O6">_xlfn.XLOOKUP(J4,A:A,A:F,"Not found")</f>
        <v>Richard Feynman</v>
      </c>
      <c r="K6" s="11">
        <v>11</v>
      </c>
      <c r="L6" s="11" t="str">
        <v>m</v>
      </c>
      <c r="M6" s="11" t="str">
        <v>BE</v>
      </c>
      <c r="N6" s="11" t="str">
        <v>Mgr</v>
      </c>
      <c r="O6" s="11">
        <v>23</v>
      </c>
    </row>
    <row r="7" spans="1:15" ht="15.75" thickBot="1">
      <c r="A7" s="8" t="s">
        <v>28</v>
      </c>
      <c r="B7" s="9">
        <v>16</v>
      </c>
      <c r="C7" s="9" t="s">
        <v>6</v>
      </c>
      <c r="D7" s="9" t="s">
        <v>11</v>
      </c>
      <c r="E7" s="9" t="s">
        <v>12</v>
      </c>
      <c r="F7" s="9">
        <v>54</v>
      </c>
    </row>
    <row r="10" spans="1:15">
      <c r="I10" t="s">
        <v>18</v>
      </c>
      <c r="J10" s="11" t="s">
        <v>30</v>
      </c>
    </row>
    <row r="11" spans="1:15">
      <c r="I11" t="s">
        <v>17</v>
      </c>
      <c r="J11" s="5" t="str">
        <f>_xlfn.XLOOKUP("*" &amp; J10 &amp; "*", A:A, E:E, "NOT FOUND", 2)</f>
        <v>Mgr</v>
      </c>
      <c r="K11" t="s">
        <v>20</v>
      </c>
    </row>
    <row r="12" spans="1:15">
      <c r="I12" t="s">
        <v>19</v>
      </c>
      <c r="J12" s="5" t="str" cm="1">
        <f t="array" ref="J12:O12">_xlfn.XLOOKUP("*" &amp; J10 &amp; "*",A:A,A:F,"Not found",2)</f>
        <v>Richard Feynman</v>
      </c>
      <c r="K12" s="1">
        <v>11</v>
      </c>
      <c r="L12" s="1" t="str">
        <v>m</v>
      </c>
      <c r="M12" s="1" t="str">
        <v>BE</v>
      </c>
      <c r="N12" s="1" t="str">
        <v>Mgr</v>
      </c>
      <c r="O12" s="1">
        <v>23</v>
      </c>
    </row>
    <row r="14" spans="1:15">
      <c r="I14" s="1" t="s">
        <v>32</v>
      </c>
    </row>
    <row r="15" spans="1:15">
      <c r="I15" t="s">
        <v>33</v>
      </c>
      <c r="J15" s="12">
        <v>12</v>
      </c>
    </row>
    <row r="16" spans="1:15">
      <c r="I16" t="s">
        <v>34</v>
      </c>
      <c r="J16" s="12" t="str">
        <f>_xlfn.XLOOKUP(J15, B:B, D:D, "NOT FOUND")</f>
        <v>BS</v>
      </c>
      <c r="K16" t="str">
        <f ca="1">_xlfn.FORMULATEXT(J16)</f>
        <v>=XLOOKUP(J15, B:B, D:D, "NOT FOUND")</v>
      </c>
    </row>
    <row r="17" spans="9:15">
      <c r="I17" t="s">
        <v>19</v>
      </c>
      <c r="J17" s="12" t="str" cm="1">
        <f t="array" ref="J17:O17">_xlfn.XLOOKUP(J15,B:B,A:F,"Not found")</f>
        <v>Stephen Hawking</v>
      </c>
      <c r="K17">
        <v>12</v>
      </c>
      <c r="L17" t="str">
        <v>m</v>
      </c>
      <c r="M17" t="str">
        <v>BS</v>
      </c>
      <c r="N17" t="str">
        <v>Dev</v>
      </c>
      <c r="O17">
        <v>34</v>
      </c>
    </row>
    <row r="23" spans="9:15">
      <c r="I23" s="13" t="s">
        <v>21</v>
      </c>
      <c r="J23" s="12"/>
      <c r="K23" s="13"/>
      <c r="L23" s="13"/>
      <c r="M2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F35-480E-4B24-81BB-F3054DAD1313}">
  <dimension ref="A1:L10"/>
  <sheetViews>
    <sheetView topLeftCell="I1" zoomScale="120" zoomScaleNormal="120" workbookViewId="0">
      <selection activeCell="I3" sqref="I3"/>
    </sheetView>
  </sheetViews>
  <sheetFormatPr defaultRowHeight="15"/>
  <cols>
    <col min="1" max="1" width="17.42578125" customWidth="1"/>
    <col min="6" max="6" width="6" customWidth="1"/>
    <col min="7" max="7" width="5.7109375" customWidth="1"/>
    <col min="8" max="8" width="19.7109375" customWidth="1"/>
    <col min="9" max="9" width="14.5703125" customWidth="1"/>
  </cols>
  <sheetData>
    <row r="1" spans="1:12" ht="15.7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/>
      <c r="H1" s="5" t="s">
        <v>22</v>
      </c>
      <c r="I1" s="6" t="s">
        <v>36</v>
      </c>
    </row>
    <row r="2" spans="1:12" ht="15.75" thickBot="1">
      <c r="A2" s="8" t="s">
        <v>23</v>
      </c>
      <c r="B2" s="9">
        <v>11</v>
      </c>
      <c r="C2" s="9" t="s">
        <v>6</v>
      </c>
      <c r="D2" s="9" t="s">
        <v>7</v>
      </c>
      <c r="E2" s="9" t="s">
        <v>8</v>
      </c>
      <c r="F2" s="9">
        <v>23</v>
      </c>
      <c r="H2" s="6">
        <f xml:space="preserve"> _xlfn.XLOOKUP(E2,'2_BONUS'!A1:A3,'2_BONUS'!B1:B3,"not found")</f>
        <v>23000</v>
      </c>
      <c r="I2" s="6">
        <f xml:space="preserve"> _xlfn.XLOOKUP(E2,'2_BONUS'!$A$1:$A$3,'2_BONUS'!$B$1:$B$3,"Title not found")</f>
        <v>23000</v>
      </c>
    </row>
    <row r="3" spans="1:12" ht="15.75" thickBot="1">
      <c r="A3" s="8" t="s">
        <v>24</v>
      </c>
      <c r="B3" s="9">
        <v>12</v>
      </c>
      <c r="C3" s="9" t="s">
        <v>6</v>
      </c>
      <c r="D3" s="9" t="s">
        <v>9</v>
      </c>
      <c r="E3" s="9" t="s">
        <v>10</v>
      </c>
      <c r="F3" s="9">
        <v>34</v>
      </c>
      <c r="H3" s="6">
        <f xml:space="preserve"> _xlfn.XLOOKUP(E3,'2_BONUS'!A2:A4,'2_BONUS'!B2:B4,"not found")</f>
        <v>20000</v>
      </c>
      <c r="I3" s="6">
        <f xml:space="preserve"> _xlfn.XLOOKUP(E3,'2_BONUS'!$A$1:$A$3,'2_BONUS'!$B$1:$B$3,"Title not found")</f>
        <v>20000</v>
      </c>
    </row>
    <row r="4" spans="1:12" ht="15.75" thickBot="1">
      <c r="A4" s="8" t="s">
        <v>25</v>
      </c>
      <c r="B4" s="9">
        <v>13</v>
      </c>
      <c r="C4" s="9" t="s">
        <v>6</v>
      </c>
      <c r="D4" s="9" t="s">
        <v>11</v>
      </c>
      <c r="E4" s="9" t="s">
        <v>10</v>
      </c>
      <c r="F4" s="9">
        <v>23</v>
      </c>
      <c r="H4" s="6" t="str">
        <f xml:space="preserve"> _xlfn.XLOOKUP(E4,'2_BONUS'!A3:A5,'2_BONUS'!B3:B5,"not found")</f>
        <v>not found</v>
      </c>
      <c r="I4" s="6">
        <f xml:space="preserve"> _xlfn.XLOOKUP(E4,'2_BONUS'!$A$1:$A$3,'2_BONUS'!$B$1:$B$3,"Title not found")</f>
        <v>20000</v>
      </c>
    </row>
    <row r="5" spans="1:12" ht="15.75" thickBot="1">
      <c r="A5" s="8" t="s">
        <v>26</v>
      </c>
      <c r="B5" s="9">
        <v>14</v>
      </c>
      <c r="C5" s="9" t="s">
        <v>6</v>
      </c>
      <c r="D5" s="9" t="s">
        <v>7</v>
      </c>
      <c r="E5" s="9" t="s">
        <v>8</v>
      </c>
      <c r="F5" s="9">
        <v>23</v>
      </c>
      <c r="H5" s="6" t="str">
        <f xml:space="preserve"> _xlfn.XLOOKUP(E5,'2_BONUS'!A4:A6,'2_BONUS'!B4:B6,"not found")</f>
        <v>not found</v>
      </c>
      <c r="I5" s="6">
        <f xml:space="preserve"> _xlfn.XLOOKUP(E5,'2_BONUS'!$A$1:$A$3,'2_BONUS'!$B$1:$B$3,"Title not found")</f>
        <v>23000</v>
      </c>
    </row>
    <row r="6" spans="1:12" ht="19.5" thickBot="1">
      <c r="A6" s="8" t="s">
        <v>27</v>
      </c>
      <c r="B6" s="9">
        <v>15</v>
      </c>
      <c r="C6" s="9" t="s">
        <v>6</v>
      </c>
      <c r="D6" s="9" t="s">
        <v>9</v>
      </c>
      <c r="E6" s="9" t="s">
        <v>8</v>
      </c>
      <c r="F6" s="9">
        <v>67</v>
      </c>
      <c r="H6" s="6" t="str">
        <f xml:space="preserve"> _xlfn.XLOOKUP(E6,'2_BONUS'!A5:A7,'2_BONUS'!B5:B7,"not found")</f>
        <v>not found</v>
      </c>
      <c r="I6" s="6">
        <f xml:space="preserve"> _xlfn.XLOOKUP(E6,'2_BONUS'!$A$1:$A$3,'2_BONUS'!$B$1:$B$3,"Title not found")</f>
        <v>23000</v>
      </c>
      <c r="L6" s="2" t="s">
        <v>37</v>
      </c>
    </row>
    <row r="7" spans="1:12" ht="15.75" thickBot="1">
      <c r="A7" s="8" t="s">
        <v>28</v>
      </c>
      <c r="B7" s="9">
        <v>16</v>
      </c>
      <c r="C7" s="9" t="s">
        <v>6</v>
      </c>
      <c r="D7" s="9" t="s">
        <v>11</v>
      </c>
      <c r="E7" s="9" t="s">
        <v>12</v>
      </c>
      <c r="F7" s="9">
        <v>54</v>
      </c>
      <c r="H7" s="6" t="str">
        <f xml:space="preserve"> _xlfn.XLOOKUP(E7,'2_BONUS'!A6:A8,'2_BONUS'!B6:B8,"not found")</f>
        <v>not found</v>
      </c>
      <c r="I7" s="6">
        <f xml:space="preserve"> _xlfn.XLOOKUP(E7,'2_BONUS'!$A$1:$A$3,'2_BONUS'!$B$1:$B$3,"Title not found")</f>
        <v>-10000</v>
      </c>
    </row>
    <row r="8" spans="1:12">
      <c r="L8" t="s">
        <v>14</v>
      </c>
    </row>
    <row r="9" spans="1:12">
      <c r="L9" t="s">
        <v>15</v>
      </c>
    </row>
    <row r="10" spans="1:12">
      <c r="L1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73D9-EEAB-4255-B593-2E60EA6B9B21}">
  <dimension ref="A1:E3"/>
  <sheetViews>
    <sheetView tabSelected="1" zoomScale="130" zoomScaleNormal="130" workbookViewId="0">
      <selection activeCell="E7" sqref="E7"/>
    </sheetView>
  </sheetViews>
  <sheetFormatPr defaultRowHeight="15"/>
  <sheetData>
    <row r="1" spans="1:5">
      <c r="A1" s="4" t="s">
        <v>8</v>
      </c>
      <c r="B1" s="4">
        <v>23000</v>
      </c>
    </row>
    <row r="2" spans="1:5">
      <c r="A2" s="4" t="s">
        <v>10</v>
      </c>
      <c r="B2" s="4">
        <v>20000</v>
      </c>
      <c r="E2" t="s">
        <v>29</v>
      </c>
    </row>
    <row r="3" spans="1:5">
      <c r="A3" s="4" t="s">
        <v>12</v>
      </c>
      <c r="B3" s="4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1_XLOOKUP_basic</vt:lpstr>
      <vt:lpstr>2_XLOOKUP_adv</vt:lpstr>
      <vt:lpstr>2_BONUS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2025-11-04T14:32:19Z</dcterms:modified>
</cp:coreProperties>
</file>